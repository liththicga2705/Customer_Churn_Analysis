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jay Kumar\Downloads\"/>
    </mc:Choice>
  </mc:AlternateContent>
  <xr:revisionPtr revIDLastSave="0" documentId="8_{175F7387-BDFF-459A-9C6F-D01032521F26}" xr6:coauthVersionLast="47" xr6:coauthVersionMax="47" xr10:uidLastSave="{00000000-0000-0000-0000-000000000000}"/>
  <bookViews>
    <workbookView xWindow="-110" yWindow="-110" windowWidth="19420" windowHeight="11500" firstSheet="7" activeTab="9" xr2:uid="{446B24A3-710F-47C1-A22C-1E574A4BE52F}"/>
  </bookViews>
  <sheets>
    <sheet name="Customer_Churn_Analysis_Raw" sheetId="1" r:id="rId1"/>
    <sheet name="Customer_Churn_Analysis_cleaned" sheetId="2" r:id="rId2"/>
    <sheet name="Customer Churn" sheetId="3" r:id="rId3"/>
    <sheet name="Analysis" sheetId="4" r:id="rId4"/>
    <sheet name="PivotTable 1 — Churn by Contrac" sheetId="6" r:id="rId5"/>
    <sheet name="PivotTable 2 — Churn by Payment" sheetId="7" r:id="rId6"/>
    <sheet name="PivotTable 3 — Churn by Custome" sheetId="9" r:id="rId7"/>
    <sheet name="PivotTable 4 — Churn by Tenure " sheetId="10" r:id="rId8"/>
    <sheet name="Pivot_Analysis" sheetId="5" r:id="rId9"/>
    <sheet name="Excel Dashboard" sheetId="11" r:id="rId10"/>
  </sheets>
  <calcPr calcId="0"/>
  <pivotCaches>
    <pivotCache cacheId="13" r:id="rId11"/>
    <pivotCache cacheId="11" r:id="rId12"/>
  </pivotCaches>
</workbook>
</file>

<file path=xl/calcChain.xml><?xml version="1.0" encoding="utf-8"?>
<calcChain xmlns="http://schemas.openxmlformats.org/spreadsheetml/2006/main">
  <c r="L1001" i="5" l="1"/>
  <c r="K1001" i="5"/>
  <c r="L1000" i="5"/>
  <c r="K1000" i="5"/>
  <c r="L999" i="5"/>
  <c r="K999" i="5"/>
  <c r="L998" i="5"/>
  <c r="K998" i="5"/>
  <c r="L997" i="5"/>
  <c r="K997" i="5"/>
  <c r="L996" i="5"/>
  <c r="K996" i="5"/>
  <c r="L995" i="5"/>
  <c r="K995" i="5"/>
  <c r="L994" i="5"/>
  <c r="K994" i="5"/>
  <c r="L993" i="5"/>
  <c r="K993" i="5"/>
  <c r="L992" i="5"/>
  <c r="K992" i="5"/>
  <c r="L991" i="5"/>
  <c r="K991" i="5"/>
  <c r="L990" i="5"/>
  <c r="K990" i="5"/>
  <c r="L989" i="5"/>
  <c r="K989" i="5"/>
  <c r="L988" i="5"/>
  <c r="K988" i="5"/>
  <c r="L987" i="5"/>
  <c r="K987" i="5"/>
  <c r="L986" i="5"/>
  <c r="K986" i="5"/>
  <c r="L985" i="5"/>
  <c r="K985" i="5"/>
  <c r="L984" i="5"/>
  <c r="K984" i="5"/>
  <c r="L983" i="5"/>
  <c r="K983" i="5"/>
  <c r="L982" i="5"/>
  <c r="K982" i="5"/>
  <c r="L981" i="5"/>
  <c r="K981" i="5"/>
  <c r="L980" i="5"/>
  <c r="K980" i="5"/>
  <c r="L979" i="5"/>
  <c r="K979" i="5"/>
  <c r="L978" i="5"/>
  <c r="K978" i="5"/>
  <c r="L977" i="5"/>
  <c r="K977" i="5"/>
  <c r="L976" i="5"/>
  <c r="K976" i="5"/>
  <c r="L975" i="5"/>
  <c r="K975" i="5"/>
  <c r="L974" i="5"/>
  <c r="K974" i="5"/>
  <c r="L973" i="5"/>
  <c r="K973" i="5"/>
  <c r="L972" i="5"/>
  <c r="K972" i="5"/>
  <c r="L971" i="5"/>
  <c r="K971" i="5"/>
  <c r="L970" i="5"/>
  <c r="K970" i="5"/>
  <c r="L969" i="5"/>
  <c r="K969" i="5"/>
  <c r="L968" i="5"/>
  <c r="K968" i="5"/>
  <c r="L967" i="5"/>
  <c r="K967" i="5"/>
  <c r="L966" i="5"/>
  <c r="K966" i="5"/>
  <c r="L965" i="5"/>
  <c r="K965" i="5"/>
  <c r="L964" i="5"/>
  <c r="K964" i="5"/>
  <c r="L963" i="5"/>
  <c r="K963" i="5"/>
  <c r="L962" i="5"/>
  <c r="K962" i="5"/>
  <c r="L961" i="5"/>
  <c r="K961" i="5"/>
  <c r="L960" i="5"/>
  <c r="K960" i="5"/>
  <c r="L959" i="5"/>
  <c r="K959" i="5"/>
  <c r="L958" i="5"/>
  <c r="K958" i="5"/>
  <c r="L957" i="5"/>
  <c r="K957" i="5"/>
  <c r="L956" i="5"/>
  <c r="K956" i="5"/>
  <c r="L955" i="5"/>
  <c r="K955" i="5"/>
  <c r="L954" i="5"/>
  <c r="K954" i="5"/>
  <c r="L953" i="5"/>
  <c r="K953" i="5"/>
  <c r="L952" i="5"/>
  <c r="K952" i="5"/>
  <c r="L951" i="5"/>
  <c r="K951" i="5"/>
  <c r="L950" i="5"/>
  <c r="K950" i="5"/>
  <c r="L949" i="5"/>
  <c r="K949" i="5"/>
  <c r="L948" i="5"/>
  <c r="K948" i="5"/>
  <c r="L947" i="5"/>
  <c r="K947" i="5"/>
  <c r="L946" i="5"/>
  <c r="K946" i="5"/>
  <c r="L945" i="5"/>
  <c r="K945" i="5"/>
  <c r="L944" i="5"/>
  <c r="K944" i="5"/>
  <c r="L943" i="5"/>
  <c r="K943" i="5"/>
  <c r="L942" i="5"/>
  <c r="K942" i="5"/>
  <c r="L941" i="5"/>
  <c r="K941" i="5"/>
  <c r="L940" i="5"/>
  <c r="K940" i="5"/>
  <c r="L939" i="5"/>
  <c r="K939" i="5"/>
  <c r="L938" i="5"/>
  <c r="K938" i="5"/>
  <c r="L937" i="5"/>
  <c r="K937" i="5"/>
  <c r="L936" i="5"/>
  <c r="K936" i="5"/>
  <c r="L935" i="5"/>
  <c r="K935" i="5"/>
  <c r="L934" i="5"/>
  <c r="K934" i="5"/>
  <c r="L933" i="5"/>
  <c r="K933" i="5"/>
  <c r="L932" i="5"/>
  <c r="K932" i="5"/>
  <c r="L931" i="5"/>
  <c r="K931" i="5"/>
  <c r="L930" i="5"/>
  <c r="K930" i="5"/>
  <c r="L929" i="5"/>
  <c r="K929" i="5"/>
  <c r="L928" i="5"/>
  <c r="K928" i="5"/>
  <c r="L927" i="5"/>
  <c r="K927" i="5"/>
  <c r="L926" i="5"/>
  <c r="K926" i="5"/>
  <c r="L925" i="5"/>
  <c r="K925" i="5"/>
  <c r="L924" i="5"/>
  <c r="K924" i="5"/>
  <c r="L923" i="5"/>
  <c r="K923" i="5"/>
  <c r="L922" i="5"/>
  <c r="K922" i="5"/>
  <c r="L921" i="5"/>
  <c r="K921" i="5"/>
  <c r="L920" i="5"/>
  <c r="K920" i="5"/>
  <c r="L919" i="5"/>
  <c r="K919" i="5"/>
  <c r="L918" i="5"/>
  <c r="K918" i="5"/>
  <c r="L917" i="5"/>
  <c r="K917" i="5"/>
  <c r="L916" i="5"/>
  <c r="K916" i="5"/>
  <c r="L915" i="5"/>
  <c r="K915" i="5"/>
  <c r="L914" i="5"/>
  <c r="K914" i="5"/>
  <c r="L913" i="5"/>
  <c r="K913" i="5"/>
  <c r="L912" i="5"/>
  <c r="K912" i="5"/>
  <c r="L911" i="5"/>
  <c r="K911" i="5"/>
  <c r="L910" i="5"/>
  <c r="K910" i="5"/>
  <c r="L909" i="5"/>
  <c r="K909" i="5"/>
  <c r="L908" i="5"/>
  <c r="K908" i="5"/>
  <c r="L907" i="5"/>
  <c r="K907" i="5"/>
  <c r="L906" i="5"/>
  <c r="K906" i="5"/>
  <c r="L905" i="5"/>
  <c r="K905" i="5"/>
  <c r="L904" i="5"/>
  <c r="K904" i="5"/>
  <c r="L903" i="5"/>
  <c r="K903" i="5"/>
  <c r="L902" i="5"/>
  <c r="K902" i="5"/>
  <c r="L901" i="5"/>
  <c r="K901" i="5"/>
  <c r="L900" i="5"/>
  <c r="K900" i="5"/>
  <c r="L899" i="5"/>
  <c r="K899" i="5"/>
  <c r="L898" i="5"/>
  <c r="K898" i="5"/>
  <c r="L897" i="5"/>
  <c r="K897" i="5"/>
  <c r="L896" i="5"/>
  <c r="K896" i="5"/>
  <c r="L895" i="5"/>
  <c r="K895" i="5"/>
  <c r="L894" i="5"/>
  <c r="K894" i="5"/>
  <c r="L893" i="5"/>
  <c r="K893" i="5"/>
  <c r="L892" i="5"/>
  <c r="K892" i="5"/>
  <c r="L891" i="5"/>
  <c r="K891" i="5"/>
  <c r="L890" i="5"/>
  <c r="K890" i="5"/>
  <c r="L889" i="5"/>
  <c r="K889" i="5"/>
  <c r="L888" i="5"/>
  <c r="K888" i="5"/>
  <c r="L887" i="5"/>
  <c r="K887" i="5"/>
  <c r="L886" i="5"/>
  <c r="K886" i="5"/>
  <c r="L885" i="5"/>
  <c r="K885" i="5"/>
  <c r="L884" i="5"/>
  <c r="K884" i="5"/>
  <c r="L883" i="5"/>
  <c r="K883" i="5"/>
  <c r="L882" i="5"/>
  <c r="K882" i="5"/>
  <c r="L881" i="5"/>
  <c r="K881" i="5"/>
  <c r="L880" i="5"/>
  <c r="K880" i="5"/>
  <c r="L879" i="5"/>
  <c r="K879" i="5"/>
  <c r="L878" i="5"/>
  <c r="K878" i="5"/>
  <c r="L877" i="5"/>
  <c r="K877" i="5"/>
  <c r="L876" i="5"/>
  <c r="K876" i="5"/>
  <c r="L875" i="5"/>
  <c r="K875" i="5"/>
  <c r="L874" i="5"/>
  <c r="K874" i="5"/>
  <c r="L873" i="5"/>
  <c r="K873" i="5"/>
  <c r="L872" i="5"/>
  <c r="K872" i="5"/>
  <c r="L871" i="5"/>
  <c r="K871" i="5"/>
  <c r="L870" i="5"/>
  <c r="K870" i="5"/>
  <c r="L869" i="5"/>
  <c r="K869" i="5"/>
  <c r="L868" i="5"/>
  <c r="K868" i="5"/>
  <c r="L867" i="5"/>
  <c r="K867" i="5"/>
  <c r="L866" i="5"/>
  <c r="K866" i="5"/>
  <c r="L865" i="5"/>
  <c r="K865" i="5"/>
  <c r="L864" i="5"/>
  <c r="K864" i="5"/>
  <c r="L863" i="5"/>
  <c r="K863" i="5"/>
  <c r="L862" i="5"/>
  <c r="K862" i="5"/>
  <c r="L861" i="5"/>
  <c r="K861" i="5"/>
  <c r="L860" i="5"/>
  <c r="K860" i="5"/>
  <c r="L859" i="5"/>
  <c r="K859" i="5"/>
  <c r="L858" i="5"/>
  <c r="K858" i="5"/>
  <c r="L857" i="5"/>
  <c r="K857" i="5"/>
  <c r="L856" i="5"/>
  <c r="K856" i="5"/>
  <c r="L855" i="5"/>
  <c r="K855" i="5"/>
  <c r="L854" i="5"/>
  <c r="K854" i="5"/>
  <c r="L853" i="5"/>
  <c r="K853" i="5"/>
  <c r="L852" i="5"/>
  <c r="K852" i="5"/>
  <c r="L851" i="5"/>
  <c r="K851" i="5"/>
  <c r="L850" i="5"/>
  <c r="K850" i="5"/>
  <c r="L849" i="5"/>
  <c r="K849" i="5"/>
  <c r="L848" i="5"/>
  <c r="K848" i="5"/>
  <c r="L847" i="5"/>
  <c r="K847" i="5"/>
  <c r="L846" i="5"/>
  <c r="K846" i="5"/>
  <c r="L845" i="5"/>
  <c r="K845" i="5"/>
  <c r="L844" i="5"/>
  <c r="K844" i="5"/>
  <c r="L843" i="5"/>
  <c r="K843" i="5"/>
  <c r="L842" i="5"/>
  <c r="K842" i="5"/>
  <c r="L841" i="5"/>
  <c r="K841" i="5"/>
  <c r="L840" i="5"/>
  <c r="K840" i="5"/>
  <c r="L839" i="5"/>
  <c r="K839" i="5"/>
  <c r="L838" i="5"/>
  <c r="K838" i="5"/>
  <c r="L837" i="5"/>
  <c r="K837" i="5"/>
  <c r="L836" i="5"/>
  <c r="K836" i="5"/>
  <c r="L835" i="5"/>
  <c r="K835" i="5"/>
  <c r="L834" i="5"/>
  <c r="K834" i="5"/>
  <c r="L833" i="5"/>
  <c r="K833" i="5"/>
  <c r="L832" i="5"/>
  <c r="K832" i="5"/>
  <c r="L831" i="5"/>
  <c r="K831" i="5"/>
  <c r="L830" i="5"/>
  <c r="K830" i="5"/>
  <c r="L829" i="5"/>
  <c r="K829" i="5"/>
  <c r="L828" i="5"/>
  <c r="K828" i="5"/>
  <c r="L827" i="5"/>
  <c r="K827" i="5"/>
  <c r="L826" i="5"/>
  <c r="K826" i="5"/>
  <c r="L825" i="5"/>
  <c r="K825" i="5"/>
  <c r="L824" i="5"/>
  <c r="K824" i="5"/>
  <c r="L823" i="5"/>
  <c r="K823" i="5"/>
  <c r="L822" i="5"/>
  <c r="K822" i="5"/>
  <c r="L821" i="5"/>
  <c r="K821" i="5"/>
  <c r="L820" i="5"/>
  <c r="K820" i="5"/>
  <c r="L819" i="5"/>
  <c r="K819" i="5"/>
  <c r="L818" i="5"/>
  <c r="K818" i="5"/>
  <c r="L817" i="5"/>
  <c r="K817" i="5"/>
  <c r="L816" i="5"/>
  <c r="K816" i="5"/>
  <c r="L815" i="5"/>
  <c r="K815" i="5"/>
  <c r="L814" i="5"/>
  <c r="K814" i="5"/>
  <c r="L813" i="5"/>
  <c r="K813" i="5"/>
  <c r="L812" i="5"/>
  <c r="K812" i="5"/>
  <c r="L811" i="5"/>
  <c r="K811" i="5"/>
  <c r="L810" i="5"/>
  <c r="K810" i="5"/>
  <c r="L809" i="5"/>
  <c r="K809" i="5"/>
  <c r="L808" i="5"/>
  <c r="K808" i="5"/>
  <c r="L807" i="5"/>
  <c r="K807" i="5"/>
  <c r="L806" i="5"/>
  <c r="K806" i="5"/>
  <c r="L805" i="5"/>
  <c r="K805" i="5"/>
  <c r="L804" i="5"/>
  <c r="K804" i="5"/>
  <c r="L803" i="5"/>
  <c r="K803" i="5"/>
  <c r="L802" i="5"/>
  <c r="K802" i="5"/>
  <c r="L801" i="5"/>
  <c r="K801" i="5"/>
  <c r="L800" i="5"/>
  <c r="K800" i="5"/>
  <c r="L799" i="5"/>
  <c r="K799" i="5"/>
  <c r="L798" i="5"/>
  <c r="K798" i="5"/>
  <c r="L797" i="5"/>
  <c r="K797" i="5"/>
  <c r="L796" i="5"/>
  <c r="K796" i="5"/>
  <c r="L795" i="5"/>
  <c r="K795" i="5"/>
  <c r="L794" i="5"/>
  <c r="K794" i="5"/>
  <c r="L793" i="5"/>
  <c r="K793" i="5"/>
  <c r="L792" i="5"/>
  <c r="K792" i="5"/>
  <c r="L791" i="5"/>
  <c r="K791" i="5"/>
  <c r="L790" i="5"/>
  <c r="K790" i="5"/>
  <c r="L789" i="5"/>
  <c r="K789" i="5"/>
  <c r="L788" i="5"/>
  <c r="K788" i="5"/>
  <c r="L787" i="5"/>
  <c r="K787" i="5"/>
  <c r="L786" i="5"/>
  <c r="K786" i="5"/>
  <c r="L785" i="5"/>
  <c r="K785" i="5"/>
  <c r="L784" i="5"/>
  <c r="K784" i="5"/>
  <c r="L783" i="5"/>
  <c r="K783" i="5"/>
  <c r="L782" i="5"/>
  <c r="K782" i="5"/>
  <c r="L781" i="5"/>
  <c r="K781" i="5"/>
  <c r="L780" i="5"/>
  <c r="K780" i="5"/>
  <c r="L779" i="5"/>
  <c r="K779" i="5"/>
  <c r="L778" i="5"/>
  <c r="K778" i="5"/>
  <c r="L777" i="5"/>
  <c r="K777" i="5"/>
  <c r="L776" i="5"/>
  <c r="K776" i="5"/>
  <c r="L775" i="5"/>
  <c r="K775" i="5"/>
  <c r="L774" i="5"/>
  <c r="K774" i="5"/>
  <c r="L773" i="5"/>
  <c r="K773" i="5"/>
  <c r="L772" i="5"/>
  <c r="K772" i="5"/>
  <c r="L771" i="5"/>
  <c r="K771" i="5"/>
  <c r="L770" i="5"/>
  <c r="K770" i="5"/>
  <c r="L769" i="5"/>
  <c r="K769" i="5"/>
  <c r="L768" i="5"/>
  <c r="K768" i="5"/>
  <c r="L767" i="5"/>
  <c r="K767" i="5"/>
  <c r="L766" i="5"/>
  <c r="K766" i="5"/>
  <c r="L765" i="5"/>
  <c r="K765" i="5"/>
  <c r="L764" i="5"/>
  <c r="K764" i="5"/>
  <c r="L763" i="5"/>
  <c r="K763" i="5"/>
  <c r="L762" i="5"/>
  <c r="K762" i="5"/>
  <c r="L761" i="5"/>
  <c r="K761" i="5"/>
  <c r="L760" i="5"/>
  <c r="K760" i="5"/>
  <c r="L759" i="5"/>
  <c r="K759" i="5"/>
  <c r="L758" i="5"/>
  <c r="K758" i="5"/>
  <c r="L757" i="5"/>
  <c r="K757" i="5"/>
  <c r="L756" i="5"/>
  <c r="K756" i="5"/>
  <c r="L755" i="5"/>
  <c r="K755" i="5"/>
  <c r="L754" i="5"/>
  <c r="K754" i="5"/>
  <c r="L753" i="5"/>
  <c r="K753" i="5"/>
  <c r="L752" i="5"/>
  <c r="K752" i="5"/>
  <c r="L751" i="5"/>
  <c r="K751" i="5"/>
  <c r="L750" i="5"/>
  <c r="K750" i="5"/>
  <c r="L749" i="5"/>
  <c r="K749" i="5"/>
  <c r="L748" i="5"/>
  <c r="K748" i="5"/>
  <c r="L747" i="5"/>
  <c r="K747" i="5"/>
  <c r="L746" i="5"/>
  <c r="K746" i="5"/>
  <c r="L745" i="5"/>
  <c r="K745" i="5"/>
  <c r="L744" i="5"/>
  <c r="K744" i="5"/>
  <c r="L743" i="5"/>
  <c r="K743" i="5"/>
  <c r="L742" i="5"/>
  <c r="K742" i="5"/>
  <c r="L741" i="5"/>
  <c r="K741" i="5"/>
  <c r="L740" i="5"/>
  <c r="K740" i="5"/>
  <c r="L739" i="5"/>
  <c r="K739" i="5"/>
  <c r="L738" i="5"/>
  <c r="K738" i="5"/>
  <c r="L737" i="5"/>
  <c r="K737" i="5"/>
  <c r="L736" i="5"/>
  <c r="K736" i="5"/>
  <c r="L735" i="5"/>
  <c r="K735" i="5"/>
  <c r="L734" i="5"/>
  <c r="K734" i="5"/>
  <c r="L733" i="5"/>
  <c r="K733" i="5"/>
  <c r="L732" i="5"/>
  <c r="K732" i="5"/>
  <c r="L731" i="5"/>
  <c r="K731" i="5"/>
  <c r="L730" i="5"/>
  <c r="K730" i="5"/>
  <c r="L729" i="5"/>
  <c r="K729" i="5"/>
  <c r="L728" i="5"/>
  <c r="K728" i="5"/>
  <c r="L727" i="5"/>
  <c r="K727" i="5"/>
  <c r="L726" i="5"/>
  <c r="K726" i="5"/>
  <c r="L725" i="5"/>
  <c r="K725" i="5"/>
  <c r="L724" i="5"/>
  <c r="K724" i="5"/>
  <c r="L723" i="5"/>
  <c r="K723" i="5"/>
  <c r="L722" i="5"/>
  <c r="K722" i="5"/>
  <c r="L721" i="5"/>
  <c r="K721" i="5"/>
  <c r="L720" i="5"/>
  <c r="K720" i="5"/>
  <c r="L719" i="5"/>
  <c r="K719" i="5"/>
  <c r="L718" i="5"/>
  <c r="K718" i="5"/>
  <c r="L717" i="5"/>
  <c r="K717" i="5"/>
  <c r="L716" i="5"/>
  <c r="K716" i="5"/>
  <c r="L715" i="5"/>
  <c r="K715" i="5"/>
  <c r="L714" i="5"/>
  <c r="K714" i="5"/>
  <c r="L713" i="5"/>
  <c r="K713" i="5"/>
  <c r="L712" i="5"/>
  <c r="K712" i="5"/>
  <c r="L711" i="5"/>
  <c r="K711" i="5"/>
  <c r="L710" i="5"/>
  <c r="K710" i="5"/>
  <c r="L709" i="5"/>
  <c r="K709" i="5"/>
  <c r="L708" i="5"/>
  <c r="K708" i="5"/>
  <c r="L707" i="5"/>
  <c r="K707" i="5"/>
  <c r="L706" i="5"/>
  <c r="K706" i="5"/>
  <c r="L705" i="5"/>
  <c r="K705" i="5"/>
  <c r="L704" i="5"/>
  <c r="K704" i="5"/>
  <c r="L703" i="5"/>
  <c r="K703" i="5"/>
  <c r="L702" i="5"/>
  <c r="K702" i="5"/>
  <c r="L701" i="5"/>
  <c r="K701" i="5"/>
  <c r="L700" i="5"/>
  <c r="K700" i="5"/>
  <c r="L699" i="5"/>
  <c r="K699" i="5"/>
  <c r="L698" i="5"/>
  <c r="K698" i="5"/>
  <c r="L697" i="5"/>
  <c r="K697" i="5"/>
  <c r="L696" i="5"/>
  <c r="K696" i="5"/>
  <c r="L695" i="5"/>
  <c r="K695" i="5"/>
  <c r="L694" i="5"/>
  <c r="K694" i="5"/>
  <c r="L693" i="5"/>
  <c r="K693" i="5"/>
  <c r="L692" i="5"/>
  <c r="K692" i="5"/>
  <c r="L691" i="5"/>
  <c r="K691" i="5"/>
  <c r="L690" i="5"/>
  <c r="K690" i="5"/>
  <c r="L689" i="5"/>
  <c r="K689" i="5"/>
  <c r="L688" i="5"/>
  <c r="K688" i="5"/>
  <c r="L687" i="5"/>
  <c r="K687" i="5"/>
  <c r="L686" i="5"/>
  <c r="K686" i="5"/>
  <c r="L685" i="5"/>
  <c r="K685" i="5"/>
  <c r="L684" i="5"/>
  <c r="K684" i="5"/>
  <c r="L683" i="5"/>
  <c r="K683" i="5"/>
  <c r="L682" i="5"/>
  <c r="K682" i="5"/>
  <c r="L681" i="5"/>
  <c r="K681" i="5"/>
  <c r="L680" i="5"/>
  <c r="K680" i="5"/>
  <c r="L679" i="5"/>
  <c r="K679" i="5"/>
  <c r="L678" i="5"/>
  <c r="K678" i="5"/>
  <c r="L677" i="5"/>
  <c r="K677" i="5"/>
  <c r="L676" i="5"/>
  <c r="K676" i="5"/>
  <c r="L675" i="5"/>
  <c r="K675" i="5"/>
  <c r="L674" i="5"/>
  <c r="K674" i="5"/>
  <c r="L673" i="5"/>
  <c r="K673" i="5"/>
  <c r="L672" i="5"/>
  <c r="K672" i="5"/>
  <c r="L671" i="5"/>
  <c r="K671" i="5"/>
  <c r="L670" i="5"/>
  <c r="K670" i="5"/>
  <c r="L669" i="5"/>
  <c r="K669" i="5"/>
  <c r="L668" i="5"/>
  <c r="K668" i="5"/>
  <c r="L667" i="5"/>
  <c r="K667" i="5"/>
  <c r="L666" i="5"/>
  <c r="K666" i="5"/>
  <c r="L665" i="5"/>
  <c r="K665" i="5"/>
  <c r="L664" i="5"/>
  <c r="K664" i="5"/>
  <c r="L663" i="5"/>
  <c r="K663" i="5"/>
  <c r="L662" i="5"/>
  <c r="K662" i="5"/>
  <c r="L661" i="5"/>
  <c r="K661" i="5"/>
  <c r="L660" i="5"/>
  <c r="K660" i="5"/>
  <c r="L659" i="5"/>
  <c r="K659" i="5"/>
  <c r="L658" i="5"/>
  <c r="K658" i="5"/>
  <c r="L657" i="5"/>
  <c r="K657" i="5"/>
  <c r="L656" i="5"/>
  <c r="K656" i="5"/>
  <c r="L655" i="5"/>
  <c r="K655" i="5"/>
  <c r="L654" i="5"/>
  <c r="K654" i="5"/>
  <c r="L653" i="5"/>
  <c r="K653" i="5"/>
  <c r="L652" i="5"/>
  <c r="K652" i="5"/>
  <c r="L651" i="5"/>
  <c r="K651" i="5"/>
  <c r="L650" i="5"/>
  <c r="K650" i="5"/>
  <c r="L649" i="5"/>
  <c r="K649" i="5"/>
  <c r="L648" i="5"/>
  <c r="K648" i="5"/>
  <c r="L647" i="5"/>
  <c r="K647" i="5"/>
  <c r="L646" i="5"/>
  <c r="K646" i="5"/>
  <c r="L645" i="5"/>
  <c r="K645" i="5"/>
  <c r="L644" i="5"/>
  <c r="K644" i="5"/>
  <c r="L643" i="5"/>
  <c r="K643" i="5"/>
  <c r="L642" i="5"/>
  <c r="K642" i="5"/>
  <c r="L641" i="5"/>
  <c r="K641" i="5"/>
  <c r="L640" i="5"/>
  <c r="K640" i="5"/>
  <c r="L639" i="5"/>
  <c r="K639" i="5"/>
  <c r="L638" i="5"/>
  <c r="K638" i="5"/>
  <c r="L637" i="5"/>
  <c r="K637" i="5"/>
  <c r="L636" i="5"/>
  <c r="K636" i="5"/>
  <c r="L635" i="5"/>
  <c r="K635" i="5"/>
  <c r="L634" i="5"/>
  <c r="K634" i="5"/>
  <c r="L633" i="5"/>
  <c r="K633" i="5"/>
  <c r="L632" i="5"/>
  <c r="K632" i="5"/>
  <c r="L631" i="5"/>
  <c r="K631" i="5"/>
  <c r="L630" i="5"/>
  <c r="K630" i="5"/>
  <c r="L629" i="5"/>
  <c r="K629" i="5"/>
  <c r="L628" i="5"/>
  <c r="K628" i="5"/>
  <c r="L627" i="5"/>
  <c r="K627" i="5"/>
  <c r="L626" i="5"/>
  <c r="K626" i="5"/>
  <c r="L625" i="5"/>
  <c r="K625" i="5"/>
  <c r="L624" i="5"/>
  <c r="K624" i="5"/>
  <c r="L623" i="5"/>
  <c r="K623" i="5"/>
  <c r="L622" i="5"/>
  <c r="K622" i="5"/>
  <c r="L621" i="5"/>
  <c r="K621" i="5"/>
  <c r="L620" i="5"/>
  <c r="K620" i="5"/>
  <c r="L619" i="5"/>
  <c r="K619" i="5"/>
  <c r="L618" i="5"/>
  <c r="K618" i="5"/>
  <c r="L617" i="5"/>
  <c r="K617" i="5"/>
  <c r="L616" i="5"/>
  <c r="K616" i="5"/>
  <c r="L615" i="5"/>
  <c r="K615" i="5"/>
  <c r="L614" i="5"/>
  <c r="K614" i="5"/>
  <c r="L613" i="5"/>
  <c r="K613" i="5"/>
  <c r="L612" i="5"/>
  <c r="K612" i="5"/>
  <c r="L611" i="5"/>
  <c r="K611" i="5"/>
  <c r="L610" i="5"/>
  <c r="K610" i="5"/>
  <c r="L609" i="5"/>
  <c r="K609" i="5"/>
  <c r="L608" i="5"/>
  <c r="K608" i="5"/>
  <c r="L607" i="5"/>
  <c r="K607" i="5"/>
  <c r="L606" i="5"/>
  <c r="K606" i="5"/>
  <c r="L605" i="5"/>
  <c r="K605" i="5"/>
  <c r="L604" i="5"/>
  <c r="K604" i="5"/>
  <c r="L603" i="5"/>
  <c r="K603" i="5"/>
  <c r="L602" i="5"/>
  <c r="K602" i="5"/>
  <c r="L601" i="5"/>
  <c r="K601" i="5"/>
  <c r="L600" i="5"/>
  <c r="K600" i="5"/>
  <c r="L599" i="5"/>
  <c r="K599" i="5"/>
  <c r="L598" i="5"/>
  <c r="K598" i="5"/>
  <c r="L597" i="5"/>
  <c r="K597" i="5"/>
  <c r="L596" i="5"/>
  <c r="K596" i="5"/>
  <c r="L595" i="5"/>
  <c r="K595" i="5"/>
  <c r="L594" i="5"/>
  <c r="K594" i="5"/>
  <c r="L593" i="5"/>
  <c r="K593" i="5"/>
  <c r="L592" i="5"/>
  <c r="K592" i="5"/>
  <c r="L591" i="5"/>
  <c r="K591" i="5"/>
  <c r="L590" i="5"/>
  <c r="K590" i="5"/>
  <c r="L589" i="5"/>
  <c r="K589" i="5"/>
  <c r="L588" i="5"/>
  <c r="K588" i="5"/>
  <c r="L587" i="5"/>
  <c r="K587" i="5"/>
  <c r="L586" i="5"/>
  <c r="K586" i="5"/>
  <c r="L585" i="5"/>
  <c r="K585" i="5"/>
  <c r="L584" i="5"/>
  <c r="K584" i="5"/>
  <c r="L583" i="5"/>
  <c r="K583" i="5"/>
  <c r="L582" i="5"/>
  <c r="K582" i="5"/>
  <c r="L581" i="5"/>
  <c r="K581" i="5"/>
  <c r="L580" i="5"/>
  <c r="K580" i="5"/>
  <c r="L579" i="5"/>
  <c r="K579" i="5"/>
  <c r="L578" i="5"/>
  <c r="K578" i="5"/>
  <c r="L577" i="5"/>
  <c r="K577" i="5"/>
  <c r="L576" i="5"/>
  <c r="K576" i="5"/>
  <c r="L575" i="5"/>
  <c r="K575" i="5"/>
  <c r="L574" i="5"/>
  <c r="K574" i="5"/>
  <c r="L573" i="5"/>
  <c r="K573" i="5"/>
  <c r="L572" i="5"/>
  <c r="K572" i="5"/>
  <c r="L571" i="5"/>
  <c r="K571" i="5"/>
  <c r="L570" i="5"/>
  <c r="K570" i="5"/>
  <c r="L569" i="5"/>
  <c r="K569" i="5"/>
  <c r="L568" i="5"/>
  <c r="K568" i="5"/>
  <c r="L567" i="5"/>
  <c r="K567" i="5"/>
  <c r="L566" i="5"/>
  <c r="K566" i="5"/>
  <c r="L565" i="5"/>
  <c r="K565" i="5"/>
  <c r="L564" i="5"/>
  <c r="K564" i="5"/>
  <c r="L563" i="5"/>
  <c r="K563" i="5"/>
  <c r="L562" i="5"/>
  <c r="K562" i="5"/>
  <c r="L561" i="5"/>
  <c r="K561" i="5"/>
  <c r="L560" i="5"/>
  <c r="K560" i="5"/>
  <c r="L559" i="5"/>
  <c r="K559" i="5"/>
  <c r="L558" i="5"/>
  <c r="K558" i="5"/>
  <c r="L557" i="5"/>
  <c r="K557" i="5"/>
  <c r="L556" i="5"/>
  <c r="K556" i="5"/>
  <c r="L555" i="5"/>
  <c r="K555" i="5"/>
  <c r="L554" i="5"/>
  <c r="K554" i="5"/>
  <c r="L553" i="5"/>
  <c r="K553" i="5"/>
  <c r="L552" i="5"/>
  <c r="K552" i="5"/>
  <c r="L551" i="5"/>
  <c r="K551" i="5"/>
  <c r="L550" i="5"/>
  <c r="K550" i="5"/>
  <c r="L549" i="5"/>
  <c r="K549" i="5"/>
  <c r="L548" i="5"/>
  <c r="K548" i="5"/>
  <c r="L547" i="5"/>
  <c r="K547" i="5"/>
  <c r="L546" i="5"/>
  <c r="K546" i="5"/>
  <c r="L545" i="5"/>
  <c r="K545" i="5"/>
  <c r="L544" i="5"/>
  <c r="K544" i="5"/>
  <c r="L543" i="5"/>
  <c r="K543" i="5"/>
  <c r="L542" i="5"/>
  <c r="K542" i="5"/>
  <c r="L541" i="5"/>
  <c r="K541" i="5"/>
  <c r="L540" i="5"/>
  <c r="K540" i="5"/>
  <c r="L539" i="5"/>
  <c r="K539" i="5"/>
  <c r="L538" i="5"/>
  <c r="K538" i="5"/>
  <c r="L537" i="5"/>
  <c r="K537" i="5"/>
  <c r="L536" i="5"/>
  <c r="K536" i="5"/>
  <c r="L535" i="5"/>
  <c r="K535" i="5"/>
  <c r="L534" i="5"/>
  <c r="K534" i="5"/>
  <c r="L533" i="5"/>
  <c r="K533" i="5"/>
  <c r="L532" i="5"/>
  <c r="K532" i="5"/>
  <c r="L531" i="5"/>
  <c r="K531" i="5"/>
  <c r="L530" i="5"/>
  <c r="K530" i="5"/>
  <c r="L529" i="5"/>
  <c r="K529" i="5"/>
  <c r="L528" i="5"/>
  <c r="K528" i="5"/>
  <c r="L527" i="5"/>
  <c r="K527" i="5"/>
  <c r="L526" i="5"/>
  <c r="K526" i="5"/>
  <c r="L525" i="5"/>
  <c r="K525" i="5"/>
  <c r="L524" i="5"/>
  <c r="K524" i="5"/>
  <c r="L523" i="5"/>
  <c r="K523" i="5"/>
  <c r="L522" i="5"/>
  <c r="K522" i="5"/>
  <c r="L521" i="5"/>
  <c r="K521" i="5"/>
  <c r="L520" i="5"/>
  <c r="K520" i="5"/>
  <c r="L519" i="5"/>
  <c r="K519" i="5"/>
  <c r="L518" i="5"/>
  <c r="K518" i="5"/>
  <c r="L517" i="5"/>
  <c r="K517" i="5"/>
  <c r="L516" i="5"/>
  <c r="K516" i="5"/>
  <c r="L515" i="5"/>
  <c r="K515" i="5"/>
  <c r="L514" i="5"/>
  <c r="K514" i="5"/>
  <c r="L513" i="5"/>
  <c r="K513" i="5"/>
  <c r="L512" i="5"/>
  <c r="K512" i="5"/>
  <c r="L511" i="5"/>
  <c r="K511" i="5"/>
  <c r="L510" i="5"/>
  <c r="K510" i="5"/>
  <c r="L509" i="5"/>
  <c r="K509" i="5"/>
  <c r="L508" i="5"/>
  <c r="K508" i="5"/>
  <c r="L507" i="5"/>
  <c r="K507" i="5"/>
  <c r="L506" i="5"/>
  <c r="K506" i="5"/>
  <c r="L505" i="5"/>
  <c r="K505" i="5"/>
  <c r="L504" i="5"/>
  <c r="K504" i="5"/>
  <c r="L503" i="5"/>
  <c r="K503" i="5"/>
  <c r="L502" i="5"/>
  <c r="K502" i="5"/>
  <c r="L501" i="5"/>
  <c r="K501" i="5"/>
  <c r="L500" i="5"/>
  <c r="K500" i="5"/>
  <c r="L499" i="5"/>
  <c r="K499" i="5"/>
  <c r="L498" i="5"/>
  <c r="K498" i="5"/>
  <c r="L497" i="5"/>
  <c r="K497" i="5"/>
  <c r="L496" i="5"/>
  <c r="K496" i="5"/>
  <c r="L495" i="5"/>
  <c r="K495" i="5"/>
  <c r="L494" i="5"/>
  <c r="K494" i="5"/>
  <c r="L493" i="5"/>
  <c r="K493" i="5"/>
  <c r="L492" i="5"/>
  <c r="K492" i="5"/>
  <c r="L491" i="5"/>
  <c r="K491" i="5"/>
  <c r="L490" i="5"/>
  <c r="K490" i="5"/>
  <c r="L489" i="5"/>
  <c r="K489" i="5"/>
  <c r="L488" i="5"/>
  <c r="K488" i="5"/>
  <c r="L487" i="5"/>
  <c r="K487" i="5"/>
  <c r="L486" i="5"/>
  <c r="K486" i="5"/>
  <c r="L485" i="5"/>
  <c r="K485" i="5"/>
  <c r="L484" i="5"/>
  <c r="K484" i="5"/>
  <c r="L483" i="5"/>
  <c r="K483" i="5"/>
  <c r="L482" i="5"/>
  <c r="K482" i="5"/>
  <c r="L481" i="5"/>
  <c r="K481" i="5"/>
  <c r="L480" i="5"/>
  <c r="K480" i="5"/>
  <c r="L479" i="5"/>
  <c r="K479" i="5"/>
  <c r="L478" i="5"/>
  <c r="K478" i="5"/>
  <c r="L477" i="5"/>
  <c r="K477" i="5"/>
  <c r="L476" i="5"/>
  <c r="K476" i="5"/>
  <c r="L475" i="5"/>
  <c r="K475" i="5"/>
  <c r="L474" i="5"/>
  <c r="K474" i="5"/>
  <c r="L473" i="5"/>
  <c r="K473" i="5"/>
  <c r="L472" i="5"/>
  <c r="K472" i="5"/>
  <c r="L471" i="5"/>
  <c r="K471" i="5"/>
  <c r="L470" i="5"/>
  <c r="K470" i="5"/>
  <c r="L469" i="5"/>
  <c r="K469" i="5"/>
  <c r="L468" i="5"/>
  <c r="K468" i="5"/>
  <c r="L467" i="5"/>
  <c r="K467" i="5"/>
  <c r="L466" i="5"/>
  <c r="K466" i="5"/>
  <c r="L465" i="5"/>
  <c r="K465" i="5"/>
  <c r="L464" i="5"/>
  <c r="K464" i="5"/>
  <c r="L463" i="5"/>
  <c r="K463" i="5"/>
  <c r="L462" i="5"/>
  <c r="K462" i="5"/>
  <c r="L461" i="5"/>
  <c r="K461" i="5"/>
  <c r="L460" i="5"/>
  <c r="K460" i="5"/>
  <c r="L459" i="5"/>
  <c r="K459" i="5"/>
  <c r="L458" i="5"/>
  <c r="K458" i="5"/>
  <c r="L457" i="5"/>
  <c r="K457" i="5"/>
  <c r="L456" i="5"/>
  <c r="K456" i="5"/>
  <c r="L455" i="5"/>
  <c r="K455" i="5"/>
  <c r="L454" i="5"/>
  <c r="K454" i="5"/>
  <c r="L453" i="5"/>
  <c r="K453" i="5"/>
  <c r="L452" i="5"/>
  <c r="K452" i="5"/>
  <c r="L451" i="5"/>
  <c r="K451" i="5"/>
  <c r="L450" i="5"/>
  <c r="K450" i="5"/>
  <c r="L449" i="5"/>
  <c r="K449" i="5"/>
  <c r="L448" i="5"/>
  <c r="K448" i="5"/>
  <c r="L447" i="5"/>
  <c r="K447" i="5"/>
  <c r="L446" i="5"/>
  <c r="K446" i="5"/>
  <c r="L445" i="5"/>
  <c r="K445" i="5"/>
  <c r="L444" i="5"/>
  <c r="K444" i="5"/>
  <c r="L443" i="5"/>
  <c r="K443" i="5"/>
  <c r="L442" i="5"/>
  <c r="K442" i="5"/>
  <c r="L441" i="5"/>
  <c r="K441" i="5"/>
  <c r="L440" i="5"/>
  <c r="K440" i="5"/>
  <c r="L439" i="5"/>
  <c r="K439" i="5"/>
  <c r="L438" i="5"/>
  <c r="K438" i="5"/>
  <c r="L437" i="5"/>
  <c r="K437" i="5"/>
  <c r="L436" i="5"/>
  <c r="K436" i="5"/>
  <c r="L435" i="5"/>
  <c r="K435" i="5"/>
  <c r="L434" i="5"/>
  <c r="K434" i="5"/>
  <c r="L433" i="5"/>
  <c r="K433" i="5"/>
  <c r="L432" i="5"/>
  <c r="K432" i="5"/>
  <c r="L431" i="5"/>
  <c r="K431" i="5"/>
  <c r="L430" i="5"/>
  <c r="K430" i="5"/>
  <c r="L429" i="5"/>
  <c r="K429" i="5"/>
  <c r="L428" i="5"/>
  <c r="K428" i="5"/>
  <c r="L427" i="5"/>
  <c r="K427" i="5"/>
  <c r="L426" i="5"/>
  <c r="K426" i="5"/>
  <c r="L425" i="5"/>
  <c r="K425" i="5"/>
  <c r="L424" i="5"/>
  <c r="K424" i="5"/>
  <c r="L423" i="5"/>
  <c r="K423" i="5"/>
  <c r="L422" i="5"/>
  <c r="K422" i="5"/>
  <c r="L421" i="5"/>
  <c r="K421" i="5"/>
  <c r="L420" i="5"/>
  <c r="K420" i="5"/>
  <c r="L419" i="5"/>
  <c r="K419" i="5"/>
  <c r="L418" i="5"/>
  <c r="K418" i="5"/>
  <c r="L417" i="5"/>
  <c r="K417" i="5"/>
  <c r="L416" i="5"/>
  <c r="K416" i="5"/>
  <c r="L415" i="5"/>
  <c r="K415" i="5"/>
  <c r="L414" i="5"/>
  <c r="K414" i="5"/>
  <c r="L413" i="5"/>
  <c r="K413" i="5"/>
  <c r="L412" i="5"/>
  <c r="K412" i="5"/>
  <c r="L411" i="5"/>
  <c r="K411" i="5"/>
  <c r="L410" i="5"/>
  <c r="K410" i="5"/>
  <c r="L409" i="5"/>
  <c r="K409" i="5"/>
  <c r="L408" i="5"/>
  <c r="K408" i="5"/>
  <c r="L407" i="5"/>
  <c r="K407" i="5"/>
  <c r="L406" i="5"/>
  <c r="K406" i="5"/>
  <c r="L405" i="5"/>
  <c r="K405" i="5"/>
  <c r="L404" i="5"/>
  <c r="K404" i="5"/>
  <c r="L403" i="5"/>
  <c r="K403" i="5"/>
  <c r="L402" i="5"/>
  <c r="K402" i="5"/>
  <c r="L401" i="5"/>
  <c r="K401" i="5"/>
  <c r="L400" i="5"/>
  <c r="K400" i="5"/>
  <c r="L399" i="5"/>
  <c r="K399" i="5"/>
  <c r="L398" i="5"/>
  <c r="K398" i="5"/>
  <c r="L397" i="5"/>
  <c r="K397" i="5"/>
  <c r="L396" i="5"/>
  <c r="K396" i="5"/>
  <c r="L395" i="5"/>
  <c r="K395" i="5"/>
  <c r="L394" i="5"/>
  <c r="K394" i="5"/>
  <c r="L393" i="5"/>
  <c r="K393" i="5"/>
  <c r="L392" i="5"/>
  <c r="K392" i="5"/>
  <c r="L391" i="5"/>
  <c r="K391" i="5"/>
  <c r="L390" i="5"/>
  <c r="K390" i="5"/>
  <c r="L389" i="5"/>
  <c r="K389" i="5"/>
  <c r="L388" i="5"/>
  <c r="K388" i="5"/>
  <c r="L387" i="5"/>
  <c r="K387" i="5"/>
  <c r="L386" i="5"/>
  <c r="K386" i="5"/>
  <c r="L385" i="5"/>
  <c r="K385" i="5"/>
  <c r="L384" i="5"/>
  <c r="K384" i="5"/>
  <c r="L383" i="5"/>
  <c r="K383" i="5"/>
  <c r="L382" i="5"/>
  <c r="K382" i="5"/>
  <c r="L381" i="5"/>
  <c r="K381" i="5"/>
  <c r="L380" i="5"/>
  <c r="K380" i="5"/>
  <c r="L379" i="5"/>
  <c r="K379" i="5"/>
  <c r="L378" i="5"/>
  <c r="K378" i="5"/>
  <c r="L377" i="5"/>
  <c r="K377" i="5"/>
  <c r="L376" i="5"/>
  <c r="K376" i="5"/>
  <c r="L375" i="5"/>
  <c r="K375" i="5"/>
  <c r="L374" i="5"/>
  <c r="K374" i="5"/>
  <c r="L373" i="5"/>
  <c r="K373" i="5"/>
  <c r="L372" i="5"/>
  <c r="K372" i="5"/>
  <c r="L371" i="5"/>
  <c r="K371" i="5"/>
  <c r="L370" i="5"/>
  <c r="K370" i="5"/>
  <c r="L369" i="5"/>
  <c r="K369" i="5"/>
  <c r="L368" i="5"/>
  <c r="K368" i="5"/>
  <c r="L367" i="5"/>
  <c r="K367" i="5"/>
  <c r="L366" i="5"/>
  <c r="K366" i="5"/>
  <c r="L365" i="5"/>
  <c r="K365" i="5"/>
  <c r="L364" i="5"/>
  <c r="K364" i="5"/>
  <c r="L363" i="5"/>
  <c r="K363" i="5"/>
  <c r="L362" i="5"/>
  <c r="K362" i="5"/>
  <c r="L361" i="5"/>
  <c r="K361" i="5"/>
  <c r="L360" i="5"/>
  <c r="K360" i="5"/>
  <c r="L359" i="5"/>
  <c r="K359" i="5"/>
  <c r="L358" i="5"/>
  <c r="K358" i="5"/>
  <c r="L357" i="5"/>
  <c r="K357" i="5"/>
  <c r="L356" i="5"/>
  <c r="K356" i="5"/>
  <c r="L355" i="5"/>
  <c r="K355" i="5"/>
  <c r="L354" i="5"/>
  <c r="K354" i="5"/>
  <c r="L353" i="5"/>
  <c r="K353" i="5"/>
  <c r="L352" i="5"/>
  <c r="K352" i="5"/>
  <c r="L351" i="5"/>
  <c r="K351" i="5"/>
  <c r="L350" i="5"/>
  <c r="K350" i="5"/>
  <c r="L349" i="5"/>
  <c r="K349" i="5"/>
  <c r="L348" i="5"/>
  <c r="K348" i="5"/>
  <c r="L347" i="5"/>
  <c r="K347" i="5"/>
  <c r="L346" i="5"/>
  <c r="K346" i="5"/>
  <c r="L345" i="5"/>
  <c r="K345" i="5"/>
  <c r="L344" i="5"/>
  <c r="K344" i="5"/>
  <c r="L343" i="5"/>
  <c r="K343" i="5"/>
  <c r="L342" i="5"/>
  <c r="K342" i="5"/>
  <c r="L341" i="5"/>
  <c r="K341" i="5"/>
  <c r="L340" i="5"/>
  <c r="K340" i="5"/>
  <c r="L339" i="5"/>
  <c r="K339" i="5"/>
  <c r="L338" i="5"/>
  <c r="K338" i="5"/>
  <c r="L337" i="5"/>
  <c r="K337" i="5"/>
  <c r="L336" i="5"/>
  <c r="K336" i="5"/>
  <c r="L335" i="5"/>
  <c r="K335" i="5"/>
  <c r="L334" i="5"/>
  <c r="K334" i="5"/>
  <c r="L333" i="5"/>
  <c r="K333" i="5"/>
  <c r="L332" i="5"/>
  <c r="K332" i="5"/>
  <c r="L331" i="5"/>
  <c r="K331" i="5"/>
  <c r="L330" i="5"/>
  <c r="K330" i="5"/>
  <c r="L329" i="5"/>
  <c r="K329" i="5"/>
  <c r="L328" i="5"/>
  <c r="K328" i="5"/>
  <c r="L327" i="5"/>
  <c r="K327" i="5"/>
  <c r="L326" i="5"/>
  <c r="K326" i="5"/>
  <c r="L325" i="5"/>
  <c r="K325" i="5"/>
  <c r="L324" i="5"/>
  <c r="K324" i="5"/>
  <c r="L323" i="5"/>
  <c r="K323" i="5"/>
  <c r="L322" i="5"/>
  <c r="K322" i="5"/>
  <c r="L321" i="5"/>
  <c r="K321" i="5"/>
  <c r="L320" i="5"/>
  <c r="K320" i="5"/>
  <c r="L319" i="5"/>
  <c r="K319" i="5"/>
  <c r="L318" i="5"/>
  <c r="K318" i="5"/>
  <c r="L317" i="5"/>
  <c r="K317" i="5"/>
  <c r="L316" i="5"/>
  <c r="K316" i="5"/>
  <c r="L315" i="5"/>
  <c r="K315" i="5"/>
  <c r="L314" i="5"/>
  <c r="K314" i="5"/>
  <c r="L313" i="5"/>
  <c r="K313" i="5"/>
  <c r="L312" i="5"/>
  <c r="K312" i="5"/>
  <c r="L311" i="5"/>
  <c r="K311" i="5"/>
  <c r="L310" i="5"/>
  <c r="K310" i="5"/>
  <c r="L309" i="5"/>
  <c r="K309" i="5"/>
  <c r="L308" i="5"/>
  <c r="K308" i="5"/>
  <c r="L307" i="5"/>
  <c r="K307" i="5"/>
  <c r="L306" i="5"/>
  <c r="K306" i="5"/>
  <c r="L305" i="5"/>
  <c r="K305" i="5"/>
  <c r="L304" i="5"/>
  <c r="K304" i="5"/>
  <c r="L303" i="5"/>
  <c r="K303" i="5"/>
  <c r="L302" i="5"/>
  <c r="K302" i="5"/>
  <c r="L301" i="5"/>
  <c r="K301" i="5"/>
  <c r="L300" i="5"/>
  <c r="K300" i="5"/>
  <c r="L299" i="5"/>
  <c r="K299" i="5"/>
  <c r="L298" i="5"/>
  <c r="K298" i="5"/>
  <c r="L297" i="5"/>
  <c r="K297" i="5"/>
  <c r="L296" i="5"/>
  <c r="K296" i="5"/>
  <c r="L295" i="5"/>
  <c r="K295" i="5"/>
  <c r="L294" i="5"/>
  <c r="K294" i="5"/>
  <c r="L293" i="5"/>
  <c r="K293" i="5"/>
  <c r="L292" i="5"/>
  <c r="K292" i="5"/>
  <c r="L291" i="5"/>
  <c r="K291" i="5"/>
  <c r="L290" i="5"/>
  <c r="K290" i="5"/>
  <c r="L289" i="5"/>
  <c r="K289" i="5"/>
  <c r="L288" i="5"/>
  <c r="K288" i="5"/>
  <c r="L287" i="5"/>
  <c r="K287" i="5"/>
  <c r="L286" i="5"/>
  <c r="K286" i="5"/>
  <c r="L285" i="5"/>
  <c r="K285" i="5"/>
  <c r="L284" i="5"/>
  <c r="K284" i="5"/>
  <c r="L283" i="5"/>
  <c r="K283" i="5"/>
  <c r="L282" i="5"/>
  <c r="K282" i="5"/>
  <c r="L281" i="5"/>
  <c r="K281" i="5"/>
  <c r="L280" i="5"/>
  <c r="K280" i="5"/>
  <c r="L279" i="5"/>
  <c r="K279" i="5"/>
  <c r="L278" i="5"/>
  <c r="K278" i="5"/>
  <c r="L277" i="5"/>
  <c r="K277" i="5"/>
  <c r="L276" i="5"/>
  <c r="K276" i="5"/>
  <c r="L275" i="5"/>
  <c r="K275" i="5"/>
  <c r="L274" i="5"/>
  <c r="K274" i="5"/>
  <c r="L273" i="5"/>
  <c r="K273" i="5"/>
  <c r="L272" i="5"/>
  <c r="K272" i="5"/>
  <c r="L271" i="5"/>
  <c r="K271" i="5"/>
  <c r="L270" i="5"/>
  <c r="K270" i="5"/>
  <c r="L269" i="5"/>
  <c r="K269" i="5"/>
  <c r="L268" i="5"/>
  <c r="K268" i="5"/>
  <c r="L267" i="5"/>
  <c r="K267" i="5"/>
  <c r="L266" i="5"/>
  <c r="K266" i="5"/>
  <c r="L265" i="5"/>
  <c r="K265" i="5"/>
  <c r="L264" i="5"/>
  <c r="K264" i="5"/>
  <c r="L263" i="5"/>
  <c r="K263" i="5"/>
  <c r="L262" i="5"/>
  <c r="K262" i="5"/>
  <c r="L261" i="5"/>
  <c r="K261" i="5"/>
  <c r="L260" i="5"/>
  <c r="K260" i="5"/>
  <c r="L259" i="5"/>
  <c r="K259" i="5"/>
  <c r="L258" i="5"/>
  <c r="K258" i="5"/>
  <c r="L257" i="5"/>
  <c r="K257" i="5"/>
  <c r="L256" i="5"/>
  <c r="K256" i="5"/>
  <c r="L255" i="5"/>
  <c r="K255" i="5"/>
  <c r="L254" i="5"/>
  <c r="K254" i="5"/>
  <c r="L253" i="5"/>
  <c r="K253" i="5"/>
  <c r="L252" i="5"/>
  <c r="K252" i="5"/>
  <c r="L251" i="5"/>
  <c r="K251" i="5"/>
  <c r="L250" i="5"/>
  <c r="K250" i="5"/>
  <c r="L249" i="5"/>
  <c r="K249" i="5"/>
  <c r="L248" i="5"/>
  <c r="K248" i="5"/>
  <c r="L247" i="5"/>
  <c r="K247" i="5"/>
  <c r="L246" i="5"/>
  <c r="K246" i="5"/>
  <c r="L245" i="5"/>
  <c r="K245" i="5"/>
  <c r="L244" i="5"/>
  <c r="K244" i="5"/>
  <c r="L243" i="5"/>
  <c r="K243" i="5"/>
  <c r="L242" i="5"/>
  <c r="K242" i="5"/>
  <c r="L241" i="5"/>
  <c r="K241" i="5"/>
  <c r="L240" i="5"/>
  <c r="K240" i="5"/>
  <c r="L239" i="5"/>
  <c r="K239" i="5"/>
  <c r="L238" i="5"/>
  <c r="K238" i="5"/>
  <c r="L237" i="5"/>
  <c r="K237" i="5"/>
  <c r="L236" i="5"/>
  <c r="K236" i="5"/>
  <c r="L235" i="5"/>
  <c r="K235" i="5"/>
  <c r="L234" i="5"/>
  <c r="K234" i="5"/>
  <c r="L233" i="5"/>
  <c r="K233" i="5"/>
  <c r="L232" i="5"/>
  <c r="K232" i="5"/>
  <c r="L231" i="5"/>
  <c r="K231" i="5"/>
  <c r="L230" i="5"/>
  <c r="K230" i="5"/>
  <c r="L229" i="5"/>
  <c r="K229" i="5"/>
  <c r="L228" i="5"/>
  <c r="K228" i="5"/>
  <c r="L227" i="5"/>
  <c r="K227" i="5"/>
  <c r="L226" i="5"/>
  <c r="K226" i="5"/>
  <c r="L225" i="5"/>
  <c r="K225" i="5"/>
  <c r="L224" i="5"/>
  <c r="K224" i="5"/>
  <c r="L223" i="5"/>
  <c r="K223" i="5"/>
  <c r="L222" i="5"/>
  <c r="K222" i="5"/>
  <c r="L221" i="5"/>
  <c r="K221" i="5"/>
  <c r="L220" i="5"/>
  <c r="K220" i="5"/>
  <c r="L219" i="5"/>
  <c r="K219" i="5"/>
  <c r="L218" i="5"/>
  <c r="K218" i="5"/>
  <c r="L217" i="5"/>
  <c r="K217" i="5"/>
  <c r="L216" i="5"/>
  <c r="K216" i="5"/>
  <c r="L215" i="5"/>
  <c r="K215" i="5"/>
  <c r="L214" i="5"/>
  <c r="K214" i="5"/>
  <c r="L213" i="5"/>
  <c r="K213" i="5"/>
  <c r="L212" i="5"/>
  <c r="K212" i="5"/>
  <c r="L211" i="5"/>
  <c r="K211" i="5"/>
  <c r="L210" i="5"/>
  <c r="K210" i="5"/>
  <c r="L209" i="5"/>
  <c r="K209" i="5"/>
  <c r="L208" i="5"/>
  <c r="K208" i="5"/>
  <c r="L207" i="5"/>
  <c r="K207" i="5"/>
  <c r="L206" i="5"/>
  <c r="K206" i="5"/>
  <c r="L205" i="5"/>
  <c r="K205" i="5"/>
  <c r="L204" i="5"/>
  <c r="K204" i="5"/>
  <c r="L203" i="5"/>
  <c r="K203" i="5"/>
  <c r="L202" i="5"/>
  <c r="K202" i="5"/>
  <c r="L201" i="5"/>
  <c r="K201" i="5"/>
  <c r="L200" i="5"/>
  <c r="K200" i="5"/>
  <c r="L199" i="5"/>
  <c r="K199" i="5"/>
  <c r="L198" i="5"/>
  <c r="K198" i="5"/>
  <c r="L197" i="5"/>
  <c r="K197" i="5"/>
  <c r="L196" i="5"/>
  <c r="K196" i="5"/>
  <c r="L195" i="5"/>
  <c r="K195" i="5"/>
  <c r="L194" i="5"/>
  <c r="K194" i="5"/>
  <c r="L193" i="5"/>
  <c r="K193" i="5"/>
  <c r="L192" i="5"/>
  <c r="K192" i="5"/>
  <c r="L191" i="5"/>
  <c r="K191" i="5"/>
  <c r="L190" i="5"/>
  <c r="K190" i="5"/>
  <c r="L189" i="5"/>
  <c r="K189" i="5"/>
  <c r="L188" i="5"/>
  <c r="K188" i="5"/>
  <c r="L187" i="5"/>
  <c r="K187" i="5"/>
  <c r="L186" i="5"/>
  <c r="K186" i="5"/>
  <c r="L185" i="5"/>
  <c r="K185" i="5"/>
  <c r="L184" i="5"/>
  <c r="K184" i="5"/>
  <c r="L183" i="5"/>
  <c r="K183" i="5"/>
  <c r="L182" i="5"/>
  <c r="K182" i="5"/>
  <c r="L181" i="5"/>
  <c r="K181" i="5"/>
  <c r="L180" i="5"/>
  <c r="K180" i="5"/>
  <c r="L179" i="5"/>
  <c r="K179" i="5"/>
  <c r="L178" i="5"/>
  <c r="K178" i="5"/>
  <c r="L177" i="5"/>
  <c r="K177" i="5"/>
  <c r="L176" i="5"/>
  <c r="K176" i="5"/>
  <c r="L175" i="5"/>
  <c r="K175" i="5"/>
  <c r="L174" i="5"/>
  <c r="K174" i="5"/>
  <c r="L173" i="5"/>
  <c r="K173" i="5"/>
  <c r="L172" i="5"/>
  <c r="K172" i="5"/>
  <c r="L171" i="5"/>
  <c r="K171" i="5"/>
  <c r="L170" i="5"/>
  <c r="K170" i="5"/>
  <c r="L169" i="5"/>
  <c r="K169" i="5"/>
  <c r="L168" i="5"/>
  <c r="K168" i="5"/>
  <c r="L167" i="5"/>
  <c r="K167" i="5"/>
  <c r="L166" i="5"/>
  <c r="K166" i="5"/>
  <c r="L165" i="5"/>
  <c r="K165" i="5"/>
  <c r="L164" i="5"/>
  <c r="K164" i="5"/>
  <c r="L163" i="5"/>
  <c r="K163" i="5"/>
  <c r="L162" i="5"/>
  <c r="K162" i="5"/>
  <c r="L161" i="5"/>
  <c r="K161" i="5"/>
  <c r="L160" i="5"/>
  <c r="K160" i="5"/>
  <c r="L159" i="5"/>
  <c r="K159" i="5"/>
  <c r="L158" i="5"/>
  <c r="K158" i="5"/>
  <c r="L157" i="5"/>
  <c r="K157" i="5"/>
  <c r="L156" i="5"/>
  <c r="K156" i="5"/>
  <c r="L155" i="5"/>
  <c r="K155" i="5"/>
  <c r="L154" i="5"/>
  <c r="K154" i="5"/>
  <c r="L153" i="5"/>
  <c r="K153" i="5"/>
  <c r="L152" i="5"/>
  <c r="K152" i="5"/>
  <c r="L151" i="5"/>
  <c r="K151" i="5"/>
  <c r="L150" i="5"/>
  <c r="K150" i="5"/>
  <c r="L149" i="5"/>
  <c r="K149" i="5"/>
  <c r="L148" i="5"/>
  <c r="K148" i="5"/>
  <c r="L147" i="5"/>
  <c r="K147" i="5"/>
  <c r="L146" i="5"/>
  <c r="K146" i="5"/>
  <c r="L145" i="5"/>
  <c r="K145" i="5"/>
  <c r="L144" i="5"/>
  <c r="K144" i="5"/>
  <c r="L143" i="5"/>
  <c r="K143" i="5"/>
  <c r="L142" i="5"/>
  <c r="K142" i="5"/>
  <c r="L141" i="5"/>
  <c r="K141" i="5"/>
  <c r="L140" i="5"/>
  <c r="K140" i="5"/>
  <c r="L139" i="5"/>
  <c r="K139" i="5"/>
  <c r="L138" i="5"/>
  <c r="K138" i="5"/>
  <c r="L137" i="5"/>
  <c r="K137" i="5"/>
  <c r="L136" i="5"/>
  <c r="K136" i="5"/>
  <c r="L135" i="5"/>
  <c r="K135" i="5"/>
  <c r="L134" i="5"/>
  <c r="K134" i="5"/>
  <c r="L133" i="5"/>
  <c r="K133" i="5"/>
  <c r="L132" i="5"/>
  <c r="K132" i="5"/>
  <c r="L131" i="5"/>
  <c r="K131" i="5"/>
  <c r="L130" i="5"/>
  <c r="K130" i="5"/>
  <c r="L129" i="5"/>
  <c r="K129" i="5"/>
  <c r="L128" i="5"/>
  <c r="K128" i="5"/>
  <c r="L127" i="5"/>
  <c r="K127" i="5"/>
  <c r="L126" i="5"/>
  <c r="K126" i="5"/>
  <c r="L125" i="5"/>
  <c r="K125" i="5"/>
  <c r="L124" i="5"/>
  <c r="K124" i="5"/>
  <c r="L123" i="5"/>
  <c r="K123" i="5"/>
  <c r="L122" i="5"/>
  <c r="K122" i="5"/>
  <c r="L121" i="5"/>
  <c r="K121" i="5"/>
  <c r="L120" i="5"/>
  <c r="K120" i="5"/>
  <c r="L119" i="5"/>
  <c r="K119" i="5"/>
  <c r="L118" i="5"/>
  <c r="K118" i="5"/>
  <c r="L117" i="5"/>
  <c r="K117" i="5"/>
  <c r="L116" i="5"/>
  <c r="K116" i="5"/>
  <c r="L115" i="5"/>
  <c r="K115" i="5"/>
  <c r="L114" i="5"/>
  <c r="K114" i="5"/>
  <c r="L113" i="5"/>
  <c r="K113" i="5"/>
  <c r="L112" i="5"/>
  <c r="K112" i="5"/>
  <c r="L111" i="5"/>
  <c r="K111" i="5"/>
  <c r="L110" i="5"/>
  <c r="K110" i="5"/>
  <c r="L109" i="5"/>
  <c r="K109" i="5"/>
  <c r="L108" i="5"/>
  <c r="K108" i="5"/>
  <c r="L107" i="5"/>
  <c r="K107" i="5"/>
  <c r="L106" i="5"/>
  <c r="K106" i="5"/>
  <c r="L105" i="5"/>
  <c r="K105" i="5"/>
  <c r="L104" i="5"/>
  <c r="K104" i="5"/>
  <c r="L103" i="5"/>
  <c r="K103" i="5"/>
  <c r="L102" i="5"/>
  <c r="K102" i="5"/>
  <c r="L101" i="5"/>
  <c r="K101" i="5"/>
  <c r="L100" i="5"/>
  <c r="K100" i="5"/>
  <c r="L99" i="5"/>
  <c r="K99" i="5"/>
  <c r="L98" i="5"/>
  <c r="K98" i="5"/>
  <c r="L97" i="5"/>
  <c r="K97" i="5"/>
  <c r="L96" i="5"/>
  <c r="K96" i="5"/>
  <c r="L95" i="5"/>
  <c r="K95" i="5"/>
  <c r="L94" i="5"/>
  <c r="K94" i="5"/>
  <c r="L93" i="5"/>
  <c r="K93" i="5"/>
  <c r="L92" i="5"/>
  <c r="K92" i="5"/>
  <c r="L91" i="5"/>
  <c r="K91" i="5"/>
  <c r="L90" i="5"/>
  <c r="K90" i="5"/>
  <c r="L89" i="5"/>
  <c r="K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O9" i="4"/>
  <c r="O2" i="4"/>
  <c r="O7" i="4"/>
  <c r="O4" i="4"/>
  <c r="L1001" i="4"/>
  <c r="K1001" i="4"/>
  <c r="L1000" i="4"/>
  <c r="K1000" i="4"/>
  <c r="L999" i="4"/>
  <c r="K999" i="4"/>
  <c r="L998" i="4"/>
  <c r="K998" i="4"/>
  <c r="L997" i="4"/>
  <c r="K997" i="4"/>
  <c r="L996" i="4"/>
  <c r="K996" i="4"/>
  <c r="L995" i="4"/>
  <c r="K995" i="4"/>
  <c r="L994" i="4"/>
  <c r="K994" i="4"/>
  <c r="L993" i="4"/>
  <c r="K993" i="4"/>
  <c r="L992" i="4"/>
  <c r="K992" i="4"/>
  <c r="L991" i="4"/>
  <c r="K991" i="4"/>
  <c r="L990" i="4"/>
  <c r="K990" i="4"/>
  <c r="L989" i="4"/>
  <c r="K989" i="4"/>
  <c r="L988" i="4"/>
  <c r="K988" i="4"/>
  <c r="L987" i="4"/>
  <c r="K987" i="4"/>
  <c r="L986" i="4"/>
  <c r="K986" i="4"/>
  <c r="L985" i="4"/>
  <c r="K985" i="4"/>
  <c r="L984" i="4"/>
  <c r="K984" i="4"/>
  <c r="L983" i="4"/>
  <c r="K983" i="4"/>
  <c r="L982" i="4"/>
  <c r="K982" i="4"/>
  <c r="L981" i="4"/>
  <c r="K981" i="4"/>
  <c r="L980" i="4"/>
  <c r="K980" i="4"/>
  <c r="L979" i="4"/>
  <c r="K979" i="4"/>
  <c r="L978" i="4"/>
  <c r="K978" i="4"/>
  <c r="L977" i="4"/>
  <c r="K977" i="4"/>
  <c r="L976" i="4"/>
  <c r="K976" i="4"/>
  <c r="L975" i="4"/>
  <c r="K975" i="4"/>
  <c r="L974" i="4"/>
  <c r="K974" i="4"/>
  <c r="L973" i="4"/>
  <c r="K973" i="4"/>
  <c r="L972" i="4"/>
  <c r="K972" i="4"/>
  <c r="L971" i="4"/>
  <c r="K971" i="4"/>
  <c r="L970" i="4"/>
  <c r="K970" i="4"/>
  <c r="L969" i="4"/>
  <c r="K969" i="4"/>
  <c r="L968" i="4"/>
  <c r="K968" i="4"/>
  <c r="L967" i="4"/>
  <c r="K967" i="4"/>
  <c r="L966" i="4"/>
  <c r="K966" i="4"/>
  <c r="L965" i="4"/>
  <c r="K965" i="4"/>
  <c r="L964" i="4"/>
  <c r="K964" i="4"/>
  <c r="L963" i="4"/>
  <c r="K963" i="4"/>
  <c r="L962" i="4"/>
  <c r="K962" i="4"/>
  <c r="L961" i="4"/>
  <c r="K961" i="4"/>
  <c r="L960" i="4"/>
  <c r="K960" i="4"/>
  <c r="L959" i="4"/>
  <c r="K959" i="4"/>
  <c r="L958" i="4"/>
  <c r="K958" i="4"/>
  <c r="L957" i="4"/>
  <c r="K957" i="4"/>
  <c r="L956" i="4"/>
  <c r="K956" i="4"/>
  <c r="L955" i="4"/>
  <c r="K955" i="4"/>
  <c r="L954" i="4"/>
  <c r="K954" i="4"/>
  <c r="L953" i="4"/>
  <c r="K953" i="4"/>
  <c r="L952" i="4"/>
  <c r="K952" i="4"/>
  <c r="L951" i="4"/>
  <c r="K951" i="4"/>
  <c r="L950" i="4"/>
  <c r="K950" i="4"/>
  <c r="L949" i="4"/>
  <c r="K949" i="4"/>
  <c r="L948" i="4"/>
  <c r="K948" i="4"/>
  <c r="L947" i="4"/>
  <c r="K947" i="4"/>
  <c r="L946" i="4"/>
  <c r="K946" i="4"/>
  <c r="L945" i="4"/>
  <c r="K945" i="4"/>
  <c r="L944" i="4"/>
  <c r="K944" i="4"/>
  <c r="L943" i="4"/>
  <c r="K943" i="4"/>
  <c r="L942" i="4"/>
  <c r="K942" i="4"/>
  <c r="L941" i="4"/>
  <c r="K941" i="4"/>
  <c r="L940" i="4"/>
  <c r="K940" i="4"/>
  <c r="L939" i="4"/>
  <c r="K939" i="4"/>
  <c r="L938" i="4"/>
  <c r="K938" i="4"/>
  <c r="L937" i="4"/>
  <c r="K937" i="4"/>
  <c r="L936" i="4"/>
  <c r="K936" i="4"/>
  <c r="L935" i="4"/>
  <c r="K935" i="4"/>
  <c r="L934" i="4"/>
  <c r="K934" i="4"/>
  <c r="L933" i="4"/>
  <c r="K933" i="4"/>
  <c r="L932" i="4"/>
  <c r="K932" i="4"/>
  <c r="L931" i="4"/>
  <c r="K931" i="4"/>
  <c r="L930" i="4"/>
  <c r="K930" i="4"/>
  <c r="L929" i="4"/>
  <c r="K929" i="4"/>
  <c r="L928" i="4"/>
  <c r="K928" i="4"/>
  <c r="L927" i="4"/>
  <c r="K927" i="4"/>
  <c r="L926" i="4"/>
  <c r="K926" i="4"/>
  <c r="L925" i="4"/>
  <c r="K925" i="4"/>
  <c r="L924" i="4"/>
  <c r="K924" i="4"/>
  <c r="L923" i="4"/>
  <c r="K923" i="4"/>
  <c r="L922" i="4"/>
  <c r="K922" i="4"/>
  <c r="L921" i="4"/>
  <c r="K921" i="4"/>
  <c r="L920" i="4"/>
  <c r="K920" i="4"/>
  <c r="L919" i="4"/>
  <c r="K919" i="4"/>
  <c r="L918" i="4"/>
  <c r="K918" i="4"/>
  <c r="L917" i="4"/>
  <c r="K917" i="4"/>
  <c r="L916" i="4"/>
  <c r="K916" i="4"/>
  <c r="L915" i="4"/>
  <c r="K915" i="4"/>
  <c r="L914" i="4"/>
  <c r="K914" i="4"/>
  <c r="L913" i="4"/>
  <c r="K913" i="4"/>
  <c r="L912" i="4"/>
  <c r="K912" i="4"/>
  <c r="L911" i="4"/>
  <c r="K911" i="4"/>
  <c r="L910" i="4"/>
  <c r="K910" i="4"/>
  <c r="L909" i="4"/>
  <c r="K909" i="4"/>
  <c r="L908" i="4"/>
  <c r="K908" i="4"/>
  <c r="L907" i="4"/>
  <c r="K907" i="4"/>
  <c r="L906" i="4"/>
  <c r="K906" i="4"/>
  <c r="L905" i="4"/>
  <c r="K905" i="4"/>
  <c r="L904" i="4"/>
  <c r="K904" i="4"/>
  <c r="L903" i="4"/>
  <c r="K903" i="4"/>
  <c r="L902" i="4"/>
  <c r="K902" i="4"/>
  <c r="L901" i="4"/>
  <c r="K901" i="4"/>
  <c r="L900" i="4"/>
  <c r="K900" i="4"/>
  <c r="L899" i="4"/>
  <c r="K899" i="4"/>
  <c r="L898" i="4"/>
  <c r="K898" i="4"/>
  <c r="L897" i="4"/>
  <c r="K897" i="4"/>
  <c r="L896" i="4"/>
  <c r="K896" i="4"/>
  <c r="L895" i="4"/>
  <c r="K895" i="4"/>
  <c r="L894" i="4"/>
  <c r="K894" i="4"/>
  <c r="L893" i="4"/>
  <c r="K893" i="4"/>
  <c r="L892" i="4"/>
  <c r="K892" i="4"/>
  <c r="L891" i="4"/>
  <c r="K891" i="4"/>
  <c r="L890" i="4"/>
  <c r="K890" i="4"/>
  <c r="L889" i="4"/>
  <c r="K889" i="4"/>
  <c r="L888" i="4"/>
  <c r="K888" i="4"/>
  <c r="L887" i="4"/>
  <c r="K887" i="4"/>
  <c r="L886" i="4"/>
  <c r="K886" i="4"/>
  <c r="L885" i="4"/>
  <c r="K885" i="4"/>
  <c r="L884" i="4"/>
  <c r="K884" i="4"/>
  <c r="L883" i="4"/>
  <c r="K883" i="4"/>
  <c r="L882" i="4"/>
  <c r="K882" i="4"/>
  <c r="L881" i="4"/>
  <c r="K881" i="4"/>
  <c r="L880" i="4"/>
  <c r="K880" i="4"/>
  <c r="L879" i="4"/>
  <c r="K879" i="4"/>
  <c r="L878" i="4"/>
  <c r="K878" i="4"/>
  <c r="L877" i="4"/>
  <c r="K877" i="4"/>
  <c r="L876" i="4"/>
  <c r="K876" i="4"/>
  <c r="L875" i="4"/>
  <c r="K875" i="4"/>
  <c r="L874" i="4"/>
  <c r="K874" i="4"/>
  <c r="L873" i="4"/>
  <c r="K873" i="4"/>
  <c r="L872" i="4"/>
  <c r="K872" i="4"/>
  <c r="L871" i="4"/>
  <c r="K871" i="4"/>
  <c r="L870" i="4"/>
  <c r="K870" i="4"/>
  <c r="L869" i="4"/>
  <c r="K869" i="4"/>
  <c r="L868" i="4"/>
  <c r="K868" i="4"/>
  <c r="L867" i="4"/>
  <c r="K867" i="4"/>
  <c r="L866" i="4"/>
  <c r="K866" i="4"/>
  <c r="L865" i="4"/>
  <c r="K865" i="4"/>
  <c r="L864" i="4"/>
  <c r="K864" i="4"/>
  <c r="L863" i="4"/>
  <c r="K863" i="4"/>
  <c r="L862" i="4"/>
  <c r="K862" i="4"/>
  <c r="L861" i="4"/>
  <c r="K861" i="4"/>
  <c r="L860" i="4"/>
  <c r="K860" i="4"/>
  <c r="L859" i="4"/>
  <c r="K859" i="4"/>
  <c r="L858" i="4"/>
  <c r="K858" i="4"/>
  <c r="L857" i="4"/>
  <c r="K857" i="4"/>
  <c r="L856" i="4"/>
  <c r="K856" i="4"/>
  <c r="L855" i="4"/>
  <c r="K855" i="4"/>
  <c r="L854" i="4"/>
  <c r="K854" i="4"/>
  <c r="L853" i="4"/>
  <c r="K853" i="4"/>
  <c r="L852" i="4"/>
  <c r="K852" i="4"/>
  <c r="L851" i="4"/>
  <c r="K851" i="4"/>
  <c r="L850" i="4"/>
  <c r="K850" i="4"/>
  <c r="L849" i="4"/>
  <c r="K849" i="4"/>
  <c r="L848" i="4"/>
  <c r="K848" i="4"/>
  <c r="L847" i="4"/>
  <c r="K847" i="4"/>
  <c r="L846" i="4"/>
  <c r="K846" i="4"/>
  <c r="L845" i="4"/>
  <c r="K845" i="4"/>
  <c r="L844" i="4"/>
  <c r="K844" i="4"/>
  <c r="L843" i="4"/>
  <c r="K843" i="4"/>
  <c r="L842" i="4"/>
  <c r="K842" i="4"/>
  <c r="L841" i="4"/>
  <c r="K841" i="4"/>
  <c r="L840" i="4"/>
  <c r="K840" i="4"/>
  <c r="L839" i="4"/>
  <c r="K839" i="4"/>
  <c r="L838" i="4"/>
  <c r="K838" i="4"/>
  <c r="L837" i="4"/>
  <c r="K837" i="4"/>
  <c r="L836" i="4"/>
  <c r="K836" i="4"/>
  <c r="L835" i="4"/>
  <c r="K835" i="4"/>
  <c r="L834" i="4"/>
  <c r="K834" i="4"/>
  <c r="L833" i="4"/>
  <c r="K833" i="4"/>
  <c r="L832" i="4"/>
  <c r="K832" i="4"/>
  <c r="L831" i="4"/>
  <c r="K831" i="4"/>
  <c r="L830" i="4"/>
  <c r="K830" i="4"/>
  <c r="L829" i="4"/>
  <c r="K829" i="4"/>
  <c r="L828" i="4"/>
  <c r="K828" i="4"/>
  <c r="L827" i="4"/>
  <c r="K827" i="4"/>
  <c r="L826" i="4"/>
  <c r="K826" i="4"/>
  <c r="L825" i="4"/>
  <c r="K825" i="4"/>
  <c r="L824" i="4"/>
  <c r="K824" i="4"/>
  <c r="L823" i="4"/>
  <c r="K823" i="4"/>
  <c r="L822" i="4"/>
  <c r="K822" i="4"/>
  <c r="L821" i="4"/>
  <c r="K821" i="4"/>
  <c r="L820" i="4"/>
  <c r="K820" i="4"/>
  <c r="L819" i="4"/>
  <c r="K819" i="4"/>
  <c r="L818" i="4"/>
  <c r="K818" i="4"/>
  <c r="L817" i="4"/>
  <c r="K817" i="4"/>
  <c r="L816" i="4"/>
  <c r="K816" i="4"/>
  <c r="L815" i="4"/>
  <c r="K815" i="4"/>
  <c r="L814" i="4"/>
  <c r="K814" i="4"/>
  <c r="L813" i="4"/>
  <c r="K813" i="4"/>
  <c r="L812" i="4"/>
  <c r="K812" i="4"/>
  <c r="L811" i="4"/>
  <c r="K811" i="4"/>
  <c r="L810" i="4"/>
  <c r="K810" i="4"/>
  <c r="L809" i="4"/>
  <c r="K809" i="4"/>
  <c r="L808" i="4"/>
  <c r="K808" i="4"/>
  <c r="L807" i="4"/>
  <c r="K807" i="4"/>
  <c r="L806" i="4"/>
  <c r="K806" i="4"/>
  <c r="L805" i="4"/>
  <c r="K805" i="4"/>
  <c r="L804" i="4"/>
  <c r="K804" i="4"/>
  <c r="L803" i="4"/>
  <c r="K803" i="4"/>
  <c r="L802" i="4"/>
  <c r="K802" i="4"/>
  <c r="L801" i="4"/>
  <c r="K801" i="4"/>
  <c r="L800" i="4"/>
  <c r="K800" i="4"/>
  <c r="L799" i="4"/>
  <c r="K799" i="4"/>
  <c r="L798" i="4"/>
  <c r="K798" i="4"/>
  <c r="L797" i="4"/>
  <c r="K797" i="4"/>
  <c r="L796" i="4"/>
  <c r="K796" i="4"/>
  <c r="L795" i="4"/>
  <c r="K795" i="4"/>
  <c r="L794" i="4"/>
  <c r="K794" i="4"/>
  <c r="L793" i="4"/>
  <c r="K793" i="4"/>
  <c r="L792" i="4"/>
  <c r="K792" i="4"/>
  <c r="L791" i="4"/>
  <c r="K791" i="4"/>
  <c r="L790" i="4"/>
  <c r="K790" i="4"/>
  <c r="L789" i="4"/>
  <c r="K789" i="4"/>
  <c r="L788" i="4"/>
  <c r="K788" i="4"/>
  <c r="L787" i="4"/>
  <c r="K787" i="4"/>
  <c r="L786" i="4"/>
  <c r="K786" i="4"/>
  <c r="L785" i="4"/>
  <c r="K785" i="4"/>
  <c r="L784" i="4"/>
  <c r="K784" i="4"/>
  <c r="L783" i="4"/>
  <c r="K783" i="4"/>
  <c r="L782" i="4"/>
  <c r="K782" i="4"/>
  <c r="L781" i="4"/>
  <c r="K781" i="4"/>
  <c r="L780" i="4"/>
  <c r="K780" i="4"/>
  <c r="L779" i="4"/>
  <c r="K779" i="4"/>
  <c r="L778" i="4"/>
  <c r="K778" i="4"/>
  <c r="L777" i="4"/>
  <c r="K777" i="4"/>
  <c r="L776" i="4"/>
  <c r="K776" i="4"/>
  <c r="L775" i="4"/>
  <c r="K775" i="4"/>
  <c r="L774" i="4"/>
  <c r="K774" i="4"/>
  <c r="L773" i="4"/>
  <c r="K773" i="4"/>
  <c r="L772" i="4"/>
  <c r="K772" i="4"/>
  <c r="L771" i="4"/>
  <c r="K771" i="4"/>
  <c r="L770" i="4"/>
  <c r="K770" i="4"/>
  <c r="L769" i="4"/>
  <c r="K769" i="4"/>
  <c r="L768" i="4"/>
  <c r="K768" i="4"/>
  <c r="L767" i="4"/>
  <c r="K767" i="4"/>
  <c r="L766" i="4"/>
  <c r="K766" i="4"/>
  <c r="L765" i="4"/>
  <c r="K765" i="4"/>
  <c r="L764" i="4"/>
  <c r="K764" i="4"/>
  <c r="L763" i="4"/>
  <c r="K763" i="4"/>
  <c r="L762" i="4"/>
  <c r="K762" i="4"/>
  <c r="L761" i="4"/>
  <c r="K761" i="4"/>
  <c r="L760" i="4"/>
  <c r="K760" i="4"/>
  <c r="L759" i="4"/>
  <c r="K759" i="4"/>
  <c r="L758" i="4"/>
  <c r="K758" i="4"/>
  <c r="L757" i="4"/>
  <c r="K757" i="4"/>
  <c r="L756" i="4"/>
  <c r="K756" i="4"/>
  <c r="L755" i="4"/>
  <c r="K755" i="4"/>
  <c r="L754" i="4"/>
  <c r="K754" i="4"/>
  <c r="L753" i="4"/>
  <c r="K753" i="4"/>
  <c r="L752" i="4"/>
  <c r="K752" i="4"/>
  <c r="L751" i="4"/>
  <c r="K751" i="4"/>
  <c r="L750" i="4"/>
  <c r="K750" i="4"/>
  <c r="L749" i="4"/>
  <c r="K749" i="4"/>
  <c r="L748" i="4"/>
  <c r="K748" i="4"/>
  <c r="L747" i="4"/>
  <c r="K747" i="4"/>
  <c r="L746" i="4"/>
  <c r="K746" i="4"/>
  <c r="L745" i="4"/>
  <c r="K745" i="4"/>
  <c r="L744" i="4"/>
  <c r="K744" i="4"/>
  <c r="L743" i="4"/>
  <c r="K743" i="4"/>
  <c r="L742" i="4"/>
  <c r="K742" i="4"/>
  <c r="L741" i="4"/>
  <c r="K741" i="4"/>
  <c r="L740" i="4"/>
  <c r="K740" i="4"/>
  <c r="L739" i="4"/>
  <c r="K739" i="4"/>
  <c r="L738" i="4"/>
  <c r="K738" i="4"/>
  <c r="L737" i="4"/>
  <c r="K737" i="4"/>
  <c r="L736" i="4"/>
  <c r="K736" i="4"/>
  <c r="L735" i="4"/>
  <c r="K735" i="4"/>
  <c r="L734" i="4"/>
  <c r="K734" i="4"/>
  <c r="L733" i="4"/>
  <c r="K733" i="4"/>
  <c r="L732" i="4"/>
  <c r="K732" i="4"/>
  <c r="L731" i="4"/>
  <c r="K731" i="4"/>
  <c r="L730" i="4"/>
  <c r="K730" i="4"/>
  <c r="L729" i="4"/>
  <c r="K729" i="4"/>
  <c r="L728" i="4"/>
  <c r="K728" i="4"/>
  <c r="L727" i="4"/>
  <c r="K727" i="4"/>
  <c r="L726" i="4"/>
  <c r="K726" i="4"/>
  <c r="L725" i="4"/>
  <c r="K725" i="4"/>
  <c r="L724" i="4"/>
  <c r="K724" i="4"/>
  <c r="L723" i="4"/>
  <c r="K723" i="4"/>
  <c r="L722" i="4"/>
  <c r="K722" i="4"/>
  <c r="L721" i="4"/>
  <c r="K721" i="4"/>
  <c r="L720" i="4"/>
  <c r="K720" i="4"/>
  <c r="L719" i="4"/>
  <c r="K719" i="4"/>
  <c r="L718" i="4"/>
  <c r="K718" i="4"/>
  <c r="L717" i="4"/>
  <c r="K717" i="4"/>
  <c r="L716" i="4"/>
  <c r="K716" i="4"/>
  <c r="L715" i="4"/>
  <c r="K715" i="4"/>
  <c r="L714" i="4"/>
  <c r="K714" i="4"/>
  <c r="L713" i="4"/>
  <c r="K713" i="4"/>
  <c r="L712" i="4"/>
  <c r="K712" i="4"/>
  <c r="L711" i="4"/>
  <c r="K711" i="4"/>
  <c r="L710" i="4"/>
  <c r="K710" i="4"/>
  <c r="L709" i="4"/>
  <c r="K709" i="4"/>
  <c r="L708" i="4"/>
  <c r="K708" i="4"/>
  <c r="L707" i="4"/>
  <c r="K707" i="4"/>
  <c r="L706" i="4"/>
  <c r="K706" i="4"/>
  <c r="L705" i="4"/>
  <c r="K705" i="4"/>
  <c r="L704" i="4"/>
  <c r="K704" i="4"/>
  <c r="L703" i="4"/>
  <c r="K703" i="4"/>
  <c r="L702" i="4"/>
  <c r="K702" i="4"/>
  <c r="L701" i="4"/>
  <c r="K701" i="4"/>
  <c r="L700" i="4"/>
  <c r="K700" i="4"/>
  <c r="L699" i="4"/>
  <c r="K699" i="4"/>
  <c r="L698" i="4"/>
  <c r="K698" i="4"/>
  <c r="L697" i="4"/>
  <c r="K697" i="4"/>
  <c r="L696" i="4"/>
  <c r="K696" i="4"/>
  <c r="L695" i="4"/>
  <c r="K695" i="4"/>
  <c r="L694" i="4"/>
  <c r="K694" i="4"/>
  <c r="L693" i="4"/>
  <c r="K693" i="4"/>
  <c r="L692" i="4"/>
  <c r="K692" i="4"/>
  <c r="L691" i="4"/>
  <c r="K691" i="4"/>
  <c r="L690" i="4"/>
  <c r="K690" i="4"/>
  <c r="L689" i="4"/>
  <c r="K689" i="4"/>
  <c r="L688" i="4"/>
  <c r="K688" i="4"/>
  <c r="L687" i="4"/>
  <c r="K687" i="4"/>
  <c r="L686" i="4"/>
  <c r="K686" i="4"/>
  <c r="L685" i="4"/>
  <c r="K685" i="4"/>
  <c r="L684" i="4"/>
  <c r="K684" i="4"/>
  <c r="L683" i="4"/>
  <c r="K683" i="4"/>
  <c r="L682" i="4"/>
  <c r="K682" i="4"/>
  <c r="L681" i="4"/>
  <c r="K681" i="4"/>
  <c r="L680" i="4"/>
  <c r="K680" i="4"/>
  <c r="L679" i="4"/>
  <c r="K679" i="4"/>
  <c r="L678" i="4"/>
  <c r="K678" i="4"/>
  <c r="L677" i="4"/>
  <c r="K677" i="4"/>
  <c r="L676" i="4"/>
  <c r="K676" i="4"/>
  <c r="L675" i="4"/>
  <c r="K675" i="4"/>
  <c r="L674" i="4"/>
  <c r="K674" i="4"/>
  <c r="L673" i="4"/>
  <c r="K673" i="4"/>
  <c r="L672" i="4"/>
  <c r="K672" i="4"/>
  <c r="L671" i="4"/>
  <c r="K671" i="4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K628" i="4"/>
  <c r="L627" i="4"/>
  <c r="K627" i="4"/>
  <c r="L626" i="4"/>
  <c r="K626" i="4"/>
  <c r="L625" i="4"/>
  <c r="K625" i="4"/>
  <c r="L624" i="4"/>
  <c r="K624" i="4"/>
  <c r="L623" i="4"/>
  <c r="K623" i="4"/>
  <c r="L622" i="4"/>
  <c r="K622" i="4"/>
  <c r="L621" i="4"/>
  <c r="K621" i="4"/>
  <c r="L620" i="4"/>
  <c r="K620" i="4"/>
  <c r="L619" i="4"/>
  <c r="K619" i="4"/>
  <c r="L618" i="4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K596" i="4"/>
  <c r="L595" i="4"/>
  <c r="K595" i="4"/>
  <c r="L594" i="4"/>
  <c r="K594" i="4"/>
  <c r="L593" i="4"/>
  <c r="K593" i="4"/>
  <c r="L592" i="4"/>
  <c r="K592" i="4"/>
  <c r="L591" i="4"/>
  <c r="K591" i="4"/>
  <c r="L590" i="4"/>
  <c r="K590" i="4"/>
  <c r="L589" i="4"/>
  <c r="K589" i="4"/>
  <c r="L588" i="4"/>
  <c r="K588" i="4"/>
  <c r="L587" i="4"/>
  <c r="K587" i="4"/>
  <c r="L586" i="4"/>
  <c r="K586" i="4"/>
  <c r="L585" i="4"/>
  <c r="K585" i="4"/>
  <c r="L584" i="4"/>
  <c r="K584" i="4"/>
  <c r="L583" i="4"/>
  <c r="K583" i="4"/>
  <c r="L582" i="4"/>
  <c r="K582" i="4"/>
  <c r="L581" i="4"/>
  <c r="K581" i="4"/>
  <c r="L580" i="4"/>
  <c r="K580" i="4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L533" i="4"/>
  <c r="K533" i="4"/>
  <c r="L532" i="4"/>
  <c r="K532" i="4"/>
  <c r="L531" i="4"/>
  <c r="K531" i="4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L515" i="4"/>
  <c r="K515" i="4"/>
  <c r="L514" i="4"/>
  <c r="K514" i="4"/>
  <c r="L513" i="4"/>
  <c r="K513" i="4"/>
  <c r="L512" i="4"/>
  <c r="K512" i="4"/>
  <c r="L511" i="4"/>
  <c r="K511" i="4"/>
  <c r="L510" i="4"/>
  <c r="K510" i="4"/>
  <c r="L509" i="4"/>
  <c r="K509" i="4"/>
  <c r="L508" i="4"/>
  <c r="K508" i="4"/>
  <c r="L507" i="4"/>
  <c r="K507" i="4"/>
  <c r="L506" i="4"/>
  <c r="K506" i="4"/>
  <c r="L505" i="4"/>
  <c r="K505" i="4"/>
  <c r="L504" i="4"/>
  <c r="K504" i="4"/>
  <c r="L503" i="4"/>
  <c r="K503" i="4"/>
  <c r="L502" i="4"/>
  <c r="K502" i="4"/>
  <c r="L501" i="4"/>
  <c r="K501" i="4"/>
  <c r="L500" i="4"/>
  <c r="K500" i="4"/>
  <c r="L499" i="4"/>
  <c r="K499" i="4"/>
  <c r="L498" i="4"/>
  <c r="K498" i="4"/>
  <c r="L497" i="4"/>
  <c r="K497" i="4"/>
  <c r="L496" i="4"/>
  <c r="K496" i="4"/>
  <c r="L495" i="4"/>
  <c r="K495" i="4"/>
  <c r="L494" i="4"/>
  <c r="K494" i="4"/>
  <c r="L493" i="4"/>
  <c r="K493" i="4"/>
  <c r="L492" i="4"/>
  <c r="K492" i="4"/>
  <c r="L491" i="4"/>
  <c r="K491" i="4"/>
  <c r="L490" i="4"/>
  <c r="K490" i="4"/>
  <c r="L489" i="4"/>
  <c r="K489" i="4"/>
  <c r="L488" i="4"/>
  <c r="K488" i="4"/>
  <c r="L487" i="4"/>
  <c r="K487" i="4"/>
  <c r="L486" i="4"/>
  <c r="K486" i="4"/>
  <c r="L485" i="4"/>
  <c r="K485" i="4"/>
  <c r="L484" i="4"/>
  <c r="K484" i="4"/>
  <c r="L483" i="4"/>
  <c r="K483" i="4"/>
  <c r="L482" i="4"/>
  <c r="K482" i="4"/>
  <c r="L481" i="4"/>
  <c r="K481" i="4"/>
  <c r="L480" i="4"/>
  <c r="K480" i="4"/>
  <c r="L479" i="4"/>
  <c r="K479" i="4"/>
  <c r="L478" i="4"/>
  <c r="K478" i="4"/>
  <c r="L477" i="4"/>
  <c r="K477" i="4"/>
  <c r="L476" i="4"/>
  <c r="K476" i="4"/>
  <c r="L475" i="4"/>
  <c r="K475" i="4"/>
  <c r="L474" i="4"/>
  <c r="K474" i="4"/>
  <c r="L473" i="4"/>
  <c r="K473" i="4"/>
  <c r="L472" i="4"/>
  <c r="K472" i="4"/>
  <c r="L471" i="4"/>
  <c r="K471" i="4"/>
  <c r="L470" i="4"/>
  <c r="K470" i="4"/>
  <c r="L469" i="4"/>
  <c r="K469" i="4"/>
  <c r="L468" i="4"/>
  <c r="K468" i="4"/>
  <c r="L467" i="4"/>
  <c r="K467" i="4"/>
  <c r="L466" i="4"/>
  <c r="K466" i="4"/>
  <c r="L465" i="4"/>
  <c r="K465" i="4"/>
  <c r="L464" i="4"/>
  <c r="K464" i="4"/>
  <c r="L463" i="4"/>
  <c r="K463" i="4"/>
  <c r="L462" i="4"/>
  <c r="K462" i="4"/>
  <c r="L461" i="4"/>
  <c r="K461" i="4"/>
  <c r="L460" i="4"/>
  <c r="K460" i="4"/>
  <c r="L459" i="4"/>
  <c r="K459" i="4"/>
  <c r="L458" i="4"/>
  <c r="K458" i="4"/>
  <c r="L457" i="4"/>
  <c r="K457" i="4"/>
  <c r="L456" i="4"/>
  <c r="K456" i="4"/>
  <c r="L455" i="4"/>
  <c r="K455" i="4"/>
  <c r="L454" i="4"/>
  <c r="K454" i="4"/>
  <c r="L453" i="4"/>
  <c r="K453" i="4"/>
  <c r="L452" i="4"/>
  <c r="K452" i="4"/>
  <c r="L451" i="4"/>
  <c r="K451" i="4"/>
  <c r="L450" i="4"/>
  <c r="K450" i="4"/>
  <c r="L449" i="4"/>
  <c r="K449" i="4"/>
  <c r="L448" i="4"/>
  <c r="K448" i="4"/>
  <c r="L447" i="4"/>
  <c r="K447" i="4"/>
  <c r="L446" i="4"/>
  <c r="K446" i="4"/>
  <c r="L445" i="4"/>
  <c r="K445" i="4"/>
  <c r="L444" i="4"/>
  <c r="K444" i="4"/>
  <c r="L443" i="4"/>
  <c r="K443" i="4"/>
  <c r="L442" i="4"/>
  <c r="K442" i="4"/>
  <c r="L441" i="4"/>
  <c r="K441" i="4"/>
  <c r="L440" i="4"/>
  <c r="K440" i="4"/>
  <c r="L439" i="4"/>
  <c r="K439" i="4"/>
  <c r="L438" i="4"/>
  <c r="K438" i="4"/>
  <c r="L437" i="4"/>
  <c r="K437" i="4"/>
  <c r="L436" i="4"/>
  <c r="K436" i="4"/>
  <c r="L435" i="4"/>
  <c r="K435" i="4"/>
  <c r="L434" i="4"/>
  <c r="K434" i="4"/>
  <c r="L433" i="4"/>
  <c r="K433" i="4"/>
  <c r="L432" i="4"/>
  <c r="K432" i="4"/>
  <c r="L431" i="4"/>
  <c r="K431" i="4"/>
  <c r="L430" i="4"/>
  <c r="K430" i="4"/>
  <c r="L429" i="4"/>
  <c r="K429" i="4"/>
  <c r="L428" i="4"/>
  <c r="K428" i="4"/>
  <c r="L427" i="4"/>
  <c r="K427" i="4"/>
  <c r="L426" i="4"/>
  <c r="K426" i="4"/>
  <c r="L425" i="4"/>
  <c r="K425" i="4"/>
  <c r="L424" i="4"/>
  <c r="K424" i="4"/>
  <c r="L423" i="4"/>
  <c r="K423" i="4"/>
  <c r="L422" i="4"/>
  <c r="K422" i="4"/>
  <c r="L421" i="4"/>
  <c r="K421" i="4"/>
  <c r="L420" i="4"/>
  <c r="K420" i="4"/>
  <c r="L419" i="4"/>
  <c r="K419" i="4"/>
  <c r="L418" i="4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L404" i="4"/>
  <c r="K404" i="4"/>
  <c r="L403" i="4"/>
  <c r="K403" i="4"/>
  <c r="L402" i="4"/>
  <c r="K402" i="4"/>
  <c r="L401" i="4"/>
  <c r="K401" i="4"/>
  <c r="L400" i="4"/>
  <c r="K400" i="4"/>
  <c r="L399" i="4"/>
  <c r="K399" i="4"/>
  <c r="L398" i="4"/>
  <c r="K398" i="4"/>
  <c r="L397" i="4"/>
  <c r="K397" i="4"/>
  <c r="L396" i="4"/>
  <c r="K396" i="4"/>
  <c r="L395" i="4"/>
  <c r="K395" i="4"/>
  <c r="L394" i="4"/>
  <c r="K394" i="4"/>
  <c r="L393" i="4"/>
  <c r="K393" i="4"/>
  <c r="L392" i="4"/>
  <c r="K392" i="4"/>
  <c r="L391" i="4"/>
  <c r="K391" i="4"/>
  <c r="L390" i="4"/>
  <c r="K390" i="4"/>
  <c r="L389" i="4"/>
  <c r="K389" i="4"/>
  <c r="L388" i="4"/>
  <c r="K388" i="4"/>
  <c r="L387" i="4"/>
  <c r="K387" i="4"/>
  <c r="L386" i="4"/>
  <c r="K386" i="4"/>
  <c r="L385" i="4"/>
  <c r="K385" i="4"/>
  <c r="L384" i="4"/>
  <c r="K384" i="4"/>
  <c r="L383" i="4"/>
  <c r="K383" i="4"/>
  <c r="L382" i="4"/>
  <c r="K382" i="4"/>
  <c r="L381" i="4"/>
  <c r="K381" i="4"/>
  <c r="L380" i="4"/>
  <c r="K380" i="4"/>
  <c r="L379" i="4"/>
  <c r="K379" i="4"/>
  <c r="L378" i="4"/>
  <c r="K378" i="4"/>
  <c r="L377" i="4"/>
  <c r="K377" i="4"/>
  <c r="L376" i="4"/>
  <c r="K376" i="4"/>
  <c r="L375" i="4"/>
  <c r="K375" i="4"/>
  <c r="L374" i="4"/>
  <c r="K374" i="4"/>
  <c r="L373" i="4"/>
  <c r="K373" i="4"/>
  <c r="L372" i="4"/>
  <c r="K372" i="4"/>
  <c r="L371" i="4"/>
  <c r="K371" i="4"/>
  <c r="L370" i="4"/>
  <c r="K370" i="4"/>
  <c r="L369" i="4"/>
  <c r="K369" i="4"/>
  <c r="L368" i="4"/>
  <c r="K368" i="4"/>
  <c r="L367" i="4"/>
  <c r="K367" i="4"/>
  <c r="L366" i="4"/>
  <c r="K366" i="4"/>
  <c r="L365" i="4"/>
  <c r="K365" i="4"/>
  <c r="L364" i="4"/>
  <c r="K364" i="4"/>
  <c r="L363" i="4"/>
  <c r="K363" i="4"/>
  <c r="L362" i="4"/>
  <c r="K362" i="4"/>
  <c r="L361" i="4"/>
  <c r="K361" i="4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L350" i="4"/>
  <c r="K350" i="4"/>
  <c r="L349" i="4"/>
  <c r="K349" i="4"/>
  <c r="L348" i="4"/>
  <c r="K348" i="4"/>
  <c r="L347" i="4"/>
  <c r="K347" i="4"/>
  <c r="L346" i="4"/>
  <c r="K346" i="4"/>
  <c r="L345" i="4"/>
  <c r="K345" i="4"/>
  <c r="L344" i="4"/>
  <c r="K344" i="4"/>
  <c r="L343" i="4"/>
  <c r="K343" i="4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L325" i="4"/>
  <c r="K325" i="4"/>
  <c r="L324" i="4"/>
  <c r="K324" i="4"/>
  <c r="L323" i="4"/>
  <c r="K323" i="4"/>
  <c r="L322" i="4"/>
  <c r="K322" i="4"/>
  <c r="L321" i="4"/>
  <c r="K321" i="4"/>
  <c r="L320" i="4"/>
  <c r="K320" i="4"/>
  <c r="L319" i="4"/>
  <c r="K319" i="4"/>
  <c r="L318" i="4"/>
  <c r="K318" i="4"/>
  <c r="L317" i="4"/>
  <c r="K317" i="4"/>
  <c r="L316" i="4"/>
  <c r="K316" i="4"/>
  <c r="L315" i="4"/>
  <c r="K315" i="4"/>
  <c r="L314" i="4"/>
  <c r="K314" i="4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L283" i="4"/>
  <c r="K283" i="4"/>
  <c r="L282" i="4"/>
  <c r="K282" i="4"/>
  <c r="L281" i="4"/>
  <c r="K281" i="4"/>
  <c r="L280" i="4"/>
  <c r="K280" i="4"/>
  <c r="L279" i="4"/>
  <c r="K279" i="4"/>
  <c r="L278" i="4"/>
  <c r="K278" i="4"/>
  <c r="L277" i="4"/>
  <c r="K277" i="4"/>
  <c r="L276" i="4"/>
  <c r="K276" i="4"/>
  <c r="L275" i="4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K245" i="4"/>
  <c r="L244" i="4"/>
  <c r="K244" i="4"/>
  <c r="L243" i="4"/>
  <c r="K243" i="4"/>
  <c r="L242" i="4"/>
  <c r="K242" i="4"/>
  <c r="L241" i="4"/>
  <c r="K241" i="4"/>
  <c r="L240" i="4"/>
  <c r="K240" i="4"/>
  <c r="L239" i="4"/>
  <c r="K239" i="4"/>
  <c r="L238" i="4"/>
  <c r="K238" i="4"/>
  <c r="L237" i="4"/>
  <c r="K237" i="4"/>
  <c r="L236" i="4"/>
  <c r="K236" i="4"/>
  <c r="L235" i="4"/>
  <c r="K235" i="4"/>
  <c r="L234" i="4"/>
  <c r="K234" i="4"/>
  <c r="L233" i="4"/>
  <c r="K233" i="4"/>
  <c r="L232" i="4"/>
  <c r="K232" i="4"/>
  <c r="L231" i="4"/>
  <c r="K231" i="4"/>
  <c r="L230" i="4"/>
  <c r="K230" i="4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5" i="4"/>
  <c r="K95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2" i="2"/>
</calcChain>
</file>

<file path=xl/sharedStrings.xml><?xml version="1.0" encoding="utf-8"?>
<sst xmlns="http://schemas.openxmlformats.org/spreadsheetml/2006/main" count="30192" uniqueCount="1043">
  <si>
    <t>Customer_ID</t>
  </si>
  <si>
    <t>Gender</t>
  </si>
  <si>
    <t>Age</t>
  </si>
  <si>
    <t>Tenure_Months</t>
  </si>
  <si>
    <t>Contract_Type</t>
  </si>
  <si>
    <t>Payment_Method</t>
  </si>
  <si>
    <t>Customer_Segment</t>
  </si>
  <si>
    <t>Monthly_Charges</t>
  </si>
  <si>
    <t>Total_Charges</t>
  </si>
  <si>
    <t>Churn</t>
  </si>
  <si>
    <t>CUST0001</t>
  </si>
  <si>
    <t>Male</t>
  </si>
  <si>
    <t>Month-to-Month</t>
  </si>
  <si>
    <t>Credit Card</t>
  </si>
  <si>
    <t>Adult</t>
  </si>
  <si>
    <t>No</t>
  </si>
  <si>
    <t>CUST0002</t>
  </si>
  <si>
    <t>Female</t>
  </si>
  <si>
    <t>Two Year</t>
  </si>
  <si>
    <t>Young</t>
  </si>
  <si>
    <t>CUST0003</t>
  </si>
  <si>
    <t>One Year</t>
  </si>
  <si>
    <t>Bank Transfer</t>
  </si>
  <si>
    <t>Senior</t>
  </si>
  <si>
    <t>CUST0004</t>
  </si>
  <si>
    <t>CUST0005</t>
  </si>
  <si>
    <t>CUST0006</t>
  </si>
  <si>
    <t>Yes</t>
  </si>
  <si>
    <t>CUST0007</t>
  </si>
  <si>
    <t>Electronic Check</t>
  </si>
  <si>
    <t>CUST0008</t>
  </si>
  <si>
    <t>CUST0009</t>
  </si>
  <si>
    <t>CUST0010</t>
  </si>
  <si>
    <t>UPI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</si>
  <si>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</si>
  <si>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</si>
  <si>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</si>
  <si>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</si>
  <si>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</si>
  <si>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</si>
  <si>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</si>
  <si>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</si>
  <si>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</si>
  <si>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</si>
  <si>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</si>
  <si>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</si>
  <si>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</si>
  <si>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</si>
  <si>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</si>
  <si>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</si>
  <si>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</si>
  <si>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</si>
  <si>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</si>
  <si>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</si>
  <si>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</si>
  <si>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</si>
  <si>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</si>
  <si>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</si>
  <si>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</si>
  <si>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</si>
  <si>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</si>
  <si>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</si>
  <si>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</si>
  <si>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</si>
  <si>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</si>
  <si>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</si>
  <si>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</si>
  <si>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</si>
  <si>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</si>
  <si>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</si>
  <si>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</si>
  <si>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</si>
  <si>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</si>
  <si>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</si>
  <si>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</si>
  <si>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</si>
  <si>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</si>
  <si>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</si>
  <si>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</si>
  <si>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</si>
  <si>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</si>
  <si>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</si>
  <si>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</si>
  <si>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</si>
  <si>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</si>
  <si>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</si>
  <si>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</si>
  <si>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</si>
  <si>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</si>
  <si>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</si>
  <si>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</si>
  <si>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</si>
  <si>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</si>
  <si>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</si>
  <si>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</si>
  <si>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</si>
  <si>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</si>
  <si>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</si>
  <si>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</si>
  <si>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</si>
  <si>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</si>
  <si>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</si>
  <si>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</si>
  <si>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</si>
  <si>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</si>
  <si>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</si>
  <si>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</si>
  <si>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</si>
  <si>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</si>
  <si>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</si>
  <si>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</si>
  <si>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</si>
  <si>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</si>
  <si>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</si>
  <si>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</si>
  <si>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</si>
  <si>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</si>
  <si>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</si>
  <si>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</si>
  <si>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</si>
  <si>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</si>
  <si>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</si>
  <si>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</si>
  <si>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</si>
  <si>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</si>
  <si>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</si>
  <si>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</si>
  <si>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</si>
  <si>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</si>
  <si>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</si>
  <si>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</si>
  <si>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</si>
  <si>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</si>
  <si>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</si>
  <si>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</si>
  <si>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</si>
  <si>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</si>
  <si>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</si>
  <si>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</si>
  <si>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</si>
  <si>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</si>
  <si>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</si>
  <si>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</si>
  <si>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</si>
  <si>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</si>
  <si>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</si>
  <si>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</si>
  <si>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</si>
  <si>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</si>
  <si>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</si>
  <si>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</si>
  <si>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</si>
  <si>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</si>
  <si>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</si>
  <si>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</si>
  <si>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</si>
  <si>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</si>
  <si>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</si>
  <si>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</si>
  <si>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</si>
  <si>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</si>
  <si>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</si>
  <si>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</si>
  <si>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</si>
  <si>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</si>
  <si>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</si>
  <si>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</si>
  <si>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</si>
  <si>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</si>
  <si>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</si>
  <si>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</si>
  <si>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</si>
  <si>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</si>
  <si>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</si>
  <si>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</si>
  <si>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</si>
  <si>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</si>
  <si>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</si>
  <si>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</si>
  <si>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</si>
  <si>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</si>
  <si>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</si>
  <si>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</si>
  <si>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</si>
  <si>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</si>
  <si>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</si>
  <si>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</si>
  <si>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</si>
  <si>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</si>
  <si>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</si>
  <si>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</si>
  <si>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</si>
  <si>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</si>
  <si>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</si>
  <si>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</si>
  <si>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</si>
  <si>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</si>
  <si>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</si>
  <si>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</si>
  <si>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</si>
  <si>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</si>
  <si>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</si>
  <si>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</si>
  <si>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</si>
  <si>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</si>
  <si>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</si>
  <si>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</si>
  <si>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</si>
  <si>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</si>
  <si>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</si>
  <si>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</si>
  <si>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</si>
  <si>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</si>
  <si>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</si>
  <si>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</si>
  <si>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</si>
  <si>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</si>
  <si>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</si>
  <si>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</si>
  <si>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</si>
  <si>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</si>
  <si>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</si>
  <si>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</si>
  <si>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</si>
  <si>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</si>
  <si>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</si>
  <si>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</si>
  <si>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</si>
  <si>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</si>
  <si>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</si>
  <si>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</si>
  <si>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</si>
  <si>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</si>
  <si>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</si>
  <si>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</si>
  <si>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</si>
  <si>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</si>
  <si>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</si>
  <si>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</si>
  <si>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</si>
  <si>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</si>
  <si>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</si>
  <si>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</si>
  <si>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</si>
  <si>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</si>
  <si>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</si>
  <si>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</si>
  <si>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</si>
  <si>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</si>
  <si>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</si>
  <si>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</si>
  <si>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</si>
  <si>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</si>
  <si>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</si>
  <si>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</si>
  <si>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</si>
  <si>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</si>
  <si>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</si>
  <si>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</si>
  <si>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</si>
  <si>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</si>
  <si>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</si>
  <si>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</si>
  <si>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</si>
  <si>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</si>
  <si>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</si>
  <si>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</si>
  <si>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</si>
  <si>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</si>
  <si>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</si>
  <si>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</si>
  <si>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</si>
  <si>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</si>
  <si>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</si>
  <si>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</si>
  <si>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</si>
  <si>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</si>
  <si>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</si>
  <si>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</si>
  <si>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</si>
  <si>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</si>
  <si>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</si>
  <si>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</si>
  <si>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</si>
  <si>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</si>
  <si>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</si>
  <si>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</si>
  <si>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</si>
  <si>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</si>
  <si>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</si>
  <si>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</si>
  <si>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</si>
  <si>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</si>
  <si>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</si>
  <si>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</si>
  <si>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</si>
  <si>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</si>
  <si>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</si>
  <si>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</si>
  <si>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</si>
  <si>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</si>
  <si>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</si>
  <si>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</si>
  <si>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</si>
  <si>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</si>
  <si>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</si>
  <si>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</si>
  <si>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</si>
  <si>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</si>
  <si>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</si>
  <si>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</si>
  <si>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</si>
  <si>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</si>
  <si>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</si>
  <si>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</si>
  <si>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</si>
  <si>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</si>
  <si>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</si>
  <si>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</si>
  <si>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</si>
  <si>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</si>
  <si>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</si>
  <si>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</si>
  <si>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</si>
  <si>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</si>
  <si>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</si>
  <si>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</si>
  <si>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</si>
  <si>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</si>
  <si>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</si>
  <si>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</si>
  <si>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</si>
  <si>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</si>
  <si>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</si>
  <si>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</si>
  <si>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</si>
  <si>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</si>
  <si>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</si>
  <si>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</si>
  <si>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</si>
  <si>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</si>
  <si>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</si>
  <si>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</si>
  <si>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</si>
  <si>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</si>
  <si>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</si>
  <si>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</si>
  <si>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</si>
  <si>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</si>
  <si>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</si>
  <si>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</si>
  <si>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</si>
  <si>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</si>
  <si>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</si>
  <si>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</si>
  <si>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</si>
  <si>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</si>
  <si>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</si>
  <si>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</si>
  <si>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</si>
  <si>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</si>
  <si>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</si>
  <si>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</si>
  <si>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</si>
  <si>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</si>
  <si>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</si>
  <si>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</si>
  <si>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</si>
  <si>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</si>
  <si>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</si>
  <si>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</si>
  <si>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</si>
  <si>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</si>
  <si>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</si>
  <si>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</si>
  <si>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</si>
  <si>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</si>
  <si>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</si>
  <si>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</si>
  <si>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</si>
  <si>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</si>
  <si>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</si>
  <si>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</si>
  <si>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</si>
  <si>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</si>
  <si>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</si>
  <si>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</si>
  <si>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</si>
  <si>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</si>
  <si>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</si>
  <si>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</si>
  <si>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</si>
  <si>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</si>
  <si>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</si>
  <si>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</si>
  <si>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</si>
  <si>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</si>
  <si>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</si>
  <si>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</si>
  <si>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</si>
  <si>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</si>
  <si>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</si>
  <si>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</si>
  <si>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</si>
  <si>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</si>
  <si>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</si>
  <si>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</si>
  <si>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</si>
  <si>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</si>
  <si>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</si>
  <si>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</si>
  <si>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</si>
  <si>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</si>
  <si>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</si>
  <si>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</si>
  <si>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</si>
  <si>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</si>
  <si>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</si>
  <si>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</si>
  <si>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</si>
  <si>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</si>
  <si>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</si>
  <si>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</si>
  <si>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</si>
  <si>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</si>
  <si>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</si>
  <si>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</si>
  <si>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</si>
  <si>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</si>
  <si>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</si>
  <si>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</si>
  <si>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</si>
  <si>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</si>
  <si>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</si>
  <si>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</si>
  <si>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</si>
  <si>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</si>
  <si>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</si>
  <si>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</si>
  <si>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</si>
  <si>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</si>
  <si>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</si>
  <si>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</si>
  <si>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</si>
  <si>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</si>
  <si>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</si>
  <si>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</si>
  <si>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</si>
  <si>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</si>
  <si>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</si>
  <si>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</si>
  <si>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</si>
  <si>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</si>
  <si>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</si>
  <si>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</si>
  <si>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</si>
  <si>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</si>
  <si>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</si>
  <si>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</si>
  <si>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</si>
  <si>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</si>
  <si>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</si>
  <si>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</si>
  <si>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</si>
  <si>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</si>
  <si>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</si>
  <si>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</si>
  <si>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</si>
  <si>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</si>
  <si>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</si>
  <si>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</si>
  <si>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</si>
  <si>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</si>
  <si>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</si>
  <si>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</si>
  <si>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</si>
  <si>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</si>
  <si>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</si>
  <si>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</si>
  <si>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</si>
  <si>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</si>
  <si>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</si>
  <si>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</si>
  <si>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</si>
  <si>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</si>
  <si>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</si>
  <si>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</si>
  <si>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</si>
  <si>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</si>
  <si>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</si>
  <si>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</si>
  <si>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</si>
  <si>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</si>
  <si>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</si>
  <si>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</si>
  <si>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</si>
  <si>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</si>
  <si>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</si>
  <si>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</si>
  <si>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</si>
  <si>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</si>
  <si>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</si>
  <si>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</si>
  <si>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</si>
  <si>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</si>
  <si>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</si>
  <si>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</si>
  <si>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</si>
  <si>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</si>
  <si>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</si>
  <si>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</si>
  <si>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</si>
  <si>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</si>
  <si>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</si>
  <si>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</si>
  <si>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</si>
  <si>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</si>
  <si>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</si>
  <si>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</si>
  <si>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</si>
  <si>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</si>
  <si>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</si>
  <si>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</si>
  <si>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</si>
  <si>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</si>
  <si>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</si>
  <si>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</si>
  <si>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</si>
  <si>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</si>
  <si>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</si>
  <si>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</si>
  <si>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</si>
  <si>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</si>
  <si>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</si>
  <si>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</si>
  <si>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</si>
  <si>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</si>
  <si>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</si>
  <si>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</si>
  <si>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</si>
  <si>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</si>
  <si>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</si>
  <si>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</si>
  <si>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</si>
  <si>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</si>
  <si>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</si>
  <si>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</si>
  <si>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</si>
  <si>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</si>
  <si>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</si>
  <si>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</si>
  <si>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</si>
  <si>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</si>
  <si>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</si>
  <si>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</si>
  <si>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</si>
  <si>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</si>
  <si>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</si>
  <si>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</si>
  <si>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</si>
  <si>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</si>
  <si>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</si>
  <si>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</si>
  <si>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</si>
  <si>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</si>
  <si>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</si>
  <si>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</si>
  <si>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</si>
  <si>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</si>
  <si>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</si>
  <si>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</si>
  <si>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</si>
  <si>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</si>
  <si>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</si>
  <si>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</si>
  <si>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</si>
  <si>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</si>
  <si>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</si>
  <si>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</si>
  <si>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</si>
  <si>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</si>
  <si>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</si>
  <si>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</si>
  <si>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</si>
  <si>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</si>
  <si>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</si>
  <si>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</si>
  <si>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</si>
  <si>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</si>
  <si>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</si>
  <si>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</si>
  <si>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</si>
  <si>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</si>
  <si>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</si>
  <si>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</si>
  <si>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</si>
  <si>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</si>
  <si>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</si>
  <si>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</si>
  <si>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</si>
  <si>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</si>
  <si>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</si>
  <si>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</si>
  <si>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</si>
  <si>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</si>
  <si>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</si>
  <si>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</si>
  <si>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</si>
  <si>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</si>
  <si>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</si>
  <si>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</si>
  <si>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</si>
  <si>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</si>
  <si>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</si>
  <si>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</si>
  <si>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</si>
  <si>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</si>
  <si>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</si>
  <si>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</si>
  <si>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</si>
  <si>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</si>
  <si>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</si>
  <si>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</si>
  <si>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</si>
  <si>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</si>
  <si>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</si>
  <si>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</si>
  <si>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</si>
  <si>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</si>
  <si>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</si>
  <si>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</si>
  <si>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</si>
  <si>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</si>
  <si>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</si>
  <si>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</si>
  <si>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</si>
  <si>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</si>
  <si>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</si>
  <si>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</si>
  <si>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</si>
  <si>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</si>
  <si>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</si>
  <si>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</si>
  <si>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</si>
  <si>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</si>
  <si>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</si>
  <si>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</si>
  <si>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</si>
  <si>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</si>
  <si>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</si>
  <si>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</si>
  <si>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</si>
  <si>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</si>
  <si>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</si>
  <si>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</si>
  <si>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</si>
  <si>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</si>
  <si>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</si>
  <si>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</si>
  <si>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</si>
  <si>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</si>
  <si>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</si>
  <si>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</si>
  <si>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</si>
  <si>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</si>
  <si>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</si>
  <si>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</si>
  <si>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</si>
  <si>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</si>
  <si>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</si>
  <si>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</si>
  <si>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</si>
  <si>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</si>
  <si>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</si>
  <si>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</si>
  <si>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</si>
  <si>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</si>
  <si>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</si>
  <si>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</si>
  <si>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</si>
  <si>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</si>
  <si>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</si>
  <si>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</si>
  <si>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</si>
  <si>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</si>
  <si>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</si>
  <si>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</si>
  <si>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</si>
  <si>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</si>
  <si>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</si>
  <si>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</si>
  <si>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</si>
  <si>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</si>
  <si>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</si>
  <si>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</si>
  <si>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</si>
  <si>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</si>
  <si>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</si>
  <si>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</si>
  <si>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</si>
  <si>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</si>
  <si>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</si>
  <si>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</si>
  <si>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</si>
  <si>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</si>
  <si>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</si>
  <si>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</si>
  <si>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</si>
  <si>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</si>
  <si>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</si>
  <si>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</si>
  <si>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</si>
  <si>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</si>
  <si>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</si>
  <si>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</si>
  <si>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</si>
  <si>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</si>
  <si>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</si>
  <si>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</si>
  <si>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</si>
  <si>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</si>
  <si>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</si>
  <si>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</si>
  <si>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</si>
  <si>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</si>
  <si>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</si>
  <si>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</si>
  <si>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</si>
  <si>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</si>
  <si>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</si>
  <si>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</si>
  <si>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</si>
  <si>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</si>
  <si>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</si>
  <si>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</si>
  <si>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</si>
  <si>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</si>
  <si>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</si>
  <si>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</si>
  <si>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</si>
  <si>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</si>
  <si>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</si>
  <si>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</si>
  <si>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</si>
  <si>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</si>
  <si>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</si>
  <si>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</si>
  <si>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</si>
  <si>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</si>
  <si>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</si>
  <si>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</si>
  <si>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</si>
  <si>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</si>
  <si>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</si>
  <si>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</si>
  <si>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</si>
  <si>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</si>
  <si>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</si>
  <si>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</si>
  <si>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</si>
  <si>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</si>
  <si>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</si>
  <si>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</si>
  <si>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</si>
  <si>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</si>
  <si>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</si>
  <si>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</si>
  <si>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</si>
  <si>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</si>
  <si>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</si>
  <si>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</si>
  <si>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</si>
  <si>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</si>
  <si>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</si>
  <si>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</si>
  <si>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</si>
  <si>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</si>
  <si>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</si>
  <si>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</si>
  <si>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</si>
  <si>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</si>
  <si>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</si>
  <si>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</si>
  <si>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</si>
  <si>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</si>
  <si>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</si>
  <si>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</si>
  <si>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</si>
  <si>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</si>
  <si>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</si>
  <si>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</si>
  <si>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</si>
  <si>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</si>
  <si>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</si>
  <si>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</si>
  <si>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</si>
  <si>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</si>
  <si>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</si>
  <si>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</si>
  <si>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</si>
  <si>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</si>
  <si>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</si>
  <si>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</si>
  <si>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</si>
  <si>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</si>
  <si>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</si>
  <si>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</si>
  <si>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</si>
  <si>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</si>
  <si>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</si>
  <si>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</si>
  <si>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</si>
  <si>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</si>
  <si>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</si>
  <si>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</si>
  <si>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</si>
  <si>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</si>
  <si>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</si>
  <si>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</si>
  <si>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</si>
  <si>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</si>
  <si>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</si>
  <si>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</si>
  <si>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</si>
  <si>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</si>
  <si>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</si>
  <si>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</si>
  <si>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</si>
  <si>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</si>
  <si>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</si>
  <si>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</si>
  <si>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</si>
  <si>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</si>
  <si>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</si>
  <si>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</si>
  <si>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</si>
  <si>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</si>
  <si>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</si>
  <si>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</si>
  <si>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</si>
  <si>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</si>
  <si>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</si>
  <si>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</si>
  <si>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</si>
  <si>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</si>
  <si>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</si>
  <si>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</si>
  <si>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</si>
  <si>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</si>
  <si>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</si>
  <si>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</si>
  <si>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</si>
  <si>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</si>
  <si>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</si>
  <si>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</si>
  <si>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</si>
  <si>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</si>
  <si>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</si>
  <si>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</si>
  <si>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</si>
  <si>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</si>
  <si>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</si>
  <si>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</si>
  <si>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</si>
  <si>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</si>
  <si>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</si>
  <si>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</si>
  <si>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</si>
  <si>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</si>
  <si>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</si>
  <si>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</si>
  <si>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</si>
  <si>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</si>
  <si>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</si>
  <si>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</si>
  <si>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</si>
  <si>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</si>
  <si>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</si>
  <si>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</si>
  <si>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</si>
  <si>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</si>
  <si>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</si>
  <si>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</si>
  <si>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</si>
  <si>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</si>
  <si>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</si>
  <si>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</si>
  <si>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</si>
  <si>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</si>
  <si>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</si>
  <si>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</si>
  <si>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</si>
  <si>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</si>
  <si>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</si>
  <si>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</si>
  <si>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</si>
  <si>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</si>
  <si>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</si>
  <si>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</si>
  <si>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</si>
  <si>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</si>
  <si>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</si>
  <si>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</si>
  <si>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</si>
  <si>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</si>
  <si>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</si>
  <si>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</si>
  <si>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</si>
  <si>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</si>
  <si>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</si>
  <si>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</si>
  <si>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</si>
  <si>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</si>
  <si>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</si>
  <si>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</si>
  <si>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</si>
  <si>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</si>
  <si>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</si>
  <si>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</si>
  <si>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</si>
  <si>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</si>
  <si>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</si>
  <si>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</si>
  <si>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</si>
  <si>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</si>
  <si>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</si>
  <si>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</si>
  <si>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</si>
  <si>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</si>
  <si>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</si>
  <si>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</si>
  <si>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</si>
  <si>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</si>
  <si>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</si>
  <si>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</si>
  <si>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</si>
  <si>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</si>
  <si>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</si>
  <si>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</si>
  <si>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</si>
  <si>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</si>
  <si>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</si>
  <si>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</si>
  <si>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</si>
  <si>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</si>
  <si>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</si>
  <si>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</si>
  <si>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</si>
  <si>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</si>
  <si>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</si>
  <si>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</si>
  <si>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</si>
  <si>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</si>
  <si>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</si>
  <si>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</si>
  <si>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</si>
  <si>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</si>
  <si>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</si>
  <si>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</si>
  <si>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</si>
  <si>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</si>
  <si>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</si>
  <si>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</si>
  <si>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</si>
  <si>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</si>
  <si>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</si>
  <si>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</si>
  <si>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</si>
  <si>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</si>
  <si>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</si>
  <si>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</si>
  <si>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</si>
  <si>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</si>
  <si>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</si>
  <si>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</si>
  <si>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</si>
  <si>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</si>
  <si>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</si>
  <si>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</si>
  <si>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</si>
  <si>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</si>
  <si>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</si>
  <si>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</si>
  <si>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</si>
  <si>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</si>
  <si>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</si>
  <si>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</si>
  <si>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</si>
  <si>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</si>
  <si>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</si>
  <si>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</si>
  <si>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</si>
  <si>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</si>
  <si>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</si>
  <si>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</si>
  <si>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</si>
  <si>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</si>
  <si>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</si>
  <si>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</si>
  <si>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</si>
  <si>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</si>
  <si>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</si>
  <si>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</si>
  <si>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</si>
  <si>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</si>
  <si>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</si>
  <si>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</si>
  <si>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</si>
  <si>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</si>
  <si>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</si>
  <si>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</si>
  <si>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</si>
  <si>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</si>
  <si>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</si>
  <si>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</si>
  <si>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</si>
  <si>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</si>
  <si>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</si>
  <si>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</si>
  <si>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</si>
  <si>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</si>
  <si>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</si>
  <si>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</si>
  <si>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</si>
  <si>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Unknown</t>
  </si>
  <si>
    <t>Tenure_Group</t>
  </si>
  <si>
    <t>Churn_Flag</t>
  </si>
  <si>
    <t>Total customers</t>
  </si>
  <si>
    <t>Calculate churned customers</t>
  </si>
  <si>
    <t>Calculate retained customers</t>
  </si>
  <si>
    <t>Calculate churn rate</t>
  </si>
  <si>
    <t>Row Labels</t>
  </si>
  <si>
    <t>Grand Total</t>
  </si>
  <si>
    <t>Column Labels</t>
  </si>
  <si>
    <t>Count of Customer_ID</t>
  </si>
  <si>
    <t>PivotTable 1 — Churn by Contract Type</t>
  </si>
  <si>
    <t>PivotTable 2 — Churn by Payment Method</t>
  </si>
  <si>
    <t>PivotTable 3 — Churn by Customer Segment</t>
  </si>
  <si>
    <t>0-12 Months</t>
  </si>
  <si>
    <t>13-24 Months</t>
  </si>
  <si>
    <t>25-48 Months</t>
  </si>
  <si>
    <t>49+ Months</t>
  </si>
  <si>
    <t>PivotTable 4 — Churn by Tenure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</si>
</sst>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9" fontId="0" fillId="36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1 — Churn by Contrac!PivotTable1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1 — Churn by Contrac'!$B$3:$B$4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1 — Churn by Contrac'!$A$5:$A$8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'PivotTable 1 — Churn by Contrac'!$B$5:$B$8</c:f>
              <c:numCache>
                <c:formatCode>General</c:formatCode>
                <c:ptCount val="3"/>
                <c:pt idx="0">
                  <c:v>358</c:v>
                </c:pt>
                <c:pt idx="1">
                  <c:v>195</c:v>
                </c:pt>
                <c:pt idx="2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1-47B3-B8A8-B80041103CD0}"/>
            </c:ext>
          </c:extLst>
        </c:ser>
        <c:ser>
          <c:idx val="1"/>
          <c:order val="1"/>
          <c:tx>
            <c:strRef>
              <c:f>'PivotTable 1 — Churn by Contrac'!$C$3:$C$4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1 — Churn by Contrac'!$A$5:$A$8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'PivotTable 1 — Churn by Contrac'!$C$5:$C$8</c:f>
              <c:numCache>
                <c:formatCode>General</c:formatCode>
                <c:ptCount val="3"/>
                <c:pt idx="0">
                  <c:v>188</c:v>
                </c:pt>
                <c:pt idx="1">
                  <c:v>47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81-47B3-B8A8-B80041103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806031"/>
        <c:axId val="1852640895"/>
      </c:barChart>
      <c:catAx>
        <c:axId val="193480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40895"/>
        <c:crosses val="autoZero"/>
        <c:auto val="1"/>
        <c:lblAlgn val="ctr"/>
        <c:lblOffset val="100"/>
        <c:noMultiLvlLbl val="0"/>
      </c:catAx>
      <c:valAx>
        <c:axId val="18526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0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2 — Churn by Payment!PivotTable2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2 — Churn by Payment'!$B$3:$B$4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2 — Churn by Payment'!$A$5:$A$10</c:f>
              <c:strCache>
                <c:ptCount val="5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Unknown</c:v>
                </c:pt>
                <c:pt idx="4">
                  <c:v>UPI</c:v>
                </c:pt>
              </c:strCache>
            </c:strRef>
          </c:cat>
          <c:val>
            <c:numRef>
              <c:f>'PivotTable 2 — Churn by Payment'!$B$5:$B$10</c:f>
              <c:numCache>
                <c:formatCode>General</c:formatCode>
                <c:ptCount val="5"/>
                <c:pt idx="0">
                  <c:v>163</c:v>
                </c:pt>
                <c:pt idx="1">
                  <c:v>208</c:v>
                </c:pt>
                <c:pt idx="2">
                  <c:v>218</c:v>
                </c:pt>
                <c:pt idx="3">
                  <c:v>4</c:v>
                </c:pt>
                <c:pt idx="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D-4350-ACFF-C7864F760534}"/>
            </c:ext>
          </c:extLst>
        </c:ser>
        <c:ser>
          <c:idx val="1"/>
          <c:order val="1"/>
          <c:tx>
            <c:strRef>
              <c:f>'PivotTable 2 — Churn by Payment'!$C$3:$C$4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2 — Churn by Payment'!$A$5:$A$10</c:f>
              <c:strCache>
                <c:ptCount val="5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Unknown</c:v>
                </c:pt>
                <c:pt idx="4">
                  <c:v>UPI</c:v>
                </c:pt>
              </c:strCache>
            </c:strRef>
          </c:cat>
          <c:val>
            <c:numRef>
              <c:f>'PivotTable 2 — Churn by Payment'!$C$5:$C$10</c:f>
              <c:numCache>
                <c:formatCode>General</c:formatCode>
                <c:ptCount val="5"/>
                <c:pt idx="0">
                  <c:v>53</c:v>
                </c:pt>
                <c:pt idx="1">
                  <c:v>52</c:v>
                </c:pt>
                <c:pt idx="2">
                  <c:v>110</c:v>
                </c:pt>
                <c:pt idx="3">
                  <c:v>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D-4350-ACFF-C7864F760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5457599"/>
        <c:axId val="1398194591"/>
      </c:barChart>
      <c:catAx>
        <c:axId val="193545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591"/>
        <c:crosses val="autoZero"/>
        <c:auto val="1"/>
        <c:lblAlgn val="ctr"/>
        <c:lblOffset val="100"/>
        <c:noMultiLvlLbl val="0"/>
      </c:catAx>
      <c:valAx>
        <c:axId val="139819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45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3 — Churn by Custome!PivotTable3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3 — Churn by Custome'!$B$3:$B$4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3 — Churn by Custome'!$A$5:$A$8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'PivotTable 3 — Churn by Custome'!$B$5:$B$8</c:f>
              <c:numCache>
                <c:formatCode>General</c:formatCode>
                <c:ptCount val="3"/>
                <c:pt idx="0">
                  <c:v>271</c:v>
                </c:pt>
                <c:pt idx="1">
                  <c:v>285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8-4E35-B528-65D9226FB538}"/>
            </c:ext>
          </c:extLst>
        </c:ser>
        <c:ser>
          <c:idx val="1"/>
          <c:order val="1"/>
          <c:tx>
            <c:strRef>
              <c:f>'PivotTable 3 — Churn by Custome'!$C$3:$C$4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3 — Churn by Custome'!$A$5:$A$8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'PivotTable 3 — Churn by Custome'!$C$5:$C$8</c:f>
              <c:numCache>
                <c:formatCode>General</c:formatCode>
                <c:ptCount val="3"/>
                <c:pt idx="0">
                  <c:v>93</c:v>
                </c:pt>
                <c:pt idx="1">
                  <c:v>124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8-4E35-B528-65D9226F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484047"/>
        <c:axId val="1852669695"/>
      </c:barChart>
      <c:catAx>
        <c:axId val="19354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69695"/>
        <c:crosses val="autoZero"/>
        <c:auto val="1"/>
        <c:lblAlgn val="ctr"/>
        <c:lblOffset val="100"/>
        <c:noMultiLvlLbl val="0"/>
      </c:catAx>
      <c:valAx>
        <c:axId val="18526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4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4 — Churn by Tenure 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4 — Churn by Tenure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4 — Churn by Tenure '!$A$5:$A$9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'PivotTable 4 — Churn by Tenure '!$B$5:$B$9</c:f>
              <c:numCache>
                <c:formatCode>General</c:formatCode>
                <c:ptCount val="4"/>
                <c:pt idx="0">
                  <c:v>102</c:v>
                </c:pt>
                <c:pt idx="1">
                  <c:v>140</c:v>
                </c:pt>
                <c:pt idx="2">
                  <c:v>252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7-4216-8468-1732BFC2409B}"/>
            </c:ext>
          </c:extLst>
        </c:ser>
        <c:ser>
          <c:idx val="1"/>
          <c:order val="1"/>
          <c:tx>
            <c:strRef>
              <c:f>'PivotTable 4 — Churn by Tenure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4 — Churn by Tenure '!$A$5:$A$9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'PivotTable 4 — Churn by Tenure '!$C$5:$C$9</c:f>
              <c:numCache>
                <c:formatCode>General</c:formatCode>
                <c:ptCount val="4"/>
                <c:pt idx="0">
                  <c:v>75</c:v>
                </c:pt>
                <c:pt idx="1">
                  <c:v>48</c:v>
                </c:pt>
                <c:pt idx="2">
                  <c:v>83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47-4216-8468-1732BFC24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076447"/>
        <c:axId val="1852661535"/>
      </c:barChart>
      <c:catAx>
        <c:axId val="183607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61535"/>
        <c:crosses val="autoZero"/>
        <c:auto val="1"/>
        <c:lblAlgn val="ctr"/>
        <c:lblOffset val="100"/>
        <c:noMultiLvlLbl val="0"/>
      </c:catAx>
      <c:valAx>
        <c:axId val="185266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7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1 — Churn by Contrac!PivotTable1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1 — Churn by Contrac'!$B$3:$B$4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1 — Churn by Contrac'!$A$5:$A$8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'PivotTable 1 — Churn by Contrac'!$B$5:$B$8</c:f>
              <c:numCache>
                <c:formatCode>General</c:formatCode>
                <c:ptCount val="3"/>
                <c:pt idx="0">
                  <c:v>358</c:v>
                </c:pt>
                <c:pt idx="1">
                  <c:v>195</c:v>
                </c:pt>
                <c:pt idx="2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B-4C9D-B7A6-F99C937770BB}"/>
            </c:ext>
          </c:extLst>
        </c:ser>
        <c:ser>
          <c:idx val="1"/>
          <c:order val="1"/>
          <c:tx>
            <c:strRef>
              <c:f>'PivotTable 1 — Churn by Contrac'!$C$3:$C$4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1 — Churn by Contrac'!$A$5:$A$8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'PivotTable 1 — Churn by Contrac'!$C$5:$C$8</c:f>
              <c:numCache>
                <c:formatCode>General</c:formatCode>
                <c:ptCount val="3"/>
                <c:pt idx="0">
                  <c:v>188</c:v>
                </c:pt>
                <c:pt idx="1">
                  <c:v>47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B-4C9D-B7A6-F99C9377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806031"/>
        <c:axId val="1852640895"/>
      </c:barChart>
      <c:catAx>
        <c:axId val="193480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40895"/>
        <c:crosses val="autoZero"/>
        <c:auto val="1"/>
        <c:lblAlgn val="ctr"/>
        <c:lblOffset val="100"/>
        <c:noMultiLvlLbl val="0"/>
      </c:catAx>
      <c:valAx>
        <c:axId val="18526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0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2 — Churn by Payment!PivotTable2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2 — Churn by Payment'!$B$3:$B$4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2 — Churn by Payment'!$A$5:$A$10</c:f>
              <c:strCache>
                <c:ptCount val="5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Unknown</c:v>
                </c:pt>
                <c:pt idx="4">
                  <c:v>UPI</c:v>
                </c:pt>
              </c:strCache>
            </c:strRef>
          </c:cat>
          <c:val>
            <c:numRef>
              <c:f>'PivotTable 2 — Churn by Payment'!$B$5:$B$10</c:f>
              <c:numCache>
                <c:formatCode>General</c:formatCode>
                <c:ptCount val="5"/>
                <c:pt idx="0">
                  <c:v>163</c:v>
                </c:pt>
                <c:pt idx="1">
                  <c:v>208</c:v>
                </c:pt>
                <c:pt idx="2">
                  <c:v>218</c:v>
                </c:pt>
                <c:pt idx="3">
                  <c:v>4</c:v>
                </c:pt>
                <c:pt idx="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0-42DC-92BF-B51807025BDA}"/>
            </c:ext>
          </c:extLst>
        </c:ser>
        <c:ser>
          <c:idx val="1"/>
          <c:order val="1"/>
          <c:tx>
            <c:strRef>
              <c:f>'PivotTable 2 — Churn by Payment'!$C$3:$C$4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2 — Churn by Payment'!$A$5:$A$10</c:f>
              <c:strCache>
                <c:ptCount val="5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Unknown</c:v>
                </c:pt>
                <c:pt idx="4">
                  <c:v>UPI</c:v>
                </c:pt>
              </c:strCache>
            </c:strRef>
          </c:cat>
          <c:val>
            <c:numRef>
              <c:f>'PivotTable 2 — Churn by Payment'!$C$5:$C$10</c:f>
              <c:numCache>
                <c:formatCode>General</c:formatCode>
                <c:ptCount val="5"/>
                <c:pt idx="0">
                  <c:v>53</c:v>
                </c:pt>
                <c:pt idx="1">
                  <c:v>52</c:v>
                </c:pt>
                <c:pt idx="2">
                  <c:v>110</c:v>
                </c:pt>
                <c:pt idx="3">
                  <c:v>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0-42DC-92BF-B5180702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5457599"/>
        <c:axId val="1398194591"/>
      </c:barChart>
      <c:catAx>
        <c:axId val="193545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94591"/>
        <c:crosses val="autoZero"/>
        <c:auto val="1"/>
        <c:lblAlgn val="ctr"/>
        <c:lblOffset val="100"/>
        <c:noMultiLvlLbl val="0"/>
      </c:catAx>
      <c:valAx>
        <c:axId val="139819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45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4 — Churn by Tenure 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4 — Churn by Tenure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4 — Churn by Tenure '!$A$5:$A$9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'PivotTable 4 — Churn by Tenure '!$B$5:$B$9</c:f>
              <c:numCache>
                <c:formatCode>General</c:formatCode>
                <c:ptCount val="4"/>
                <c:pt idx="0">
                  <c:v>102</c:v>
                </c:pt>
                <c:pt idx="1">
                  <c:v>140</c:v>
                </c:pt>
                <c:pt idx="2">
                  <c:v>252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8-463E-99BA-1B4FE33F64C0}"/>
            </c:ext>
          </c:extLst>
        </c:ser>
        <c:ser>
          <c:idx val="1"/>
          <c:order val="1"/>
          <c:tx>
            <c:strRef>
              <c:f>'PivotTable 4 — Churn by Tenure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4 — Churn by Tenure '!$A$5:$A$9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'PivotTable 4 — Churn by Tenure '!$C$5:$C$9</c:f>
              <c:numCache>
                <c:formatCode>General</c:formatCode>
                <c:ptCount val="4"/>
                <c:pt idx="0">
                  <c:v>75</c:v>
                </c:pt>
                <c:pt idx="1">
                  <c:v>48</c:v>
                </c:pt>
                <c:pt idx="2">
                  <c:v>83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8-463E-99BA-1B4FE33F6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076447"/>
        <c:axId val="1852661535"/>
      </c:barChart>
      <c:catAx>
        <c:axId val="183607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61535"/>
        <c:crosses val="autoZero"/>
        <c:auto val="1"/>
        <c:lblAlgn val="ctr"/>
        <c:lblOffset val="100"/>
        <c:noMultiLvlLbl val="0"/>
      </c:catAx>
      <c:valAx>
        <c:axId val="185266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7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[Customer_Churn_Analysis_EXCEL PROJECT.xlsx]PivotTable 3 — Churn by Custome!PivotTable3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3 — Churn by Custome'!$B$3:$B$4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3 — Churn by Custome'!$A$5:$A$8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'PivotTable 3 — Churn by Custome'!$B$5:$B$8</c:f>
              <c:numCache>
                <c:formatCode>General</c:formatCode>
                <c:ptCount val="3"/>
                <c:pt idx="0">
                  <c:v>271</c:v>
                </c:pt>
                <c:pt idx="1">
                  <c:v>285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0-48F0-9B80-67C3846D4036}"/>
            </c:ext>
          </c:extLst>
        </c:ser>
        <c:ser>
          <c:idx val="1"/>
          <c:order val="1"/>
          <c:tx>
            <c:strRef>
              <c:f>'PivotTable 3 — Churn by Custome'!$C$3:$C$4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 3 — Churn by Custome'!$A$5:$A$8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'PivotTable 3 — Churn by Custome'!$C$5:$C$8</c:f>
              <c:numCache>
                <c:formatCode>General</c:formatCode>
                <c:ptCount val="3"/>
                <c:pt idx="0">
                  <c:v>93</c:v>
                </c:pt>
                <c:pt idx="1">
                  <c:v>124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0-48F0-9B80-67C3846D4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484047"/>
        <c:axId val="1852669695"/>
      </c:barChart>
      <c:catAx>
        <c:axId val="19354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69695"/>
        <c:crosses val="autoZero"/>
        <c:auto val="1"/>
        <c:lblAlgn val="ctr"/>
        <c:lblOffset val="100"/>
        <c:noMultiLvlLbl val="0"/>
      </c:catAx>
      <c:valAx>
        <c:axId val="18526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4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133350</xdr:rowOff>
    </xdr:from>
    <xdr:to>
      <xdr:col>11</xdr:col>
      <xdr:colOff>476250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54D25-3B78-0EC7-D33C-D214388A3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2</xdr:row>
      <xdr:rowOff>0</xdr:rowOff>
    </xdr:from>
    <xdr:to>
      <xdr:col>12</xdr:col>
      <xdr:colOff>44450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044F5-E0D3-1DEB-4D6F-E32CA6DEE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368300</xdr:colOff>
      <xdr:row>1</xdr:row>
      <xdr:rowOff>114300</xdr:rowOff>
    </xdr:from>
    <xdr:to>
      <xdr:col>12</xdr:col>
      <xdr:colOff>63500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E1BF3-E960-7AAD-D8BE-283183B3E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1</xdr:row>
      <xdr:rowOff>95250</xdr:rowOff>
    </xdr:from>
    <xdr:to>
      <xdr:col>12</xdr:col>
      <xdr:colOff>12700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A4946-9FF4-A1D2-AF93-80F583EE9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584201</xdr:colOff>
      <xdr:row>1</xdr:row>
      <xdr:rowOff>25400</xdr:rowOff>
    </xdr:from>
    <xdr:to>
      <xdr:col>13</xdr:col>
      <xdr:colOff>44451</xdr:colOff>
      <xdr:row>4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647129D-5A27-1C81-4D9D-BAD2E3CF95B7}"/>
            </a:ext>
          </a:extLst>
        </xdr:cNvPr>
        <xdr:cNvSpPr/>
      </xdr:nvSpPr>
      <xdr:spPr>
        <a:xfrm>
          <a:off x="584201" y="209550"/>
          <a:ext cx="7385050" cy="565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CUSTOMER CHURN DASHBOARD</a:t>
          </a:r>
        </a:p>
      </xdr:txBody>
    </xdr:sp>
    <xdr:clientData/>
  </xdr:twoCellAnchor>
  <xdr:twoCellAnchor>
    <xdr:from>
      <xdr:col>1</xdr:col>
      <xdr:colOff>6350</xdr:colOff>
      <xdr:row>7</xdr:row>
      <xdr:rowOff>12700</xdr:rowOff>
    </xdr:from>
    <xdr:to>
      <xdr:col>2</xdr:col>
      <xdr:colOff>311150</xdr:colOff>
      <xdr:row>12</xdr:row>
      <xdr:rowOff>6350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0DE90B-EEB1-C229-457E-CDF6C12A04D3}"/>
            </a:ext>
          </a:extLst>
        </xdr:cNvPr>
        <xdr:cNvSpPr/>
      </xdr:nvSpPr>
      <xdr:spPr>
        <a:xfrm>
          <a:off x="615950" y="1301750"/>
          <a:ext cx="914400" cy="9144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TOTAL</a:t>
          </a:r>
          <a:r>
            <a:rPr lang="en-IN" sz="1100" baseline="0">
              <a:solidFill>
                <a:schemeClr val="tx1"/>
              </a:solidFill>
            </a:rPr>
            <a:t> COUNT</a:t>
          </a:r>
        </a:p>
        <a:p>
          <a:pPr algn="ctr"/>
          <a:r>
            <a:rPr lang="en-IN" sz="1100" baseline="0">
              <a:solidFill>
                <a:schemeClr val="tx1"/>
              </a:solidFill>
            </a:rPr>
            <a:t>1000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171450</xdr:colOff>
      <xdr:row>7</xdr:row>
      <xdr:rowOff>38100</xdr:rowOff>
    </xdr:from>
    <xdr:to>
      <xdr:col>7</xdr:col>
      <xdr:colOff>476250</xdr:colOff>
      <xdr:row>12</xdr:row>
      <xdr:rowOff>31750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D8CD3E1-FE85-4572-9B1D-85226F328C27}"/>
            </a:ext>
          </a:extLst>
        </xdr:cNvPr>
        <xdr:cNvSpPr/>
      </xdr:nvSpPr>
      <xdr:spPr>
        <a:xfrm>
          <a:off x="3829050" y="1327150"/>
          <a:ext cx="914400" cy="9144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Calculate churned customers </a:t>
          </a:r>
        </a:p>
        <a:p>
          <a:pPr algn="ctr"/>
          <a:r>
            <a:rPr lang="en-IN" sz="1100">
              <a:solidFill>
                <a:schemeClr val="tx1"/>
              </a:solidFill>
            </a:rPr>
            <a:t>274</a:t>
          </a:r>
        </a:p>
      </xdr:txBody>
    </xdr:sp>
    <xdr:clientData/>
  </xdr:twoCellAnchor>
  <xdr:twoCellAnchor>
    <xdr:from>
      <xdr:col>11</xdr:col>
      <xdr:colOff>349250</xdr:colOff>
      <xdr:row>7</xdr:row>
      <xdr:rowOff>25400</xdr:rowOff>
    </xdr:from>
    <xdr:to>
      <xdr:col>13</xdr:col>
      <xdr:colOff>44450</xdr:colOff>
      <xdr:row>12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468322D-B0C8-4353-8494-2061011D6638}"/>
            </a:ext>
          </a:extLst>
        </xdr:cNvPr>
        <xdr:cNvSpPr/>
      </xdr:nvSpPr>
      <xdr:spPr>
        <a:xfrm>
          <a:off x="7054850" y="1314450"/>
          <a:ext cx="914400" cy="9144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Churn Rate</a:t>
          </a:r>
        </a:p>
        <a:p>
          <a:pPr algn="ctr"/>
          <a:r>
            <a:rPr lang="en-IN" sz="1100">
              <a:solidFill>
                <a:schemeClr val="tx1"/>
              </a:solidFill>
            </a:rPr>
            <a:t>27%</a:t>
          </a:r>
        </a:p>
      </xdr:txBody>
    </xdr:sp>
    <xdr:clientData/>
  </xdr:twoCellAnchor>
  <xdr:twoCellAnchor>
    <xdr:from>
      <xdr:col>1</xdr:col>
      <xdr:colOff>12700</xdr:colOff>
      <xdr:row>14</xdr:row>
      <xdr:rowOff>177800</xdr:rowOff>
    </xdr:from>
    <xdr:to>
      <xdr:col>6</xdr:col>
      <xdr:colOff>368300</xdr:colOff>
      <xdr:row>28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F54AB5E-6A41-3315-1251-E51099F9FDC7}"/>
            </a:ext>
          </a:extLst>
        </xdr:cNvPr>
        <xdr:cNvSpPr/>
      </xdr:nvSpPr>
      <xdr:spPr>
        <a:xfrm>
          <a:off x="622300" y="2755900"/>
          <a:ext cx="3403600" cy="2476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CHURN BY CONTRACT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16</xdr:row>
      <xdr:rowOff>57150</xdr:rowOff>
    </xdr:from>
    <xdr:to>
      <xdr:col>6</xdr:col>
      <xdr:colOff>304800</xdr:colOff>
      <xdr:row>27</xdr:row>
      <xdr:rowOff>107950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489B3EE-541C-4FA9-BF6E-D975EBFEC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146050</xdr:colOff>
      <xdr:row>15</xdr:row>
      <xdr:rowOff>12700</xdr:rowOff>
    </xdr:from>
    <xdr:to>
      <xdr:col>13</xdr:col>
      <xdr:colOff>63500</xdr:colOff>
      <xdr:row>28</xdr:row>
      <xdr:rowOff>50800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07FFA4D-AD6E-4464-ACA6-726273C88A96}"/>
            </a:ext>
          </a:extLst>
        </xdr:cNvPr>
        <xdr:cNvSpPr/>
      </xdr:nvSpPr>
      <xdr:spPr>
        <a:xfrm>
          <a:off x="4413250" y="2774950"/>
          <a:ext cx="3575050" cy="2432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CHURN BY PAYMENT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171450</xdr:colOff>
      <xdr:row>16</xdr:row>
      <xdr:rowOff>107950</xdr:rowOff>
    </xdr:from>
    <xdr:to>
      <xdr:col>13</xdr:col>
      <xdr:colOff>6350</xdr:colOff>
      <xdr:row>27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F51BC25-4830-489F-A137-C662D2911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6</xdr:col>
      <xdr:colOff>355600</xdr:colOff>
      <xdr:row>43</xdr:row>
      <xdr:rowOff>82550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049BB3C-5BE1-4D09-88FD-587647FA7CB8}"/>
            </a:ext>
          </a:extLst>
        </xdr:cNvPr>
        <xdr:cNvSpPr/>
      </xdr:nvSpPr>
      <xdr:spPr>
        <a:xfrm>
          <a:off x="609600" y="5524500"/>
          <a:ext cx="3403600" cy="2476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CHURN BY</a:t>
          </a:r>
          <a:r>
            <a:rPr lang="en-IN" sz="1100" baseline="0"/>
            <a:t> CUSTOMER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146050</xdr:colOff>
      <xdr:row>29</xdr:row>
      <xdr:rowOff>177800</xdr:rowOff>
    </xdr:from>
    <xdr:to>
      <xdr:col>13</xdr:col>
      <xdr:colOff>76200</xdr:colOff>
      <xdr:row>43</xdr:row>
      <xdr:rowOff>82550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223F2F1-1A58-42AD-A114-208273EF344B}"/>
            </a:ext>
          </a:extLst>
        </xdr:cNvPr>
        <xdr:cNvSpPr/>
      </xdr:nvSpPr>
      <xdr:spPr>
        <a:xfrm>
          <a:off x="4413250" y="5518150"/>
          <a:ext cx="3587750" cy="2482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CHURN BY</a:t>
          </a:r>
          <a:r>
            <a:rPr lang="en-IN" sz="1100" baseline="0"/>
            <a:t> </a:t>
          </a:r>
          <a:r>
            <a:rPr lang="en-IN" sz="1100"/>
            <a:t>TENURE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209550</xdr:colOff>
      <xdr:row>31</xdr:row>
      <xdr:rowOff>69850</xdr:rowOff>
    </xdr:from>
    <xdr:to>
      <xdr:col>12</xdr:col>
      <xdr:colOff>603250</xdr:colOff>
      <xdr:row>42</xdr:row>
      <xdr:rowOff>146050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6715D31-67DA-4041-8F84-65C851A92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95250</xdr:colOff>
      <xdr:row>31</xdr:row>
      <xdr:rowOff>88900</xdr:rowOff>
    </xdr:from>
    <xdr:to>
      <xdr:col>6</xdr:col>
      <xdr:colOff>241300</xdr:colOff>
      <xdr:row>42</xdr:row>
      <xdr:rowOff>158750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A86BC83-F81F-4E42-B81D-069553346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Kumar" refreshedDate="46261.973141666669" createdVersion="8" refreshedVersion="8" minRefreshableVersion="3" recordCount="1000" xr:uid="{24CD50CB-6011-4036-8F79-97D7B7CE5FD7}">
  <cacheSource type="worksheet">
    <worksheetSource name="Table1346"/>
  </cacheSource>
  <cacheFields count="12"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70"/>
    </cacheField>
    <cacheField name="Tenure_Months" numFmtId="0">
      <sharedItems containsSemiMixedTypes="0" containsString="0" containsNumber="1" containsInteger="1" minValue="1" maxValue="72"/>
    </cacheField>
    <cacheField name="Contract_Type" numFmtId="0">
      <sharedItems count="3">
        <s v="Month-to-Month"/>
        <s v="Two Year"/>
        <s v="One Year"/>
      </sharedItems>
    </cacheField>
    <cacheField name="Payment_Method" numFmtId="0">
      <sharedItems/>
    </cacheField>
    <cacheField name="Customer_Segment" numFmtId="0">
      <sharedItems/>
    </cacheField>
    <cacheField name="Monthly_Charges" numFmtId="0">
      <sharedItems containsSemiMixedTypes="0" containsString="0" containsNumber="1" minValue="20.02" maxValue="149.6"/>
    </cacheField>
    <cacheField name="Total_Charges" numFmtId="0">
      <sharedItems containsSemiMixedTypes="0" containsString="0" containsNumber="1" minValue="40.82" maxValue="11144.3"/>
    </cacheField>
    <cacheField name="Churn" numFmtId="0">
      <sharedItems count="2">
        <s v="No"/>
        <s v="Yes"/>
      </sharedItems>
    </cacheField>
    <cacheField name="Tenure_Group" numFmtId="0">
      <sharedItems count="4">
        <s v="13-24 Months"/>
        <s v="49+ Months"/>
        <s v="25-48 Months"/>
        <s v="0-12 Months"/>
      </sharedItems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Kumar" refreshedDate="46261.975368287036" createdVersion="8" refreshedVersion="8" minRefreshableVersion="3" recordCount="1000" xr:uid="{A9FEA28A-112B-4FD7-A0CE-FC904ED9FE57}">
  <cacheSource type="worksheet">
    <worksheetSource name="Table134"/>
  </cacheSource>
  <cacheFields count="12"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70"/>
    </cacheField>
    <cacheField name="Tenure_Months" numFmtId="0">
      <sharedItems containsSemiMixedTypes="0" containsString="0" containsNumber="1" containsInteger="1" minValue="1" maxValue="72"/>
    </cacheField>
    <cacheField name="Contract_Type" numFmtId="0">
      <sharedItems/>
    </cacheField>
    <cacheField name="Payment_Method" numFmtId="0">
      <sharedItems count="5">
        <s v="Credit Card"/>
        <s v="Bank Transfer"/>
        <s v="Electronic Check"/>
        <s v="UPI"/>
        <s v="Unknown"/>
      </sharedItems>
    </cacheField>
    <cacheField name="Customer_Segment" numFmtId="0">
      <sharedItems count="3">
        <s v="Adult"/>
        <s v="Young"/>
        <s v="Senior"/>
      </sharedItems>
    </cacheField>
    <cacheField name="Monthly_Charges" numFmtId="0">
      <sharedItems containsSemiMixedTypes="0" containsString="0" containsNumber="1" minValue="20.02" maxValue="149.6"/>
    </cacheField>
    <cacheField name="Total_Charges" numFmtId="0">
      <sharedItems containsSemiMixedTypes="0" containsString="0" containsNumber="1" minValue="40.82" maxValue="11144.3"/>
    </cacheField>
    <cacheField name="Churn" numFmtId="0">
      <sharedItems count="2">
        <s v="No"/>
        <s v="Yes"/>
      </sharedItems>
    </cacheField>
    <cacheField name="Tenure_Group" numFmtId="0">
      <sharedItems/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001"/>
    <s v="Male"/>
    <n v="34"/>
    <n v="20"/>
    <x v="0"/>
    <s v="Credit Card"/>
    <s v="Adult"/>
    <n v="48.83"/>
    <n v="944.11"/>
    <x v="0"/>
    <x v="0"/>
    <n v="0"/>
  </r>
  <r>
    <s v="CUST0002"/>
    <s v="Female"/>
    <n v="26"/>
    <n v="61"/>
    <x v="1"/>
    <s v="Credit Card"/>
    <s v="Young"/>
    <n v="61.28"/>
    <n v="3654.12"/>
    <x v="0"/>
    <x v="1"/>
    <n v="0"/>
  </r>
  <r>
    <s v="CUST0003"/>
    <s v="Male"/>
    <n v="50"/>
    <n v="35"/>
    <x v="2"/>
    <s v="Bank Transfer"/>
    <s v="Senior"/>
    <n v="53.72"/>
    <n v="1744.21"/>
    <x v="0"/>
    <x v="2"/>
    <n v="0"/>
  </r>
  <r>
    <s v="CUST0004"/>
    <s v="Male"/>
    <n v="70"/>
    <n v="50"/>
    <x v="2"/>
    <s v="Credit Card"/>
    <s v="Senior"/>
    <n v="31.39"/>
    <n v="1644.26"/>
    <x v="0"/>
    <x v="1"/>
    <n v="0"/>
  </r>
  <r>
    <s v="CUST0005"/>
    <s v="Male"/>
    <n v="37"/>
    <n v="62"/>
    <x v="0"/>
    <s v="Credit Card"/>
    <s v="Adult"/>
    <n v="31.69"/>
    <n v="2105.0500000000002"/>
    <x v="0"/>
    <x v="1"/>
    <n v="0"/>
  </r>
  <r>
    <s v="CUST0006"/>
    <s v="Female"/>
    <n v="30"/>
    <n v="17"/>
    <x v="1"/>
    <s v="Credit Card"/>
    <s v="Adult"/>
    <n v="45.12"/>
    <n v="834.34"/>
    <x v="1"/>
    <x v="0"/>
    <n v="1"/>
  </r>
  <r>
    <s v="CUST0007"/>
    <s v="Male"/>
    <n v="45"/>
    <n v="3"/>
    <x v="1"/>
    <s v="Electronic Check"/>
    <s v="Adult"/>
    <n v="26.57"/>
    <n v="79.59"/>
    <x v="1"/>
    <x v="3"/>
    <n v="1"/>
  </r>
  <r>
    <s v="CUST0008"/>
    <s v="Male"/>
    <n v="65"/>
    <n v="32"/>
    <x v="2"/>
    <s v="Credit Card"/>
    <s v="Senior"/>
    <n v="101.44"/>
    <n v="3376.49"/>
    <x v="0"/>
    <x v="2"/>
    <n v="0"/>
  </r>
  <r>
    <s v="CUST0009"/>
    <s v="Male"/>
    <n v="46"/>
    <n v="13"/>
    <x v="0"/>
    <s v="Electronic Check"/>
    <s v="Adult"/>
    <n v="57.35"/>
    <n v="798.57"/>
    <x v="0"/>
    <x v="0"/>
    <n v="0"/>
  </r>
  <r>
    <s v="CUST0010"/>
    <s v="Female"/>
    <n v="30"/>
    <n v="68"/>
    <x v="0"/>
    <s v="UPI"/>
    <s v="Adult"/>
    <n v="56.37"/>
    <n v="3770.52"/>
    <x v="0"/>
    <x v="1"/>
    <n v="0"/>
  </r>
  <r>
    <s v="CUST0011"/>
    <s v="Male"/>
    <n v="63"/>
    <n v="14"/>
    <x v="0"/>
    <s v="Bank Transfer"/>
    <s v="Senior"/>
    <n v="63.16"/>
    <n v="850.54"/>
    <x v="0"/>
    <x v="0"/>
    <n v="0"/>
  </r>
  <r>
    <s v="CUST0012"/>
    <s v="Male"/>
    <n v="52"/>
    <n v="11"/>
    <x v="0"/>
    <s v="UPI"/>
    <s v="Senior"/>
    <n v="106.16"/>
    <n v="1269.76"/>
    <x v="0"/>
    <x v="3"/>
    <n v="0"/>
  </r>
  <r>
    <s v="CUST0013"/>
    <s v="Male"/>
    <n v="23"/>
    <n v="56"/>
    <x v="0"/>
    <s v="Electronic Check"/>
    <s v="Young"/>
    <n v="133.18"/>
    <n v="7481.46"/>
    <x v="0"/>
    <x v="1"/>
    <n v="0"/>
  </r>
  <r>
    <s v="CUST0014"/>
    <s v="Male"/>
    <n v="35"/>
    <n v="67"/>
    <x v="1"/>
    <s v="UPI"/>
    <s v="Adult"/>
    <n v="118.68"/>
    <n v="7947.19"/>
    <x v="0"/>
    <x v="1"/>
    <n v="0"/>
  </r>
  <r>
    <s v="CUST0015"/>
    <s v="Female"/>
    <n v="68"/>
    <n v="29"/>
    <x v="0"/>
    <s v="UPI"/>
    <s v="Senior"/>
    <n v="114.58"/>
    <n v="3109.11"/>
    <x v="1"/>
    <x v="2"/>
    <n v="1"/>
  </r>
  <r>
    <s v="CUST0016"/>
    <s v="Male"/>
    <n v="22"/>
    <n v="9"/>
    <x v="0"/>
    <s v="Bank Transfer"/>
    <s v="Young"/>
    <n v="82.97"/>
    <n v="688.21"/>
    <x v="0"/>
    <x v="3"/>
    <n v="0"/>
  </r>
  <r>
    <s v="CUST0017"/>
    <s v="Female"/>
    <n v="64"/>
    <n v="67"/>
    <x v="0"/>
    <s v="Bank Transfer"/>
    <s v="Senior"/>
    <n v="110.19"/>
    <n v="7887.87"/>
    <x v="1"/>
    <x v="1"/>
    <n v="1"/>
  </r>
  <r>
    <s v="CUST0018"/>
    <s v="Female"/>
    <n v="42"/>
    <n v="25"/>
    <x v="0"/>
    <s v="Electronic Check"/>
    <s v="Adult"/>
    <n v="91.86"/>
    <n v="2348.92"/>
    <x v="1"/>
    <x v="2"/>
    <n v="1"/>
  </r>
  <r>
    <s v="CUST0019"/>
    <s v="Female"/>
    <n v="19"/>
    <n v="42"/>
    <x v="0"/>
    <s v="UPI"/>
    <s v="Young"/>
    <n v="48.11"/>
    <n v="1950.23"/>
    <x v="0"/>
    <x v="2"/>
    <n v="0"/>
  </r>
  <r>
    <s v="CUST0020"/>
    <s v="Male"/>
    <n v="27"/>
    <n v="9"/>
    <x v="0"/>
    <s v="Credit Card"/>
    <s v="Young"/>
    <n v="47.12"/>
    <n v="397.93"/>
    <x v="0"/>
    <x v="3"/>
    <n v="0"/>
  </r>
  <r>
    <s v="CUST0021"/>
    <s v="Female"/>
    <n v="47"/>
    <n v="40"/>
    <x v="0"/>
    <s v="Electronic Check"/>
    <s v="Adult"/>
    <n v="58.53"/>
    <n v="2367.19"/>
    <x v="0"/>
    <x v="2"/>
    <n v="0"/>
  </r>
  <r>
    <s v="CUST0022"/>
    <s v="Male"/>
    <n v="67"/>
    <n v="25"/>
    <x v="2"/>
    <s v="Electronic Check"/>
    <s v="Senior"/>
    <n v="138.4"/>
    <n v="3518.07"/>
    <x v="1"/>
    <x v="2"/>
    <n v="1"/>
  </r>
  <r>
    <s v="CUST0023"/>
    <s v="Female"/>
    <n v="62"/>
    <n v="5"/>
    <x v="1"/>
    <s v="UPI"/>
    <s v="Senior"/>
    <n v="91.16"/>
    <n v="429.09"/>
    <x v="0"/>
    <x v="3"/>
    <n v="0"/>
  </r>
  <r>
    <s v="CUST0024"/>
    <s v="Female"/>
    <n v="22"/>
    <n v="11"/>
    <x v="0"/>
    <s v="UPI"/>
    <s v="Young"/>
    <n v="115.41"/>
    <n v="1358.73"/>
    <x v="1"/>
    <x v="3"/>
    <n v="1"/>
  </r>
  <r>
    <s v="CUST0025"/>
    <s v="Female"/>
    <n v="50"/>
    <n v="59"/>
    <x v="0"/>
    <s v="UPI"/>
    <s v="Senior"/>
    <n v="65.05"/>
    <n v="3518.84"/>
    <x v="0"/>
    <x v="1"/>
    <n v="0"/>
  </r>
  <r>
    <s v="CUST0026"/>
    <s v="Female"/>
    <n v="18"/>
    <n v="38"/>
    <x v="1"/>
    <s v="Bank Transfer"/>
    <s v="Young"/>
    <n v="73"/>
    <n v="2694.16"/>
    <x v="0"/>
    <x v="2"/>
    <n v="0"/>
  </r>
  <r>
    <s v="CUST0027"/>
    <s v="Female"/>
    <n v="35"/>
    <n v="72"/>
    <x v="0"/>
    <s v="Electronic Check"/>
    <s v="Adult"/>
    <n v="36.32"/>
    <n v="2709.38"/>
    <x v="0"/>
    <x v="1"/>
    <n v="0"/>
  </r>
  <r>
    <s v="CUST0028"/>
    <s v="Female"/>
    <n v="49"/>
    <n v="5"/>
    <x v="0"/>
    <s v="Electronic Check"/>
    <s v="Adult"/>
    <n v="42.27"/>
    <n v="201.8"/>
    <x v="1"/>
    <x v="3"/>
    <n v="1"/>
  </r>
  <r>
    <s v="CUST0029"/>
    <s v="Female"/>
    <n v="64"/>
    <n v="48"/>
    <x v="1"/>
    <s v="Electronic Check"/>
    <s v="Senior"/>
    <n v="127.56"/>
    <n v="6524.14"/>
    <x v="1"/>
    <x v="2"/>
    <n v="1"/>
  </r>
  <r>
    <s v="CUST0030"/>
    <s v="Female"/>
    <n v="66"/>
    <n v="18"/>
    <x v="0"/>
    <s v="Electronic Check"/>
    <s v="Senior"/>
    <n v="96.03"/>
    <n v="1811.46"/>
    <x v="1"/>
    <x v="0"/>
    <n v="1"/>
  </r>
  <r>
    <s v="CUST0031"/>
    <s v="Male"/>
    <n v="28"/>
    <n v="70"/>
    <x v="2"/>
    <s v="Credit Card"/>
    <s v="Young"/>
    <n v="63.88"/>
    <n v="4730.08"/>
    <x v="0"/>
    <x v="1"/>
    <n v="0"/>
  </r>
  <r>
    <s v="CUST0032"/>
    <s v="Male"/>
    <n v="38"/>
    <n v="37"/>
    <x v="2"/>
    <s v="Electronic Check"/>
    <s v="Adult"/>
    <n v="124.37"/>
    <n v="4251.1400000000003"/>
    <x v="0"/>
    <x v="2"/>
    <n v="0"/>
  </r>
  <r>
    <s v="CUST0033"/>
    <s v="Female"/>
    <n v="43"/>
    <n v="60"/>
    <x v="0"/>
    <s v="Credit Card"/>
    <s v="Adult"/>
    <n v="52.05"/>
    <n v="2898.49"/>
    <x v="1"/>
    <x v="1"/>
    <n v="1"/>
  </r>
  <r>
    <s v="CUST0034"/>
    <s v="Female"/>
    <n v="42"/>
    <n v="48"/>
    <x v="0"/>
    <s v="Unknown"/>
    <s v="Adult"/>
    <n v="146.88"/>
    <n v="6749.16"/>
    <x v="0"/>
    <x v="2"/>
    <n v="0"/>
  </r>
  <r>
    <s v="CUST0035"/>
    <s v="Female"/>
    <n v="39"/>
    <n v="28"/>
    <x v="2"/>
    <s v="Credit Card"/>
    <s v="Adult"/>
    <n v="64.83"/>
    <n v="1821.8"/>
    <x v="0"/>
    <x v="2"/>
    <n v="0"/>
  </r>
  <r>
    <s v="CUST0036"/>
    <s v="Male"/>
    <n v="44"/>
    <n v="69"/>
    <x v="0"/>
    <s v="UPI"/>
    <s v="Adult"/>
    <n v="63.85"/>
    <n v="4624.18"/>
    <x v="0"/>
    <x v="1"/>
    <n v="0"/>
  </r>
  <r>
    <s v="CUST0037"/>
    <s v="Female"/>
    <n v="66"/>
    <n v="40"/>
    <x v="0"/>
    <s v="Bank Transfer"/>
    <s v="Senior"/>
    <n v="60.55"/>
    <n v="2585.02"/>
    <x v="0"/>
    <x v="2"/>
    <n v="0"/>
  </r>
  <r>
    <s v="CUST0038"/>
    <s v="Male"/>
    <n v="30"/>
    <n v="45"/>
    <x v="2"/>
    <s v="Electronic Check"/>
    <s v="Adult"/>
    <n v="35.869999999999997"/>
    <n v="1680.12"/>
    <x v="0"/>
    <x v="2"/>
    <n v="0"/>
  </r>
  <r>
    <s v="CUST0039"/>
    <s v="Male"/>
    <n v="50"/>
    <n v="62"/>
    <x v="0"/>
    <s v="Credit Card"/>
    <s v="Senior"/>
    <n v="34.450000000000003"/>
    <n v="2318.9899999999998"/>
    <x v="1"/>
    <x v="1"/>
    <n v="1"/>
  </r>
  <r>
    <s v="CUST0040"/>
    <s v="Male"/>
    <n v="51"/>
    <n v="58"/>
    <x v="0"/>
    <s v="Unknown"/>
    <s v="Senior"/>
    <n v="104.25"/>
    <n v="6335.21"/>
    <x v="1"/>
    <x v="1"/>
    <n v="1"/>
  </r>
  <r>
    <s v="CUST0041"/>
    <s v="Male"/>
    <n v="58"/>
    <n v="67"/>
    <x v="1"/>
    <s v="Electronic Check"/>
    <s v="Senior"/>
    <n v="133.77000000000001"/>
    <n v="8615.32"/>
    <x v="1"/>
    <x v="1"/>
    <n v="1"/>
  </r>
  <r>
    <s v="CUST0042"/>
    <s v="Male"/>
    <n v="52"/>
    <n v="56"/>
    <x v="0"/>
    <s v="Bank Transfer"/>
    <s v="Senior"/>
    <n v="122.77"/>
    <n v="6552.1"/>
    <x v="0"/>
    <x v="1"/>
    <n v="0"/>
  </r>
  <r>
    <s v="CUST0043"/>
    <s v="Female"/>
    <n v="18"/>
    <n v="40"/>
    <x v="1"/>
    <s v="Electronic Check"/>
    <s v="Young"/>
    <n v="38.340000000000003"/>
    <n v="1593.78"/>
    <x v="0"/>
    <x v="2"/>
    <n v="0"/>
  </r>
  <r>
    <s v="CUST0044"/>
    <s v="Female"/>
    <n v="38"/>
    <n v="40"/>
    <x v="2"/>
    <s v="Electronic Check"/>
    <s v="Adult"/>
    <n v="90.93"/>
    <n v="3413.78"/>
    <x v="0"/>
    <x v="2"/>
    <n v="0"/>
  </r>
  <r>
    <s v="CUST0045"/>
    <s v="Female"/>
    <n v="65"/>
    <n v="33"/>
    <x v="2"/>
    <s v="Credit Card"/>
    <s v="Senior"/>
    <n v="33.729999999999997"/>
    <n v="1022.42"/>
    <x v="1"/>
    <x v="2"/>
    <n v="1"/>
  </r>
  <r>
    <s v="CUST0046"/>
    <s v="Female"/>
    <n v="23"/>
    <n v="6"/>
    <x v="0"/>
    <s v="UPI"/>
    <s v="Young"/>
    <n v="25.89"/>
    <n v="156.34"/>
    <x v="0"/>
    <x v="3"/>
    <n v="0"/>
  </r>
  <r>
    <s v="CUST0047"/>
    <s v="Female"/>
    <n v="45"/>
    <n v="19"/>
    <x v="1"/>
    <s v="Bank Transfer"/>
    <s v="Adult"/>
    <n v="105.33"/>
    <n v="2130.0100000000002"/>
    <x v="1"/>
    <x v="0"/>
    <n v="1"/>
  </r>
  <r>
    <s v="CUST0048"/>
    <s v="Male"/>
    <n v="34"/>
    <n v="40"/>
    <x v="0"/>
    <s v="Bank Transfer"/>
    <s v="Adult"/>
    <n v="89.57"/>
    <n v="3297.16"/>
    <x v="1"/>
    <x v="2"/>
    <n v="1"/>
  </r>
  <r>
    <s v="CUST0049"/>
    <s v="Female"/>
    <n v="22"/>
    <n v="59"/>
    <x v="2"/>
    <s v="Electronic Check"/>
    <s v="Young"/>
    <n v="30.66"/>
    <n v="1914.54"/>
    <x v="0"/>
    <x v="1"/>
    <n v="0"/>
  </r>
  <r>
    <s v="CUST0050"/>
    <s v="Female"/>
    <n v="48"/>
    <n v="59"/>
    <x v="0"/>
    <s v="Bank Transfer"/>
    <s v="Adult"/>
    <n v="24.54"/>
    <n v="1538.08"/>
    <x v="0"/>
    <x v="1"/>
    <n v="0"/>
  </r>
  <r>
    <s v="CUST0051"/>
    <s v="Male"/>
    <n v="22"/>
    <n v="48"/>
    <x v="0"/>
    <s v="Bank Transfer"/>
    <s v="Young"/>
    <n v="148.66999999999999"/>
    <n v="7110.86"/>
    <x v="0"/>
    <x v="2"/>
    <n v="0"/>
  </r>
  <r>
    <s v="CUST0052"/>
    <s v="Female"/>
    <n v="55"/>
    <n v="41"/>
    <x v="0"/>
    <s v="Bank Transfer"/>
    <s v="Senior"/>
    <n v="23.9"/>
    <n v="893.14"/>
    <x v="0"/>
    <x v="2"/>
    <n v="0"/>
  </r>
  <r>
    <s v="CUST0053"/>
    <s v="Male"/>
    <n v="20"/>
    <n v="13"/>
    <x v="1"/>
    <s v="UPI"/>
    <s v="Young"/>
    <n v="77.790000000000006"/>
    <n v="945.45"/>
    <x v="1"/>
    <x v="0"/>
    <n v="1"/>
  </r>
  <r>
    <s v="CUST0054"/>
    <s v="Female"/>
    <n v="70"/>
    <n v="45"/>
    <x v="1"/>
    <s v="Electronic Check"/>
    <s v="Senior"/>
    <n v="85.6"/>
    <n v="4011.8"/>
    <x v="0"/>
    <x v="2"/>
    <n v="0"/>
  </r>
  <r>
    <s v="CUST0055"/>
    <s v="Male"/>
    <n v="40"/>
    <n v="53"/>
    <x v="0"/>
    <s v="UPI"/>
    <s v="Adult"/>
    <n v="35.25"/>
    <n v="1947.38"/>
    <x v="0"/>
    <x v="1"/>
    <n v="0"/>
  </r>
  <r>
    <s v="CUST0056"/>
    <s v="Female"/>
    <n v="54"/>
    <n v="42"/>
    <x v="0"/>
    <s v="UPI"/>
    <s v="Senior"/>
    <n v="41.98"/>
    <n v="1903.63"/>
    <x v="0"/>
    <x v="2"/>
    <n v="0"/>
  </r>
  <r>
    <s v="CUST0057"/>
    <s v="Female"/>
    <n v="70"/>
    <n v="63"/>
    <x v="2"/>
    <s v="Electronic Check"/>
    <s v="Senior"/>
    <n v="65.73"/>
    <n v="4209.47"/>
    <x v="0"/>
    <x v="1"/>
    <n v="0"/>
  </r>
  <r>
    <s v="CUST0058"/>
    <s v="Male"/>
    <n v="54"/>
    <n v="27"/>
    <x v="0"/>
    <s v="Credit Card"/>
    <s v="Senior"/>
    <n v="119.02"/>
    <n v="2971.95"/>
    <x v="0"/>
    <x v="2"/>
    <n v="0"/>
  </r>
  <r>
    <s v="CUST0059"/>
    <s v="Male"/>
    <n v="27"/>
    <n v="38"/>
    <x v="0"/>
    <s v="UPI"/>
    <s v="Young"/>
    <n v="85.92"/>
    <n v="3017.75"/>
    <x v="0"/>
    <x v="2"/>
    <n v="0"/>
  </r>
  <r>
    <s v="CUST0060"/>
    <s v="Male"/>
    <n v="27"/>
    <n v="60"/>
    <x v="2"/>
    <s v="Electronic Check"/>
    <s v="Young"/>
    <n v="102.93"/>
    <n v="6448.93"/>
    <x v="1"/>
    <x v="1"/>
    <n v="1"/>
  </r>
  <r>
    <s v="CUST0061"/>
    <s v="Male"/>
    <n v="36"/>
    <n v="7"/>
    <x v="0"/>
    <s v="Credit Card"/>
    <s v="Adult"/>
    <n v="148.07"/>
    <n v="970.94"/>
    <x v="1"/>
    <x v="3"/>
    <n v="1"/>
  </r>
  <r>
    <s v="CUST0062"/>
    <s v="Male"/>
    <n v="34"/>
    <n v="5"/>
    <x v="1"/>
    <s v="UPI"/>
    <s v="Adult"/>
    <n v="119.84"/>
    <n v="578.63"/>
    <x v="0"/>
    <x v="3"/>
    <n v="0"/>
  </r>
  <r>
    <s v="CUST0063"/>
    <s v="Male"/>
    <n v="38"/>
    <n v="45"/>
    <x v="0"/>
    <s v="Credit Card"/>
    <s v="Adult"/>
    <n v="76.47"/>
    <n v="3432.35"/>
    <x v="1"/>
    <x v="2"/>
    <n v="1"/>
  </r>
  <r>
    <s v="CUST0064"/>
    <s v="Male"/>
    <n v="31"/>
    <n v="58"/>
    <x v="0"/>
    <s v="Electronic Check"/>
    <s v="Adult"/>
    <n v="78.040000000000006"/>
    <n v="4096.1099999999997"/>
    <x v="0"/>
    <x v="1"/>
    <n v="0"/>
  </r>
  <r>
    <s v="CUST0065"/>
    <s v="Male"/>
    <n v="26"/>
    <n v="31"/>
    <x v="0"/>
    <s v="Credit Card"/>
    <s v="Young"/>
    <n v="100.44"/>
    <n v="2957.22"/>
    <x v="0"/>
    <x v="2"/>
    <n v="0"/>
  </r>
  <r>
    <s v="CUST0066"/>
    <s v="Female"/>
    <n v="63"/>
    <n v="23"/>
    <x v="2"/>
    <s v="Electronic Check"/>
    <s v="Senior"/>
    <n v="83.07"/>
    <n v="2404.38"/>
    <x v="0"/>
    <x v="0"/>
    <n v="0"/>
  </r>
  <r>
    <s v="CUST0067"/>
    <s v="Female"/>
    <n v="18"/>
    <n v="42"/>
    <x v="0"/>
    <s v="Credit Card"/>
    <s v="Young"/>
    <n v="85.09"/>
    <n v="3416.27"/>
    <x v="1"/>
    <x v="2"/>
    <n v="1"/>
  </r>
  <r>
    <s v="CUST0068"/>
    <s v="Male"/>
    <n v="68"/>
    <n v="10"/>
    <x v="2"/>
    <s v="Electronic Check"/>
    <s v="Senior"/>
    <n v="103.83"/>
    <n v="962.79"/>
    <x v="1"/>
    <x v="3"/>
    <n v="1"/>
  </r>
  <r>
    <s v="CUST0069"/>
    <s v="Female"/>
    <n v="62"/>
    <n v="32"/>
    <x v="0"/>
    <s v="Bank Transfer"/>
    <s v="Senior"/>
    <n v="23.06"/>
    <n v="771.57"/>
    <x v="0"/>
    <x v="2"/>
    <n v="0"/>
  </r>
  <r>
    <s v="CUST0070"/>
    <s v="Female"/>
    <n v="30"/>
    <n v="53"/>
    <x v="1"/>
    <s v="Credit Card"/>
    <s v="Adult"/>
    <n v="75.849999999999994"/>
    <n v="4271.82"/>
    <x v="0"/>
    <x v="1"/>
    <n v="0"/>
  </r>
  <r>
    <s v="CUST0071"/>
    <s v="Female"/>
    <n v="21"/>
    <n v="30"/>
    <x v="0"/>
    <s v="Bank Transfer"/>
    <s v="Young"/>
    <n v="56.26"/>
    <n v="1605.93"/>
    <x v="0"/>
    <x v="2"/>
    <n v="0"/>
  </r>
  <r>
    <s v="CUST0072"/>
    <s v="Female"/>
    <n v="18"/>
    <n v="39"/>
    <x v="0"/>
    <s v="Bank Transfer"/>
    <s v="Young"/>
    <n v="36.79"/>
    <n v="1513.56"/>
    <x v="0"/>
    <x v="2"/>
    <n v="0"/>
  </r>
  <r>
    <s v="CUST0073"/>
    <s v="Male"/>
    <n v="66"/>
    <n v="31"/>
    <x v="2"/>
    <s v="Credit Card"/>
    <s v="Senior"/>
    <n v="32.94"/>
    <n v="997.77"/>
    <x v="0"/>
    <x v="2"/>
    <n v="0"/>
  </r>
  <r>
    <s v="CUST0074"/>
    <s v="Female"/>
    <n v="57"/>
    <n v="2"/>
    <x v="0"/>
    <s v="Bank Transfer"/>
    <s v="Senior"/>
    <n v="98.41"/>
    <n v="197.08"/>
    <x v="0"/>
    <x v="3"/>
    <n v="0"/>
  </r>
  <r>
    <s v="CUST0075"/>
    <s v="Male"/>
    <n v="49"/>
    <n v="12"/>
    <x v="0"/>
    <s v="Electronic Check"/>
    <s v="Adult"/>
    <n v="88.07"/>
    <n v="1132.0899999999999"/>
    <x v="1"/>
    <x v="3"/>
    <n v="1"/>
  </r>
  <r>
    <s v="CUST0076"/>
    <s v="Female"/>
    <n v="51"/>
    <n v="39"/>
    <x v="1"/>
    <s v="Credit Card"/>
    <s v="Senior"/>
    <n v="52.97"/>
    <n v="2169.1"/>
    <x v="0"/>
    <x v="2"/>
    <n v="0"/>
  </r>
  <r>
    <s v="CUST0077"/>
    <s v="Female"/>
    <n v="45"/>
    <n v="66"/>
    <x v="0"/>
    <s v="Electronic Check"/>
    <s v="Adult"/>
    <n v="81.22"/>
    <n v="5687.64"/>
    <x v="0"/>
    <x v="1"/>
    <n v="0"/>
  </r>
  <r>
    <s v="CUST0078"/>
    <s v="Female"/>
    <n v="48"/>
    <n v="13"/>
    <x v="2"/>
    <s v="UPI"/>
    <s v="Adult"/>
    <n v="83.99"/>
    <n v="1012.57"/>
    <x v="1"/>
    <x v="0"/>
    <n v="1"/>
  </r>
  <r>
    <s v="CUST0079"/>
    <s v="Male"/>
    <n v="25"/>
    <n v="46"/>
    <x v="0"/>
    <s v="Electronic Check"/>
    <s v="Young"/>
    <n v="45.35"/>
    <n v="1906.58"/>
    <x v="0"/>
    <x v="2"/>
    <n v="0"/>
  </r>
  <r>
    <s v="CUST0080"/>
    <s v="Female"/>
    <n v="56"/>
    <n v="27"/>
    <x v="2"/>
    <s v="Credit Card"/>
    <s v="Senior"/>
    <n v="104.77"/>
    <n v="3051.36"/>
    <x v="0"/>
    <x v="2"/>
    <n v="0"/>
  </r>
  <r>
    <s v="CUST0081"/>
    <s v="Male"/>
    <n v="43"/>
    <n v="17"/>
    <x v="0"/>
    <s v="Bank Transfer"/>
    <s v="Adult"/>
    <n v="121.52"/>
    <n v="2019.5"/>
    <x v="0"/>
    <x v="0"/>
    <n v="0"/>
  </r>
  <r>
    <s v="CUST0082"/>
    <s v="Female"/>
    <n v="51"/>
    <n v="60"/>
    <x v="0"/>
    <s v="Credit Card"/>
    <s v="Senior"/>
    <n v="122.89"/>
    <n v="7060.59"/>
    <x v="0"/>
    <x v="1"/>
    <n v="0"/>
  </r>
  <r>
    <s v="CUST0083"/>
    <s v="Male"/>
    <n v="20"/>
    <n v="64"/>
    <x v="1"/>
    <s v="Electronic Check"/>
    <s v="Young"/>
    <n v="98.32"/>
    <n v="6575.26"/>
    <x v="0"/>
    <x v="1"/>
    <n v="0"/>
  </r>
  <r>
    <s v="CUST0084"/>
    <s v="Female"/>
    <n v="67"/>
    <n v="35"/>
    <x v="2"/>
    <s v="Credit Card"/>
    <s v="Senior"/>
    <n v="86.51"/>
    <n v="3231.57"/>
    <x v="0"/>
    <x v="2"/>
    <n v="0"/>
  </r>
  <r>
    <s v="CUST0085"/>
    <s v="Male"/>
    <n v="29"/>
    <n v="70"/>
    <x v="0"/>
    <s v="Bank Transfer"/>
    <s v="Young"/>
    <n v="27.93"/>
    <n v="2096.84"/>
    <x v="0"/>
    <x v="1"/>
    <n v="0"/>
  </r>
  <r>
    <s v="CUST0086"/>
    <s v="Male"/>
    <n v="18"/>
    <n v="30"/>
    <x v="0"/>
    <s v="Bank Transfer"/>
    <s v="Young"/>
    <n v="57.42"/>
    <n v="1659.21"/>
    <x v="0"/>
    <x v="2"/>
    <n v="0"/>
  </r>
  <r>
    <s v="CUST0087"/>
    <s v="Female"/>
    <n v="61"/>
    <n v="71"/>
    <x v="1"/>
    <s v="Credit Card"/>
    <s v="Senior"/>
    <n v="32.130000000000003"/>
    <n v="2441.9299999999998"/>
    <x v="0"/>
    <x v="1"/>
    <n v="0"/>
  </r>
  <r>
    <s v="CUST0088"/>
    <s v="Male"/>
    <n v="22"/>
    <n v="63"/>
    <x v="0"/>
    <s v="Credit Card"/>
    <s v="Young"/>
    <n v="145.30000000000001"/>
    <n v="8313.4500000000007"/>
    <x v="0"/>
    <x v="1"/>
    <n v="0"/>
  </r>
  <r>
    <s v="CUST0089"/>
    <s v="Female"/>
    <n v="47"/>
    <n v="28"/>
    <x v="2"/>
    <s v="Credit Card"/>
    <s v="Adult"/>
    <n v="37.56"/>
    <n v="956.96"/>
    <x v="0"/>
    <x v="2"/>
    <n v="0"/>
  </r>
  <r>
    <s v="CUST0090"/>
    <s v="Female"/>
    <n v="47"/>
    <n v="60"/>
    <x v="2"/>
    <s v="Bank Transfer"/>
    <s v="Adult"/>
    <n v="39.729999999999997"/>
    <n v="2442.69"/>
    <x v="0"/>
    <x v="1"/>
    <n v="0"/>
  </r>
  <r>
    <s v="CUST0091"/>
    <s v="Female"/>
    <n v="34"/>
    <n v="37"/>
    <x v="0"/>
    <s v="Credit Card"/>
    <s v="Adult"/>
    <n v="135.63999999999999"/>
    <n v="4580.1499999999996"/>
    <x v="0"/>
    <x v="2"/>
    <n v="0"/>
  </r>
  <r>
    <s v="CUST0092"/>
    <s v="Female"/>
    <n v="65"/>
    <n v="22"/>
    <x v="0"/>
    <s v="Credit Card"/>
    <s v="Senior"/>
    <n v="142.71"/>
    <n v="3029.49"/>
    <x v="1"/>
    <x v="0"/>
    <n v="1"/>
  </r>
  <r>
    <s v="CUST0093"/>
    <s v="Female"/>
    <n v="64"/>
    <n v="68"/>
    <x v="2"/>
    <s v="Electronic Check"/>
    <s v="Senior"/>
    <n v="119.56"/>
    <n v="8410.98"/>
    <x v="0"/>
    <x v="1"/>
    <n v="0"/>
  </r>
  <r>
    <s v="CUST0094"/>
    <s v="Female"/>
    <n v="40"/>
    <n v="20"/>
    <x v="0"/>
    <s v="Electronic Check"/>
    <s v="Adult"/>
    <n v="20.7"/>
    <n v="400.53"/>
    <x v="1"/>
    <x v="0"/>
    <n v="1"/>
  </r>
  <r>
    <s v="CUST0095"/>
    <s v="Female"/>
    <n v="32"/>
    <n v="68"/>
    <x v="0"/>
    <s v="Electronic Check"/>
    <s v="Adult"/>
    <n v="20.18"/>
    <n v="1284.31"/>
    <x v="0"/>
    <x v="1"/>
    <n v="0"/>
  </r>
  <r>
    <s v="CUST0096"/>
    <s v="Female"/>
    <n v="54"/>
    <n v="64"/>
    <x v="1"/>
    <s v="Electronic Check"/>
    <s v="Senior"/>
    <n v="69.150000000000006"/>
    <n v="4232.07"/>
    <x v="0"/>
    <x v="1"/>
    <n v="0"/>
  </r>
  <r>
    <s v="CUST0097"/>
    <s v="Female"/>
    <n v="38"/>
    <n v="17"/>
    <x v="2"/>
    <s v="Credit Card"/>
    <s v="Adult"/>
    <n v="38.64"/>
    <n v="651.30999999999995"/>
    <x v="0"/>
    <x v="0"/>
    <n v="0"/>
  </r>
  <r>
    <s v="CUST0098"/>
    <s v="Female"/>
    <n v="31"/>
    <n v="12"/>
    <x v="2"/>
    <s v="Bank Transfer"/>
    <s v="Adult"/>
    <n v="22.39"/>
    <n v="267.36"/>
    <x v="1"/>
    <x v="3"/>
    <n v="1"/>
  </r>
  <r>
    <s v="CUST0099"/>
    <s v="Female"/>
    <n v="19"/>
    <n v="22"/>
    <x v="2"/>
    <s v="Electronic Check"/>
    <s v="Young"/>
    <n v="80.33"/>
    <n v="1867.29"/>
    <x v="0"/>
    <x v="0"/>
    <n v="0"/>
  </r>
  <r>
    <s v="CUST0100"/>
    <s v="Male"/>
    <n v="28"/>
    <n v="17"/>
    <x v="2"/>
    <s v="UPI"/>
    <s v="Young"/>
    <n v="142.6"/>
    <n v="2545.48"/>
    <x v="0"/>
    <x v="0"/>
    <n v="0"/>
  </r>
  <r>
    <s v="CUST0101"/>
    <s v="Male"/>
    <n v="68"/>
    <n v="10"/>
    <x v="0"/>
    <s v="Electronic Check"/>
    <s v="Senior"/>
    <n v="62.1"/>
    <n v="615.64"/>
    <x v="1"/>
    <x v="3"/>
    <n v="1"/>
  </r>
  <r>
    <s v="CUST0102"/>
    <s v="Female"/>
    <n v="56"/>
    <n v="65"/>
    <x v="0"/>
    <s v="Bank Transfer"/>
    <s v="Senior"/>
    <n v="105.95"/>
    <n v="7362.85"/>
    <x v="1"/>
    <x v="1"/>
    <n v="1"/>
  </r>
  <r>
    <s v="CUST0103"/>
    <s v="Female"/>
    <n v="55"/>
    <n v="22"/>
    <x v="0"/>
    <s v="Bank Transfer"/>
    <s v="Senior"/>
    <n v="104.79"/>
    <n v="2127.5100000000002"/>
    <x v="1"/>
    <x v="0"/>
    <n v="1"/>
  </r>
  <r>
    <s v="CUST0104"/>
    <s v="Female"/>
    <n v="51"/>
    <n v="50"/>
    <x v="0"/>
    <s v="Credit Card"/>
    <s v="Senior"/>
    <n v="52.64"/>
    <n v="2503.2199999999998"/>
    <x v="0"/>
    <x v="1"/>
    <n v="0"/>
  </r>
  <r>
    <s v="CUST0105"/>
    <s v="Female"/>
    <n v="55"/>
    <n v="14"/>
    <x v="2"/>
    <s v="Electronic Check"/>
    <s v="Senior"/>
    <n v="104.56"/>
    <n v="1559.86"/>
    <x v="0"/>
    <x v="0"/>
    <n v="0"/>
  </r>
  <r>
    <s v="CUST0106"/>
    <s v="Female"/>
    <n v="67"/>
    <n v="64"/>
    <x v="0"/>
    <s v="Bank Transfer"/>
    <s v="Senior"/>
    <n v="47.6"/>
    <n v="2972.06"/>
    <x v="0"/>
    <x v="1"/>
    <n v="0"/>
  </r>
  <r>
    <s v="CUST0107"/>
    <s v="Female"/>
    <n v="51"/>
    <n v="47"/>
    <x v="0"/>
    <s v="Credit Card"/>
    <s v="Senior"/>
    <n v="35.86"/>
    <n v="1847.62"/>
    <x v="1"/>
    <x v="2"/>
    <n v="1"/>
  </r>
  <r>
    <s v="CUST0108"/>
    <s v="Female"/>
    <n v="35"/>
    <n v="29"/>
    <x v="0"/>
    <s v="UPI"/>
    <s v="Adult"/>
    <n v="111.18"/>
    <n v="3202.46"/>
    <x v="0"/>
    <x v="2"/>
    <n v="0"/>
  </r>
  <r>
    <s v="CUST0109"/>
    <s v="Female"/>
    <n v="47"/>
    <n v="36"/>
    <x v="0"/>
    <s v="Credit Card"/>
    <s v="Adult"/>
    <n v="34.75"/>
    <n v="1324.04"/>
    <x v="1"/>
    <x v="2"/>
    <n v="1"/>
  </r>
  <r>
    <s v="CUST0110"/>
    <s v="Male"/>
    <n v="32"/>
    <n v="52"/>
    <x v="0"/>
    <s v="UPI"/>
    <s v="Adult"/>
    <n v="149.6"/>
    <n v="7627.21"/>
    <x v="0"/>
    <x v="1"/>
    <n v="0"/>
  </r>
  <r>
    <s v="CUST0111"/>
    <s v="Female"/>
    <n v="44"/>
    <n v="7"/>
    <x v="0"/>
    <s v="Electronic Check"/>
    <s v="Adult"/>
    <n v="43.85"/>
    <n v="302.33999999999997"/>
    <x v="1"/>
    <x v="3"/>
    <n v="1"/>
  </r>
  <r>
    <s v="CUST0112"/>
    <s v="Male"/>
    <n v="68"/>
    <n v="29"/>
    <x v="0"/>
    <s v="Bank Transfer"/>
    <s v="Senior"/>
    <n v="97.24"/>
    <n v="2753.91"/>
    <x v="0"/>
    <x v="2"/>
    <n v="0"/>
  </r>
  <r>
    <s v="CUST0113"/>
    <s v="Female"/>
    <n v="51"/>
    <n v="11"/>
    <x v="0"/>
    <s v="Bank Transfer"/>
    <s v="Senior"/>
    <n v="73.48"/>
    <n v="843.69"/>
    <x v="0"/>
    <x v="3"/>
    <n v="0"/>
  </r>
  <r>
    <s v="CUST0114"/>
    <s v="Female"/>
    <n v="69"/>
    <n v="33"/>
    <x v="0"/>
    <s v="Bank Transfer"/>
    <s v="Senior"/>
    <n v="36.43"/>
    <n v="1213.6199999999999"/>
    <x v="0"/>
    <x v="2"/>
    <n v="0"/>
  </r>
  <r>
    <s v="CUST0115"/>
    <s v="Male"/>
    <n v="55"/>
    <n v="6"/>
    <x v="2"/>
    <s v="Electronic Check"/>
    <s v="Senior"/>
    <n v="23.62"/>
    <n v="154.30000000000001"/>
    <x v="0"/>
    <x v="3"/>
    <n v="0"/>
  </r>
  <r>
    <s v="CUST0116"/>
    <s v="Female"/>
    <n v="50"/>
    <n v="32"/>
    <x v="0"/>
    <s v="Bank Transfer"/>
    <s v="Senior"/>
    <n v="100.96"/>
    <n v="3069.76"/>
    <x v="0"/>
    <x v="2"/>
    <n v="0"/>
  </r>
  <r>
    <s v="CUST0117"/>
    <s v="Male"/>
    <n v="41"/>
    <n v="51"/>
    <x v="0"/>
    <s v="Credit Card"/>
    <s v="Adult"/>
    <n v="124.88"/>
    <n v="5860.09"/>
    <x v="0"/>
    <x v="1"/>
    <n v="0"/>
  </r>
  <r>
    <s v="CUST0118"/>
    <s v="Female"/>
    <n v="32"/>
    <n v="58"/>
    <x v="2"/>
    <s v="Bank Transfer"/>
    <s v="Adult"/>
    <n v="129.46"/>
    <n v="7348.39"/>
    <x v="0"/>
    <x v="1"/>
    <n v="0"/>
  </r>
  <r>
    <s v="CUST0119"/>
    <s v="Female"/>
    <n v="47"/>
    <n v="26"/>
    <x v="0"/>
    <s v="Electronic Check"/>
    <s v="Adult"/>
    <n v="82.75"/>
    <n v="2201.7199999999998"/>
    <x v="1"/>
    <x v="2"/>
    <n v="1"/>
  </r>
  <r>
    <s v="CUST0120"/>
    <s v="Male"/>
    <n v="59"/>
    <n v="46"/>
    <x v="1"/>
    <s v="UPI"/>
    <s v="Senior"/>
    <n v="121.07"/>
    <n v="5971.09"/>
    <x v="0"/>
    <x v="2"/>
    <n v="0"/>
  </r>
  <r>
    <s v="CUST0121"/>
    <s v="Female"/>
    <n v="68"/>
    <n v="29"/>
    <x v="0"/>
    <s v="Electronic Check"/>
    <s v="Senior"/>
    <n v="107.47"/>
    <n v="3020.76"/>
    <x v="0"/>
    <x v="2"/>
    <n v="0"/>
  </r>
  <r>
    <s v="CUST0122"/>
    <s v="Male"/>
    <n v="34"/>
    <n v="4"/>
    <x v="0"/>
    <s v="UPI"/>
    <s v="Adult"/>
    <n v="114.15"/>
    <n v="470.64"/>
    <x v="1"/>
    <x v="3"/>
    <n v="1"/>
  </r>
  <r>
    <s v="CUST0123"/>
    <s v="Female"/>
    <n v="22"/>
    <n v="13"/>
    <x v="2"/>
    <s v="UPI"/>
    <s v="Young"/>
    <n v="84.04"/>
    <n v="1059.79"/>
    <x v="0"/>
    <x v="0"/>
    <n v="0"/>
  </r>
  <r>
    <s v="CUST0124"/>
    <s v="Male"/>
    <n v="46"/>
    <n v="39"/>
    <x v="0"/>
    <s v="UPI"/>
    <s v="Adult"/>
    <n v="102.34"/>
    <n v="4084.83"/>
    <x v="1"/>
    <x v="2"/>
    <n v="1"/>
  </r>
  <r>
    <s v="CUST0125"/>
    <s v="Male"/>
    <n v="21"/>
    <n v="15"/>
    <x v="2"/>
    <s v="Credit Card"/>
    <s v="Young"/>
    <n v="124.72"/>
    <n v="2014.78"/>
    <x v="0"/>
    <x v="0"/>
    <n v="0"/>
  </r>
  <r>
    <s v="CUST0126"/>
    <s v="Female"/>
    <n v="27"/>
    <n v="29"/>
    <x v="0"/>
    <s v="Credit Card"/>
    <s v="Young"/>
    <n v="71.72"/>
    <n v="1968.13"/>
    <x v="1"/>
    <x v="2"/>
    <n v="1"/>
  </r>
  <r>
    <s v="CUST0127"/>
    <s v="Female"/>
    <n v="34"/>
    <n v="29"/>
    <x v="1"/>
    <s v="UPI"/>
    <s v="Adult"/>
    <n v="124.78"/>
    <n v="3549.32"/>
    <x v="1"/>
    <x v="2"/>
    <n v="1"/>
  </r>
  <r>
    <s v="CUST0128"/>
    <s v="Male"/>
    <n v="27"/>
    <n v="32"/>
    <x v="0"/>
    <s v="Electronic Check"/>
    <s v="Young"/>
    <n v="96.96"/>
    <n v="3408.81"/>
    <x v="1"/>
    <x v="2"/>
    <n v="1"/>
  </r>
  <r>
    <s v="CUST0129"/>
    <s v="Female"/>
    <n v="34"/>
    <n v="2"/>
    <x v="0"/>
    <s v="Credit Card"/>
    <s v="Adult"/>
    <n v="41.57"/>
    <n v="89.27"/>
    <x v="0"/>
    <x v="3"/>
    <n v="0"/>
  </r>
  <r>
    <s v="CUST0130"/>
    <s v="Female"/>
    <n v="37"/>
    <n v="47"/>
    <x v="2"/>
    <s v="Bank Transfer"/>
    <s v="Adult"/>
    <n v="23.21"/>
    <n v="1104.97"/>
    <x v="0"/>
    <x v="2"/>
    <n v="0"/>
  </r>
  <r>
    <s v="CUST0131"/>
    <s v="Female"/>
    <n v="41"/>
    <n v="22"/>
    <x v="0"/>
    <s v="Bank Transfer"/>
    <s v="Adult"/>
    <n v="67.16"/>
    <n v="1482.43"/>
    <x v="0"/>
    <x v="0"/>
    <n v="0"/>
  </r>
  <r>
    <s v="CUST0132"/>
    <s v="Male"/>
    <n v="22"/>
    <n v="27"/>
    <x v="0"/>
    <s v="Electronic Check"/>
    <s v="Young"/>
    <n v="91.07"/>
    <n v="2352.96"/>
    <x v="1"/>
    <x v="2"/>
    <n v="1"/>
  </r>
  <r>
    <s v="CUST0133"/>
    <s v="Male"/>
    <n v="51"/>
    <n v="67"/>
    <x v="2"/>
    <s v="Bank Transfer"/>
    <s v="Senior"/>
    <n v="129.18"/>
    <n v="8684.85"/>
    <x v="1"/>
    <x v="1"/>
    <n v="1"/>
  </r>
  <r>
    <s v="CUST0134"/>
    <s v="Male"/>
    <n v="23"/>
    <n v="56"/>
    <x v="1"/>
    <s v="UPI"/>
    <s v="Young"/>
    <n v="36.57"/>
    <n v="2190.5300000000002"/>
    <x v="0"/>
    <x v="1"/>
    <n v="0"/>
  </r>
  <r>
    <s v="CUST0135"/>
    <s v="Male"/>
    <n v="70"/>
    <n v="21"/>
    <x v="0"/>
    <s v="Electronic Check"/>
    <s v="Senior"/>
    <n v="124.03"/>
    <n v="2701.09"/>
    <x v="0"/>
    <x v="0"/>
    <n v="0"/>
  </r>
  <r>
    <s v="CUST0136"/>
    <s v="Male"/>
    <n v="19"/>
    <n v="47"/>
    <x v="2"/>
    <s v="UPI"/>
    <s v="Young"/>
    <n v="132.19"/>
    <n v="5952.04"/>
    <x v="0"/>
    <x v="2"/>
    <n v="0"/>
  </r>
  <r>
    <s v="CUST0137"/>
    <s v="Male"/>
    <n v="30"/>
    <n v="59"/>
    <x v="1"/>
    <s v="Electronic Check"/>
    <s v="Adult"/>
    <n v="39.590000000000003"/>
    <n v="2196.35"/>
    <x v="1"/>
    <x v="1"/>
    <n v="1"/>
  </r>
  <r>
    <s v="CUST0138"/>
    <s v="Male"/>
    <n v="60"/>
    <n v="6"/>
    <x v="1"/>
    <s v="Credit Card"/>
    <s v="Senior"/>
    <n v="130.71"/>
    <n v="747.43"/>
    <x v="0"/>
    <x v="3"/>
    <n v="0"/>
  </r>
  <r>
    <s v="CUST0139"/>
    <s v="Male"/>
    <n v="60"/>
    <n v="19"/>
    <x v="0"/>
    <s v="Electronic Check"/>
    <s v="Senior"/>
    <n v="148.88999999999999"/>
    <n v="2642.07"/>
    <x v="0"/>
    <x v="0"/>
    <n v="0"/>
  </r>
  <r>
    <s v="CUST0140"/>
    <s v="Male"/>
    <n v="65"/>
    <n v="57"/>
    <x v="2"/>
    <s v="Electronic Check"/>
    <s v="Senior"/>
    <n v="114.49"/>
    <n v="5998.17"/>
    <x v="1"/>
    <x v="1"/>
    <n v="1"/>
  </r>
  <r>
    <s v="CUST0141"/>
    <s v="Female"/>
    <n v="28"/>
    <n v="69"/>
    <x v="0"/>
    <s v="UPI"/>
    <s v="Young"/>
    <n v="122.02"/>
    <n v="8283.2199999999993"/>
    <x v="1"/>
    <x v="1"/>
    <n v="1"/>
  </r>
  <r>
    <s v="CUST0142"/>
    <s v="Male"/>
    <n v="68"/>
    <n v="3"/>
    <x v="1"/>
    <s v="Credit Card"/>
    <s v="Senior"/>
    <n v="149.27000000000001"/>
    <n v="413.18"/>
    <x v="0"/>
    <x v="3"/>
    <n v="0"/>
  </r>
  <r>
    <s v="CUST0143"/>
    <s v="Female"/>
    <n v="64"/>
    <n v="1"/>
    <x v="0"/>
    <s v="Credit Card"/>
    <s v="Senior"/>
    <n v="98.71"/>
    <n v="92.23"/>
    <x v="0"/>
    <x v="3"/>
    <n v="0"/>
  </r>
  <r>
    <s v="CUST0144"/>
    <s v="Female"/>
    <n v="40"/>
    <n v="58"/>
    <x v="0"/>
    <s v="Electronic Check"/>
    <s v="Adult"/>
    <n v="60.03"/>
    <n v="3514.69"/>
    <x v="0"/>
    <x v="1"/>
    <n v="0"/>
  </r>
  <r>
    <s v="CUST0145"/>
    <s v="Female"/>
    <n v="33"/>
    <n v="38"/>
    <x v="2"/>
    <s v="Credit Card"/>
    <s v="Adult"/>
    <n v="128.88"/>
    <n v="4568.92"/>
    <x v="0"/>
    <x v="2"/>
    <n v="0"/>
  </r>
  <r>
    <s v="CUST0146"/>
    <s v="Male"/>
    <n v="48"/>
    <n v="15"/>
    <x v="0"/>
    <s v="Credit Card"/>
    <s v="Adult"/>
    <n v="99.88"/>
    <n v="1367.52"/>
    <x v="0"/>
    <x v="0"/>
    <n v="0"/>
  </r>
  <r>
    <s v="CUST0147"/>
    <s v="Male"/>
    <n v="28"/>
    <n v="34"/>
    <x v="1"/>
    <s v="Credit Card"/>
    <s v="Young"/>
    <n v="95.56"/>
    <n v="3130.38"/>
    <x v="0"/>
    <x v="2"/>
    <n v="0"/>
  </r>
  <r>
    <s v="CUST0148"/>
    <s v="Male"/>
    <n v="33"/>
    <n v="61"/>
    <x v="1"/>
    <s v="Electronic Check"/>
    <s v="Adult"/>
    <n v="52.97"/>
    <n v="3050.43"/>
    <x v="0"/>
    <x v="1"/>
    <n v="0"/>
  </r>
  <r>
    <s v="CUST0149"/>
    <s v="Male"/>
    <n v="25"/>
    <n v="35"/>
    <x v="2"/>
    <s v="UPI"/>
    <s v="Young"/>
    <n v="118.32"/>
    <n v="4153.88"/>
    <x v="0"/>
    <x v="2"/>
    <n v="0"/>
  </r>
  <r>
    <s v="CUST0150"/>
    <s v="Female"/>
    <n v="21"/>
    <n v="64"/>
    <x v="0"/>
    <s v="Credit Card"/>
    <s v="Young"/>
    <n v="30.62"/>
    <n v="1803.83"/>
    <x v="1"/>
    <x v="1"/>
    <n v="1"/>
  </r>
  <r>
    <s v="CUST0151"/>
    <s v="Male"/>
    <n v="57"/>
    <n v="25"/>
    <x v="2"/>
    <s v="Credit Card"/>
    <s v="Senior"/>
    <n v="140.16"/>
    <n v="3680.44"/>
    <x v="0"/>
    <x v="2"/>
    <n v="0"/>
  </r>
  <r>
    <s v="CUST0152"/>
    <s v="Male"/>
    <n v="21"/>
    <n v="24"/>
    <x v="0"/>
    <s v="Electronic Check"/>
    <s v="Young"/>
    <n v="62.36"/>
    <n v="1618.24"/>
    <x v="1"/>
    <x v="0"/>
    <n v="1"/>
  </r>
  <r>
    <s v="CUST0153"/>
    <s v="Male"/>
    <n v="42"/>
    <n v="12"/>
    <x v="0"/>
    <s v="Bank Transfer"/>
    <s v="Adult"/>
    <n v="36.61"/>
    <n v="460.71"/>
    <x v="1"/>
    <x v="3"/>
    <n v="1"/>
  </r>
  <r>
    <s v="CUST0154"/>
    <s v="Male"/>
    <n v="20"/>
    <n v="18"/>
    <x v="1"/>
    <s v="Credit Card"/>
    <s v="Young"/>
    <n v="77.510000000000005"/>
    <n v="1404.34"/>
    <x v="0"/>
    <x v="0"/>
    <n v="0"/>
  </r>
  <r>
    <s v="CUST0155"/>
    <s v="Male"/>
    <n v="49"/>
    <n v="15"/>
    <x v="0"/>
    <s v="Credit Card"/>
    <s v="Adult"/>
    <n v="25.52"/>
    <n v="410.41"/>
    <x v="0"/>
    <x v="0"/>
    <n v="0"/>
  </r>
  <r>
    <s v="CUST0156"/>
    <s v="Female"/>
    <n v="20"/>
    <n v="27"/>
    <x v="0"/>
    <s v="Electronic Check"/>
    <s v="Young"/>
    <n v="109"/>
    <n v="3057.73"/>
    <x v="0"/>
    <x v="2"/>
    <n v="0"/>
  </r>
  <r>
    <s v="CUST0157"/>
    <s v="Male"/>
    <n v="44"/>
    <n v="72"/>
    <x v="1"/>
    <s v="UPI"/>
    <s v="Adult"/>
    <n v="137.35"/>
    <n v="8921.15"/>
    <x v="1"/>
    <x v="1"/>
    <n v="1"/>
  </r>
  <r>
    <s v="CUST0158"/>
    <s v="Female"/>
    <n v="46"/>
    <n v="60"/>
    <x v="0"/>
    <s v="Electronic Check"/>
    <s v="Adult"/>
    <n v="128.84"/>
    <n v="7566.65"/>
    <x v="0"/>
    <x v="1"/>
    <n v="0"/>
  </r>
  <r>
    <s v="CUST0159"/>
    <s v="Male"/>
    <n v="49"/>
    <n v="46"/>
    <x v="0"/>
    <s v="Bank Transfer"/>
    <s v="Adult"/>
    <n v="36.56"/>
    <n v="1799.8"/>
    <x v="0"/>
    <x v="2"/>
    <n v="0"/>
  </r>
  <r>
    <s v="CUST0160"/>
    <s v="Female"/>
    <n v="67"/>
    <n v="17"/>
    <x v="1"/>
    <s v="Credit Card"/>
    <s v="Senior"/>
    <n v="36.42"/>
    <n v="600.04999999999995"/>
    <x v="0"/>
    <x v="0"/>
    <n v="0"/>
  </r>
  <r>
    <s v="CUST0161"/>
    <s v="Male"/>
    <n v="68"/>
    <n v="53"/>
    <x v="0"/>
    <s v="Electronic Check"/>
    <s v="Senior"/>
    <n v="125.75"/>
    <n v="6045.22"/>
    <x v="0"/>
    <x v="1"/>
    <n v="0"/>
  </r>
  <r>
    <s v="CUST0162"/>
    <s v="Male"/>
    <n v="36"/>
    <n v="8"/>
    <x v="2"/>
    <s v="Bank Transfer"/>
    <s v="Adult"/>
    <n v="140.15"/>
    <n v="1176.4000000000001"/>
    <x v="0"/>
    <x v="3"/>
    <n v="0"/>
  </r>
  <r>
    <s v="CUST0163"/>
    <s v="Female"/>
    <n v="38"/>
    <n v="27"/>
    <x v="1"/>
    <s v="Electronic Check"/>
    <s v="Adult"/>
    <n v="79.89"/>
    <n v="2287.33"/>
    <x v="1"/>
    <x v="2"/>
    <n v="1"/>
  </r>
  <r>
    <s v="CUST0164"/>
    <s v="Female"/>
    <n v="22"/>
    <n v="46"/>
    <x v="1"/>
    <s v="UPI"/>
    <s v="Young"/>
    <n v="84.87"/>
    <n v="3639.01"/>
    <x v="0"/>
    <x v="2"/>
    <n v="0"/>
  </r>
  <r>
    <s v="CUST0165"/>
    <s v="Female"/>
    <n v="35"/>
    <n v="50"/>
    <x v="2"/>
    <s v="UPI"/>
    <s v="Adult"/>
    <n v="61.37"/>
    <n v="3091.42"/>
    <x v="1"/>
    <x v="1"/>
    <n v="1"/>
  </r>
  <r>
    <s v="CUST0166"/>
    <s v="Male"/>
    <n v="45"/>
    <n v="71"/>
    <x v="0"/>
    <s v="UPI"/>
    <s v="Adult"/>
    <n v="136.25"/>
    <n v="9077.76"/>
    <x v="1"/>
    <x v="1"/>
    <n v="1"/>
  </r>
  <r>
    <s v="CUST0167"/>
    <s v="Female"/>
    <n v="59"/>
    <n v="3"/>
    <x v="0"/>
    <s v="Electronic Check"/>
    <s v="Senior"/>
    <n v="103.84"/>
    <n v="325.18"/>
    <x v="1"/>
    <x v="3"/>
    <n v="1"/>
  </r>
  <r>
    <s v="CUST0168"/>
    <s v="Male"/>
    <n v="39"/>
    <n v="64"/>
    <x v="1"/>
    <s v="Bank Transfer"/>
    <s v="Adult"/>
    <n v="57.47"/>
    <n v="3510.03"/>
    <x v="0"/>
    <x v="1"/>
    <n v="0"/>
  </r>
  <r>
    <s v="CUST0169"/>
    <s v="Male"/>
    <n v="38"/>
    <n v="44"/>
    <x v="1"/>
    <s v="Credit Card"/>
    <s v="Adult"/>
    <n v="58.84"/>
    <n v="2493.8000000000002"/>
    <x v="0"/>
    <x v="2"/>
    <n v="0"/>
  </r>
  <r>
    <s v="CUST0170"/>
    <s v="Female"/>
    <n v="23"/>
    <n v="53"/>
    <x v="0"/>
    <s v="UPI"/>
    <s v="Young"/>
    <n v="135.86000000000001"/>
    <n v="7697.38"/>
    <x v="0"/>
    <x v="1"/>
    <n v="0"/>
  </r>
  <r>
    <s v="CUST0171"/>
    <s v="Female"/>
    <n v="18"/>
    <n v="24"/>
    <x v="0"/>
    <s v="Bank Transfer"/>
    <s v="Young"/>
    <n v="21.77"/>
    <n v="520.01"/>
    <x v="1"/>
    <x v="0"/>
    <n v="1"/>
  </r>
  <r>
    <s v="CUST0172"/>
    <s v="Male"/>
    <n v="22"/>
    <n v="60"/>
    <x v="0"/>
    <s v="UPI"/>
    <s v="Young"/>
    <n v="61.95"/>
    <n v="3843.2"/>
    <x v="0"/>
    <x v="1"/>
    <n v="0"/>
  </r>
  <r>
    <s v="CUST0173"/>
    <s v="Male"/>
    <n v="58"/>
    <n v="3"/>
    <x v="0"/>
    <s v="Credit Card"/>
    <s v="Senior"/>
    <n v="92.07"/>
    <n v="270.82"/>
    <x v="0"/>
    <x v="3"/>
    <n v="0"/>
  </r>
  <r>
    <s v="CUST0174"/>
    <s v="Female"/>
    <n v="29"/>
    <n v="20"/>
    <x v="2"/>
    <s v="Credit Card"/>
    <s v="Young"/>
    <n v="39.270000000000003"/>
    <n v="753.67"/>
    <x v="0"/>
    <x v="0"/>
    <n v="0"/>
  </r>
  <r>
    <s v="CUST0175"/>
    <s v="Female"/>
    <n v="43"/>
    <n v="46"/>
    <x v="0"/>
    <s v="Electronic Check"/>
    <s v="Adult"/>
    <n v="31.97"/>
    <n v="1507.53"/>
    <x v="1"/>
    <x v="2"/>
    <n v="1"/>
  </r>
  <r>
    <s v="CUST0176"/>
    <s v="Female"/>
    <n v="63"/>
    <n v="15"/>
    <x v="1"/>
    <s v="Bank Transfer"/>
    <s v="Senior"/>
    <n v="125.99"/>
    <n v="1759.4"/>
    <x v="0"/>
    <x v="0"/>
    <n v="0"/>
  </r>
  <r>
    <s v="CUST0177"/>
    <s v="Male"/>
    <n v="51"/>
    <n v="25"/>
    <x v="2"/>
    <s v="Credit Card"/>
    <s v="Senior"/>
    <n v="136.27000000000001"/>
    <n v="3320.22"/>
    <x v="0"/>
    <x v="2"/>
    <n v="0"/>
  </r>
  <r>
    <s v="CUST0178"/>
    <s v="Male"/>
    <n v="66"/>
    <n v="71"/>
    <x v="0"/>
    <s v="Credit Card"/>
    <s v="Senior"/>
    <n v="127.07"/>
    <n v="8496.9599999999991"/>
    <x v="0"/>
    <x v="1"/>
    <n v="0"/>
  </r>
  <r>
    <s v="CUST0179"/>
    <s v="Male"/>
    <n v="31"/>
    <n v="17"/>
    <x v="2"/>
    <s v="Bank Transfer"/>
    <s v="Adult"/>
    <n v="136.84"/>
    <n v="2417.37"/>
    <x v="0"/>
    <x v="0"/>
    <n v="0"/>
  </r>
  <r>
    <s v="CUST0180"/>
    <s v="Male"/>
    <n v="43"/>
    <n v="9"/>
    <x v="0"/>
    <s v="Credit Card"/>
    <s v="Adult"/>
    <n v="91.9"/>
    <n v="900.58"/>
    <x v="0"/>
    <x v="3"/>
    <n v="0"/>
  </r>
  <r>
    <s v="CUST0181"/>
    <s v="Male"/>
    <n v="62"/>
    <n v="38"/>
    <x v="2"/>
    <s v="Electronic Check"/>
    <s v="Senior"/>
    <n v="125.59"/>
    <n v="5245.38"/>
    <x v="1"/>
    <x v="2"/>
    <n v="1"/>
  </r>
  <r>
    <s v="CUST0182"/>
    <s v="Male"/>
    <n v="44"/>
    <n v="48"/>
    <x v="2"/>
    <s v="Credit Card"/>
    <s v="Adult"/>
    <n v="69.930000000000007"/>
    <n v="3323.26"/>
    <x v="0"/>
    <x v="2"/>
    <n v="0"/>
  </r>
  <r>
    <s v="CUST0183"/>
    <s v="Female"/>
    <n v="26"/>
    <n v="60"/>
    <x v="1"/>
    <s v="Credit Card"/>
    <s v="Young"/>
    <n v="106.61"/>
    <n v="6080.01"/>
    <x v="0"/>
    <x v="1"/>
    <n v="0"/>
  </r>
  <r>
    <s v="CUST0184"/>
    <s v="Male"/>
    <n v="43"/>
    <n v="63"/>
    <x v="1"/>
    <s v="Credit Card"/>
    <s v="Adult"/>
    <n v="148.55000000000001"/>
    <n v="9251.64"/>
    <x v="1"/>
    <x v="1"/>
    <n v="1"/>
  </r>
  <r>
    <s v="CUST0185"/>
    <s v="Male"/>
    <n v="64"/>
    <n v="2"/>
    <x v="0"/>
    <s v="Electronic Check"/>
    <s v="Senior"/>
    <n v="49.34"/>
    <n v="105.53"/>
    <x v="1"/>
    <x v="3"/>
    <n v="1"/>
  </r>
  <r>
    <s v="CUST0186"/>
    <s v="Male"/>
    <n v="39"/>
    <n v="72"/>
    <x v="0"/>
    <s v="Electronic Check"/>
    <s v="Adult"/>
    <n v="70.69"/>
    <n v="4790.41"/>
    <x v="1"/>
    <x v="1"/>
    <n v="1"/>
  </r>
  <r>
    <s v="CUST0187"/>
    <s v="Female"/>
    <n v="64"/>
    <n v="11"/>
    <x v="2"/>
    <s v="Electronic Check"/>
    <s v="Senior"/>
    <n v="82.41"/>
    <n v="988.48"/>
    <x v="0"/>
    <x v="3"/>
    <n v="0"/>
  </r>
  <r>
    <s v="CUST0188"/>
    <s v="Male"/>
    <n v="47"/>
    <n v="64"/>
    <x v="0"/>
    <s v="Bank Transfer"/>
    <s v="Adult"/>
    <n v="37.94"/>
    <n v="2351.36"/>
    <x v="0"/>
    <x v="1"/>
    <n v="0"/>
  </r>
  <r>
    <s v="CUST0189"/>
    <s v="Male"/>
    <n v="60"/>
    <n v="72"/>
    <x v="0"/>
    <s v="Electronic Check"/>
    <s v="Senior"/>
    <n v="30.54"/>
    <n v="2412.52"/>
    <x v="1"/>
    <x v="1"/>
    <n v="1"/>
  </r>
  <r>
    <s v="CUST0190"/>
    <s v="Female"/>
    <n v="65"/>
    <n v="21"/>
    <x v="0"/>
    <s v="Credit Card"/>
    <s v="Senior"/>
    <n v="127.86"/>
    <n v="2866.9"/>
    <x v="0"/>
    <x v="0"/>
    <n v="0"/>
  </r>
  <r>
    <s v="CUST0191"/>
    <s v="Male"/>
    <n v="34"/>
    <n v="18"/>
    <x v="2"/>
    <s v="UPI"/>
    <s v="Adult"/>
    <n v="146.97999999999999"/>
    <n v="2808.91"/>
    <x v="0"/>
    <x v="0"/>
    <n v="0"/>
  </r>
  <r>
    <s v="CUST0192"/>
    <s v="Male"/>
    <n v="43"/>
    <n v="64"/>
    <x v="0"/>
    <s v="Electronic Check"/>
    <s v="Adult"/>
    <n v="72.61"/>
    <n v="4477.8"/>
    <x v="0"/>
    <x v="1"/>
    <n v="0"/>
  </r>
  <r>
    <s v="CUST0193"/>
    <s v="Male"/>
    <n v="53"/>
    <n v="38"/>
    <x v="2"/>
    <s v="Credit Card"/>
    <s v="Senior"/>
    <n v="31.39"/>
    <n v="1075.6300000000001"/>
    <x v="0"/>
    <x v="2"/>
    <n v="0"/>
  </r>
  <r>
    <s v="CUST0194"/>
    <s v="Male"/>
    <n v="18"/>
    <n v="32"/>
    <x v="1"/>
    <s v="Bank Transfer"/>
    <s v="Young"/>
    <n v="28.56"/>
    <n v="892.38"/>
    <x v="0"/>
    <x v="2"/>
    <n v="0"/>
  </r>
  <r>
    <s v="CUST0195"/>
    <s v="Male"/>
    <n v="25"/>
    <n v="11"/>
    <x v="0"/>
    <s v="UPI"/>
    <s v="Young"/>
    <n v="135.87"/>
    <n v="1435.33"/>
    <x v="1"/>
    <x v="3"/>
    <n v="1"/>
  </r>
  <r>
    <s v="CUST0196"/>
    <s v="Female"/>
    <n v="66"/>
    <n v="45"/>
    <x v="0"/>
    <s v="Bank Transfer"/>
    <s v="Senior"/>
    <n v="80.3"/>
    <n v="3279.18"/>
    <x v="0"/>
    <x v="2"/>
    <n v="0"/>
  </r>
  <r>
    <s v="CUST0197"/>
    <s v="Female"/>
    <n v="52"/>
    <n v="33"/>
    <x v="0"/>
    <s v="Bank Transfer"/>
    <s v="Senior"/>
    <n v="61.6"/>
    <n v="2034.98"/>
    <x v="0"/>
    <x v="2"/>
    <n v="0"/>
  </r>
  <r>
    <s v="CUST0198"/>
    <s v="Female"/>
    <n v="69"/>
    <n v="41"/>
    <x v="1"/>
    <s v="UPI"/>
    <s v="Senior"/>
    <n v="81.94"/>
    <n v="3294.39"/>
    <x v="0"/>
    <x v="2"/>
    <n v="0"/>
  </r>
  <r>
    <s v="CUST0199"/>
    <s v="Male"/>
    <n v="32"/>
    <n v="8"/>
    <x v="0"/>
    <s v="Credit Card"/>
    <s v="Adult"/>
    <n v="61.38"/>
    <n v="504.25"/>
    <x v="0"/>
    <x v="3"/>
    <n v="0"/>
  </r>
  <r>
    <s v="CUST0200"/>
    <s v="Male"/>
    <n v="64"/>
    <n v="11"/>
    <x v="0"/>
    <s v="UPI"/>
    <s v="Senior"/>
    <n v="83.57"/>
    <n v="941.55"/>
    <x v="0"/>
    <x v="3"/>
    <n v="0"/>
  </r>
  <r>
    <s v="CUST0201"/>
    <s v="Male"/>
    <n v="39"/>
    <n v="51"/>
    <x v="0"/>
    <s v="Electronic Check"/>
    <s v="Adult"/>
    <n v="131.74"/>
    <n v="6209.12"/>
    <x v="0"/>
    <x v="1"/>
    <n v="0"/>
  </r>
  <r>
    <s v="CUST0202"/>
    <s v="Female"/>
    <n v="31"/>
    <n v="41"/>
    <x v="2"/>
    <s v="UPI"/>
    <s v="Adult"/>
    <n v="97"/>
    <n v="4356.38"/>
    <x v="0"/>
    <x v="2"/>
    <n v="0"/>
  </r>
  <r>
    <s v="CUST0203"/>
    <s v="Male"/>
    <n v="43"/>
    <n v="17"/>
    <x v="0"/>
    <s v="Credit Card"/>
    <s v="Adult"/>
    <n v="110.3"/>
    <n v="1757.69"/>
    <x v="0"/>
    <x v="0"/>
    <n v="0"/>
  </r>
  <r>
    <s v="CUST0204"/>
    <s v="Male"/>
    <n v="45"/>
    <n v="46"/>
    <x v="2"/>
    <s v="Credit Card"/>
    <s v="Adult"/>
    <n v="67.41"/>
    <n v="3066.92"/>
    <x v="0"/>
    <x v="2"/>
    <n v="0"/>
  </r>
  <r>
    <s v="CUST0205"/>
    <s v="Female"/>
    <n v="40"/>
    <n v="32"/>
    <x v="1"/>
    <s v="Electronic Check"/>
    <s v="Adult"/>
    <n v="116.01"/>
    <n v="3703.5"/>
    <x v="1"/>
    <x v="2"/>
    <n v="1"/>
  </r>
  <r>
    <s v="CUST0206"/>
    <s v="Male"/>
    <n v="31"/>
    <n v="54"/>
    <x v="0"/>
    <s v="Bank Transfer"/>
    <s v="Adult"/>
    <n v="106.66"/>
    <n v="6120.27"/>
    <x v="0"/>
    <x v="1"/>
    <n v="0"/>
  </r>
  <r>
    <s v="CUST0207"/>
    <s v="Female"/>
    <n v="41"/>
    <n v="20"/>
    <x v="1"/>
    <s v="Electronic Check"/>
    <s v="Adult"/>
    <n v="35.54"/>
    <n v="653.83000000000004"/>
    <x v="1"/>
    <x v="0"/>
    <n v="1"/>
  </r>
  <r>
    <s v="CUST0208"/>
    <s v="Female"/>
    <n v="19"/>
    <n v="33"/>
    <x v="0"/>
    <s v="UPI"/>
    <s v="Young"/>
    <n v="94.44"/>
    <n v="3072.04"/>
    <x v="0"/>
    <x v="2"/>
    <n v="0"/>
  </r>
  <r>
    <s v="CUST0209"/>
    <s v="Female"/>
    <n v="62"/>
    <n v="40"/>
    <x v="1"/>
    <s v="UPI"/>
    <s v="Senior"/>
    <n v="53.38"/>
    <n v="2190.08"/>
    <x v="1"/>
    <x v="2"/>
    <n v="1"/>
  </r>
  <r>
    <s v="CUST0210"/>
    <s v="Male"/>
    <n v="43"/>
    <n v="32"/>
    <x v="2"/>
    <s v="Electronic Check"/>
    <s v="Adult"/>
    <n v="124.53"/>
    <n v="3757.94"/>
    <x v="1"/>
    <x v="2"/>
    <n v="1"/>
  </r>
  <r>
    <s v="CUST0211"/>
    <s v="Male"/>
    <n v="31"/>
    <n v="2"/>
    <x v="1"/>
    <s v="UPI"/>
    <s v="Adult"/>
    <n v="75.37"/>
    <n v="154.58000000000001"/>
    <x v="1"/>
    <x v="3"/>
    <n v="1"/>
  </r>
  <r>
    <s v="CUST0212"/>
    <s v="Male"/>
    <n v="68"/>
    <n v="33"/>
    <x v="0"/>
    <s v="Bank Transfer"/>
    <s v="Senior"/>
    <n v="149.31"/>
    <n v="5344.73"/>
    <x v="0"/>
    <x v="2"/>
    <n v="0"/>
  </r>
  <r>
    <s v="CUST0213"/>
    <s v="Male"/>
    <n v="24"/>
    <n v="30"/>
    <x v="0"/>
    <s v="Bank Transfer"/>
    <s v="Young"/>
    <n v="32.03"/>
    <n v="1056.51"/>
    <x v="1"/>
    <x v="2"/>
    <n v="1"/>
  </r>
  <r>
    <s v="CUST0214"/>
    <s v="Male"/>
    <n v="20"/>
    <n v="33"/>
    <x v="0"/>
    <s v="Credit Card"/>
    <s v="Young"/>
    <n v="121.45"/>
    <n v="3633.08"/>
    <x v="0"/>
    <x v="2"/>
    <n v="0"/>
  </r>
  <r>
    <s v="CUST0215"/>
    <s v="Male"/>
    <n v="64"/>
    <n v="26"/>
    <x v="0"/>
    <s v="Electronic Check"/>
    <s v="Senior"/>
    <n v="107.58"/>
    <n v="2649.16"/>
    <x v="1"/>
    <x v="2"/>
    <n v="1"/>
  </r>
  <r>
    <s v="CUST0216"/>
    <s v="Male"/>
    <n v="40"/>
    <n v="22"/>
    <x v="0"/>
    <s v="Electronic Check"/>
    <s v="Adult"/>
    <n v="119.77"/>
    <n v="2534.9699999999998"/>
    <x v="0"/>
    <x v="0"/>
    <n v="0"/>
  </r>
  <r>
    <s v="CUST0217"/>
    <s v="Female"/>
    <n v="63"/>
    <n v="66"/>
    <x v="0"/>
    <s v="Electronic Check"/>
    <s v="Senior"/>
    <n v="59.98"/>
    <n v="3878.81"/>
    <x v="1"/>
    <x v="1"/>
    <n v="1"/>
  </r>
  <r>
    <s v="CUST0218"/>
    <s v="Male"/>
    <n v="60"/>
    <n v="38"/>
    <x v="0"/>
    <s v="UPI"/>
    <s v="Senior"/>
    <n v="83.97"/>
    <n v="3026.38"/>
    <x v="0"/>
    <x v="2"/>
    <n v="0"/>
  </r>
  <r>
    <s v="CUST0219"/>
    <s v="Female"/>
    <n v="64"/>
    <n v="46"/>
    <x v="0"/>
    <s v="Electronic Check"/>
    <s v="Senior"/>
    <n v="123.55"/>
    <n v="5346.27"/>
    <x v="0"/>
    <x v="2"/>
    <n v="0"/>
  </r>
  <r>
    <s v="CUST0220"/>
    <s v="Male"/>
    <n v="62"/>
    <n v="15"/>
    <x v="1"/>
    <s v="UPI"/>
    <s v="Senior"/>
    <n v="50.23"/>
    <n v="821.95"/>
    <x v="1"/>
    <x v="0"/>
    <n v="1"/>
  </r>
  <r>
    <s v="CUST0221"/>
    <s v="Male"/>
    <n v="35"/>
    <n v="44"/>
    <x v="0"/>
    <s v="Electronic Check"/>
    <s v="Adult"/>
    <n v="49.38"/>
    <n v="2354.59"/>
    <x v="0"/>
    <x v="2"/>
    <n v="0"/>
  </r>
  <r>
    <s v="CUST0222"/>
    <s v="Male"/>
    <n v="55"/>
    <n v="49"/>
    <x v="0"/>
    <s v="Credit Card"/>
    <s v="Senior"/>
    <n v="91.64"/>
    <n v="4083.53"/>
    <x v="0"/>
    <x v="1"/>
    <n v="0"/>
  </r>
  <r>
    <s v="CUST0223"/>
    <s v="Female"/>
    <n v="52"/>
    <n v="61"/>
    <x v="0"/>
    <s v="Bank Transfer"/>
    <s v="Senior"/>
    <n v="88.06"/>
    <n v="5198.49"/>
    <x v="1"/>
    <x v="1"/>
    <n v="1"/>
  </r>
  <r>
    <s v="CUST0224"/>
    <s v="Female"/>
    <n v="68"/>
    <n v="67"/>
    <x v="0"/>
    <s v="UPI"/>
    <s v="Senior"/>
    <n v="56.69"/>
    <n v="3726.18"/>
    <x v="0"/>
    <x v="1"/>
    <n v="0"/>
  </r>
  <r>
    <s v="CUST0225"/>
    <s v="Female"/>
    <n v="32"/>
    <n v="6"/>
    <x v="1"/>
    <s v="Electronic Check"/>
    <s v="Adult"/>
    <n v="58.75"/>
    <n v="334.1"/>
    <x v="0"/>
    <x v="3"/>
    <n v="0"/>
  </r>
  <r>
    <s v="CUST0226"/>
    <s v="Female"/>
    <n v="42"/>
    <n v="9"/>
    <x v="0"/>
    <s v="Credit Card"/>
    <s v="Adult"/>
    <n v="56.12"/>
    <n v="518.1"/>
    <x v="0"/>
    <x v="3"/>
    <n v="0"/>
  </r>
  <r>
    <s v="CUST0227"/>
    <s v="Male"/>
    <n v="54"/>
    <n v="6"/>
    <x v="2"/>
    <s v="Credit Card"/>
    <s v="Senior"/>
    <n v="120.3"/>
    <n v="742.07"/>
    <x v="1"/>
    <x v="3"/>
    <n v="1"/>
  </r>
  <r>
    <s v="CUST0228"/>
    <s v="Female"/>
    <n v="45"/>
    <n v="32"/>
    <x v="1"/>
    <s v="Electronic Check"/>
    <s v="Adult"/>
    <n v="104.75"/>
    <n v="3586.98"/>
    <x v="0"/>
    <x v="2"/>
    <n v="0"/>
  </r>
  <r>
    <s v="CUST0229"/>
    <s v="Male"/>
    <n v="27"/>
    <n v="41"/>
    <x v="1"/>
    <s v="Electronic Check"/>
    <s v="Young"/>
    <n v="128.21"/>
    <n v="5509.84"/>
    <x v="0"/>
    <x v="2"/>
    <n v="0"/>
  </r>
  <r>
    <s v="CUST0230"/>
    <s v="Male"/>
    <n v="56"/>
    <n v="8"/>
    <x v="2"/>
    <s v="Credit Card"/>
    <s v="Senior"/>
    <n v="146.81"/>
    <n v="1184.48"/>
    <x v="0"/>
    <x v="3"/>
    <n v="0"/>
  </r>
  <r>
    <s v="CUST0231"/>
    <s v="Female"/>
    <n v="34"/>
    <n v="72"/>
    <x v="1"/>
    <s v="Credit Card"/>
    <s v="Adult"/>
    <n v="81.64"/>
    <n v="6058.64"/>
    <x v="0"/>
    <x v="1"/>
    <n v="0"/>
  </r>
  <r>
    <s v="CUST0232"/>
    <s v="Female"/>
    <n v="56"/>
    <n v="50"/>
    <x v="1"/>
    <s v="Bank Transfer"/>
    <s v="Senior"/>
    <n v="28.67"/>
    <n v="1368.7"/>
    <x v="0"/>
    <x v="1"/>
    <n v="0"/>
  </r>
  <r>
    <s v="CUST0233"/>
    <s v="Female"/>
    <n v="39"/>
    <n v="62"/>
    <x v="2"/>
    <s v="Credit Card"/>
    <s v="Adult"/>
    <n v="26.25"/>
    <n v="1657.79"/>
    <x v="0"/>
    <x v="1"/>
    <n v="0"/>
  </r>
  <r>
    <s v="CUST0234"/>
    <s v="Female"/>
    <n v="43"/>
    <n v="62"/>
    <x v="2"/>
    <s v="Credit Card"/>
    <s v="Adult"/>
    <n v="58.44"/>
    <n v="3615.47"/>
    <x v="0"/>
    <x v="1"/>
    <n v="0"/>
  </r>
  <r>
    <s v="CUST0235"/>
    <s v="Female"/>
    <n v="61"/>
    <n v="7"/>
    <x v="2"/>
    <s v="Credit Card"/>
    <s v="Senior"/>
    <n v="141.22999999999999"/>
    <n v="916.11"/>
    <x v="1"/>
    <x v="3"/>
    <n v="1"/>
  </r>
  <r>
    <s v="CUST0236"/>
    <s v="Female"/>
    <n v="42"/>
    <n v="4"/>
    <x v="0"/>
    <s v="Bank Transfer"/>
    <s v="Adult"/>
    <n v="88.02"/>
    <n v="333.95"/>
    <x v="0"/>
    <x v="3"/>
    <n v="0"/>
  </r>
  <r>
    <s v="CUST0237"/>
    <s v="Female"/>
    <n v="34"/>
    <n v="6"/>
    <x v="2"/>
    <s v="UPI"/>
    <s v="Adult"/>
    <n v="55.33"/>
    <n v="318.14999999999998"/>
    <x v="0"/>
    <x v="3"/>
    <n v="0"/>
  </r>
  <r>
    <s v="CUST0238"/>
    <s v="Female"/>
    <n v="30"/>
    <n v="58"/>
    <x v="0"/>
    <s v="Credit Card"/>
    <s v="Adult"/>
    <n v="71.89"/>
    <n v="4523.46"/>
    <x v="1"/>
    <x v="1"/>
    <n v="1"/>
  </r>
  <r>
    <s v="CUST0239"/>
    <s v="Male"/>
    <n v="37"/>
    <n v="22"/>
    <x v="0"/>
    <s v="Bank Transfer"/>
    <s v="Adult"/>
    <n v="97.82"/>
    <n v="2036"/>
    <x v="0"/>
    <x v="0"/>
    <n v="0"/>
  </r>
  <r>
    <s v="CUST0240"/>
    <s v="Female"/>
    <n v="42"/>
    <n v="26"/>
    <x v="0"/>
    <s v="Electronic Check"/>
    <s v="Adult"/>
    <n v="104.88"/>
    <n v="2611.94"/>
    <x v="1"/>
    <x v="2"/>
    <n v="1"/>
  </r>
  <r>
    <s v="CUST0241"/>
    <s v="Female"/>
    <n v="21"/>
    <n v="3"/>
    <x v="0"/>
    <s v="Credit Card"/>
    <s v="Young"/>
    <n v="40.01"/>
    <n v="116.89"/>
    <x v="1"/>
    <x v="3"/>
    <n v="1"/>
  </r>
  <r>
    <s v="CUST0242"/>
    <s v="Male"/>
    <n v="27"/>
    <n v="41"/>
    <x v="0"/>
    <s v="Electronic Check"/>
    <s v="Young"/>
    <n v="147.01"/>
    <n v="6224.8"/>
    <x v="0"/>
    <x v="2"/>
    <n v="0"/>
  </r>
  <r>
    <s v="CUST0243"/>
    <s v="Female"/>
    <n v="20"/>
    <n v="60"/>
    <x v="0"/>
    <s v="Credit Card"/>
    <s v="Young"/>
    <n v="90.82"/>
    <n v="5033.1400000000003"/>
    <x v="0"/>
    <x v="1"/>
    <n v="0"/>
  </r>
  <r>
    <s v="CUST0244"/>
    <s v="Male"/>
    <n v="58"/>
    <n v="14"/>
    <x v="2"/>
    <s v="Bank Transfer"/>
    <s v="Senior"/>
    <n v="37.64"/>
    <n v="574.79999999999995"/>
    <x v="1"/>
    <x v="0"/>
    <n v="1"/>
  </r>
  <r>
    <s v="CUST0245"/>
    <s v="Male"/>
    <n v="62"/>
    <n v="12"/>
    <x v="0"/>
    <s v="UPI"/>
    <s v="Senior"/>
    <n v="136.16999999999999"/>
    <n v="1753.51"/>
    <x v="1"/>
    <x v="3"/>
    <n v="1"/>
  </r>
  <r>
    <s v="CUST0246"/>
    <s v="Female"/>
    <n v="35"/>
    <n v="12"/>
    <x v="1"/>
    <s v="Electronic Check"/>
    <s v="Adult"/>
    <n v="29.7"/>
    <n v="361.9"/>
    <x v="0"/>
    <x v="3"/>
    <n v="0"/>
  </r>
  <r>
    <s v="CUST0247"/>
    <s v="Male"/>
    <n v="64"/>
    <n v="13"/>
    <x v="0"/>
    <s v="Bank Transfer"/>
    <s v="Senior"/>
    <n v="138.01"/>
    <n v="1856.58"/>
    <x v="1"/>
    <x v="0"/>
    <n v="1"/>
  </r>
  <r>
    <s v="CUST0248"/>
    <s v="Male"/>
    <n v="53"/>
    <n v="25"/>
    <x v="0"/>
    <s v="Credit Card"/>
    <s v="Senior"/>
    <n v="149.55000000000001"/>
    <n v="3377.33"/>
    <x v="0"/>
    <x v="2"/>
    <n v="0"/>
  </r>
  <r>
    <s v="CUST0249"/>
    <s v="Male"/>
    <n v="64"/>
    <n v="45"/>
    <x v="2"/>
    <s v="Electronic Check"/>
    <s v="Senior"/>
    <n v="111.06"/>
    <n v="4836.72"/>
    <x v="0"/>
    <x v="2"/>
    <n v="0"/>
  </r>
  <r>
    <s v="CUST0250"/>
    <s v="Male"/>
    <n v="39"/>
    <n v="19"/>
    <x v="2"/>
    <s v="Electronic Check"/>
    <s v="Adult"/>
    <n v="120.16"/>
    <n v="2418.04"/>
    <x v="0"/>
    <x v="0"/>
    <n v="0"/>
  </r>
  <r>
    <s v="CUST0251"/>
    <s v="Female"/>
    <n v="51"/>
    <n v="55"/>
    <x v="0"/>
    <s v="Electronic Check"/>
    <s v="Senior"/>
    <n v="63.85"/>
    <n v="3215"/>
    <x v="1"/>
    <x v="1"/>
    <n v="1"/>
  </r>
  <r>
    <s v="CUST0252"/>
    <s v="Male"/>
    <n v="64"/>
    <n v="45"/>
    <x v="1"/>
    <s v="Electronic Check"/>
    <s v="Senior"/>
    <n v="142.4"/>
    <n v="6129.01"/>
    <x v="0"/>
    <x v="2"/>
    <n v="0"/>
  </r>
  <r>
    <s v="CUST0253"/>
    <s v="Female"/>
    <n v="25"/>
    <n v="8"/>
    <x v="1"/>
    <s v="Electronic Check"/>
    <s v="Young"/>
    <n v="88.86"/>
    <n v="723.01"/>
    <x v="0"/>
    <x v="3"/>
    <n v="0"/>
  </r>
  <r>
    <s v="CUST0254"/>
    <s v="Male"/>
    <n v="57"/>
    <n v="53"/>
    <x v="0"/>
    <s v="Electronic Check"/>
    <s v="Senior"/>
    <n v="115.21"/>
    <n v="5808.66"/>
    <x v="0"/>
    <x v="1"/>
    <n v="0"/>
  </r>
  <r>
    <s v="CUST0255"/>
    <s v="Male"/>
    <n v="66"/>
    <n v="55"/>
    <x v="0"/>
    <s v="Electronic Check"/>
    <s v="Senior"/>
    <n v="140.13"/>
    <n v="8376.1"/>
    <x v="1"/>
    <x v="1"/>
    <n v="1"/>
  </r>
  <r>
    <s v="CUST0256"/>
    <s v="Male"/>
    <n v="61"/>
    <n v="32"/>
    <x v="1"/>
    <s v="Bank Transfer"/>
    <s v="Senior"/>
    <n v="146.77000000000001"/>
    <n v="4350.08"/>
    <x v="0"/>
    <x v="2"/>
    <n v="0"/>
  </r>
  <r>
    <s v="CUST0257"/>
    <s v="Male"/>
    <n v="36"/>
    <n v="51"/>
    <x v="2"/>
    <s v="Credit Card"/>
    <s v="Adult"/>
    <n v="128.32"/>
    <n v="6933.57"/>
    <x v="0"/>
    <x v="1"/>
    <n v="0"/>
  </r>
  <r>
    <s v="CUST0258"/>
    <s v="Female"/>
    <n v="59"/>
    <n v="44"/>
    <x v="0"/>
    <s v="UPI"/>
    <s v="Senior"/>
    <n v="59.39"/>
    <n v="2617.31"/>
    <x v="0"/>
    <x v="2"/>
    <n v="0"/>
  </r>
  <r>
    <s v="CUST0259"/>
    <s v="Female"/>
    <n v="58"/>
    <n v="70"/>
    <x v="1"/>
    <s v="Credit Card"/>
    <s v="Senior"/>
    <n v="145.65"/>
    <n v="10705.95"/>
    <x v="0"/>
    <x v="1"/>
    <n v="0"/>
  </r>
  <r>
    <s v="CUST0260"/>
    <s v="Male"/>
    <n v="54"/>
    <n v="18"/>
    <x v="0"/>
    <s v="Bank Transfer"/>
    <s v="Senior"/>
    <n v="101.66"/>
    <n v="1760.61"/>
    <x v="1"/>
    <x v="0"/>
    <n v="1"/>
  </r>
  <r>
    <s v="CUST0261"/>
    <s v="Male"/>
    <n v="23"/>
    <n v="22"/>
    <x v="0"/>
    <s v="UPI"/>
    <s v="Young"/>
    <n v="140.97999999999999"/>
    <n v="3110.55"/>
    <x v="1"/>
    <x v="0"/>
    <n v="1"/>
  </r>
  <r>
    <s v="CUST0262"/>
    <s v="Female"/>
    <n v="69"/>
    <n v="37"/>
    <x v="0"/>
    <s v="Bank Transfer"/>
    <s v="Senior"/>
    <n v="107.89"/>
    <n v="4276.82"/>
    <x v="0"/>
    <x v="2"/>
    <n v="0"/>
  </r>
  <r>
    <s v="CUST0263"/>
    <s v="Male"/>
    <n v="43"/>
    <n v="56"/>
    <x v="2"/>
    <s v="Credit Card"/>
    <s v="Adult"/>
    <n v="59.94"/>
    <n v="3334.4"/>
    <x v="0"/>
    <x v="1"/>
    <n v="0"/>
  </r>
  <r>
    <s v="CUST0264"/>
    <s v="Male"/>
    <n v="51"/>
    <n v="59"/>
    <x v="2"/>
    <s v="Bank Transfer"/>
    <s v="Senior"/>
    <n v="68.099999999999994"/>
    <n v="3905.17"/>
    <x v="0"/>
    <x v="1"/>
    <n v="0"/>
  </r>
  <r>
    <s v="CUST0265"/>
    <s v="Male"/>
    <n v="62"/>
    <n v="3"/>
    <x v="2"/>
    <s v="Electronic Check"/>
    <s v="Senior"/>
    <n v="91.56"/>
    <n v="276.67"/>
    <x v="1"/>
    <x v="3"/>
    <n v="1"/>
  </r>
  <r>
    <s v="CUST0266"/>
    <s v="Female"/>
    <n v="23"/>
    <n v="28"/>
    <x v="0"/>
    <s v="Electronic Check"/>
    <s v="Young"/>
    <n v="122.7"/>
    <n v="3584.95"/>
    <x v="1"/>
    <x v="2"/>
    <n v="1"/>
  </r>
  <r>
    <s v="CUST0267"/>
    <s v="Female"/>
    <n v="54"/>
    <n v="35"/>
    <x v="0"/>
    <s v="Credit Card"/>
    <s v="Senior"/>
    <n v="61.34"/>
    <n v="2122.67"/>
    <x v="1"/>
    <x v="2"/>
    <n v="1"/>
  </r>
  <r>
    <s v="CUST0268"/>
    <s v="Female"/>
    <n v="50"/>
    <n v="61"/>
    <x v="0"/>
    <s v="Credit Card"/>
    <s v="Senior"/>
    <n v="95.37"/>
    <n v="6328.21"/>
    <x v="1"/>
    <x v="1"/>
    <n v="1"/>
  </r>
  <r>
    <s v="CUST0269"/>
    <s v="Male"/>
    <n v="70"/>
    <n v="54"/>
    <x v="2"/>
    <s v="Electronic Check"/>
    <s v="Senior"/>
    <n v="64.930000000000007"/>
    <n v="3362.43"/>
    <x v="0"/>
    <x v="1"/>
    <n v="0"/>
  </r>
  <r>
    <s v="CUST0270"/>
    <s v="Male"/>
    <n v="39"/>
    <n v="63"/>
    <x v="0"/>
    <s v="UPI"/>
    <s v="Adult"/>
    <n v="126.05"/>
    <n v="7902.18"/>
    <x v="0"/>
    <x v="1"/>
    <n v="0"/>
  </r>
  <r>
    <s v="CUST0271"/>
    <s v="Female"/>
    <n v="38"/>
    <n v="7"/>
    <x v="0"/>
    <s v="Bank Transfer"/>
    <s v="Adult"/>
    <n v="80.67"/>
    <n v="593.71"/>
    <x v="1"/>
    <x v="3"/>
    <n v="1"/>
  </r>
  <r>
    <s v="CUST0272"/>
    <s v="Female"/>
    <n v="23"/>
    <n v="49"/>
    <x v="1"/>
    <s v="Credit Card"/>
    <s v="Young"/>
    <n v="29.97"/>
    <n v="1524.08"/>
    <x v="0"/>
    <x v="1"/>
    <n v="0"/>
  </r>
  <r>
    <s v="CUST0273"/>
    <s v="Female"/>
    <n v="23"/>
    <n v="31"/>
    <x v="0"/>
    <s v="UPI"/>
    <s v="Young"/>
    <n v="41.59"/>
    <n v="1383.06"/>
    <x v="1"/>
    <x v="2"/>
    <n v="1"/>
  </r>
  <r>
    <s v="CUST0274"/>
    <s v="Female"/>
    <n v="65"/>
    <n v="58"/>
    <x v="1"/>
    <s v="Credit Card"/>
    <s v="Senior"/>
    <n v="27.94"/>
    <n v="1781.54"/>
    <x v="0"/>
    <x v="1"/>
    <n v="0"/>
  </r>
  <r>
    <s v="CUST0275"/>
    <s v="Male"/>
    <n v="21"/>
    <n v="61"/>
    <x v="0"/>
    <s v="UPI"/>
    <s v="Young"/>
    <n v="84.91"/>
    <n v="5103.74"/>
    <x v="1"/>
    <x v="1"/>
    <n v="1"/>
  </r>
  <r>
    <s v="CUST0276"/>
    <s v="Female"/>
    <n v="47"/>
    <n v="24"/>
    <x v="2"/>
    <s v="Credit Card"/>
    <s v="Adult"/>
    <n v="33.82"/>
    <n v="748.56"/>
    <x v="0"/>
    <x v="0"/>
    <n v="0"/>
  </r>
  <r>
    <s v="CUST0277"/>
    <s v="Male"/>
    <n v="28"/>
    <n v="20"/>
    <x v="0"/>
    <s v="Electronic Check"/>
    <s v="Young"/>
    <n v="34.840000000000003"/>
    <n v="631.36"/>
    <x v="0"/>
    <x v="0"/>
    <n v="0"/>
  </r>
  <r>
    <s v="CUST0278"/>
    <s v="Female"/>
    <n v="47"/>
    <n v="37"/>
    <x v="1"/>
    <s v="Bank Transfer"/>
    <s v="Adult"/>
    <n v="142.34"/>
    <n v="5505.55"/>
    <x v="0"/>
    <x v="2"/>
    <n v="0"/>
  </r>
  <r>
    <s v="CUST0279"/>
    <s v="Male"/>
    <n v="48"/>
    <n v="4"/>
    <x v="0"/>
    <s v="Bank Transfer"/>
    <s v="Adult"/>
    <n v="133.44999999999999"/>
    <n v="573.73"/>
    <x v="0"/>
    <x v="3"/>
    <n v="0"/>
  </r>
  <r>
    <s v="CUST0280"/>
    <s v="Female"/>
    <n v="41"/>
    <n v="20"/>
    <x v="0"/>
    <s v="Bank Transfer"/>
    <s v="Adult"/>
    <n v="78.77"/>
    <n v="1487.4"/>
    <x v="0"/>
    <x v="0"/>
    <n v="0"/>
  </r>
  <r>
    <s v="CUST0281"/>
    <s v="Female"/>
    <n v="26"/>
    <n v="60"/>
    <x v="0"/>
    <s v="UPI"/>
    <s v="Young"/>
    <n v="148.15"/>
    <n v="8281.7900000000009"/>
    <x v="0"/>
    <x v="1"/>
    <n v="0"/>
  </r>
  <r>
    <s v="CUST0282"/>
    <s v="Female"/>
    <n v="20"/>
    <n v="24"/>
    <x v="0"/>
    <s v="Bank Transfer"/>
    <s v="Young"/>
    <n v="20.02"/>
    <n v="438.41"/>
    <x v="1"/>
    <x v="0"/>
    <n v="1"/>
  </r>
  <r>
    <s v="CUST0283"/>
    <s v="Female"/>
    <n v="68"/>
    <n v="50"/>
    <x v="0"/>
    <s v="Bank Transfer"/>
    <s v="Senior"/>
    <n v="99.82"/>
    <n v="5313.12"/>
    <x v="0"/>
    <x v="1"/>
    <n v="0"/>
  </r>
  <r>
    <s v="CUST0284"/>
    <s v="Male"/>
    <n v="48"/>
    <n v="49"/>
    <x v="1"/>
    <s v="UPI"/>
    <s v="Adult"/>
    <n v="83.07"/>
    <n v="4721.76"/>
    <x v="0"/>
    <x v="1"/>
    <n v="0"/>
  </r>
  <r>
    <s v="CUST0285"/>
    <s v="Female"/>
    <n v="57"/>
    <n v="51"/>
    <x v="0"/>
    <s v="Bank Transfer"/>
    <s v="Senior"/>
    <n v="79.47"/>
    <n v="3973.29"/>
    <x v="1"/>
    <x v="1"/>
    <n v="1"/>
  </r>
  <r>
    <s v="CUST0286"/>
    <s v="Male"/>
    <n v="54"/>
    <n v="36"/>
    <x v="2"/>
    <s v="Credit Card"/>
    <s v="Senior"/>
    <n v="71.599999999999994"/>
    <n v="2579.02"/>
    <x v="0"/>
    <x v="2"/>
    <n v="0"/>
  </r>
  <r>
    <s v="CUST0287"/>
    <s v="Male"/>
    <n v="53"/>
    <n v="66"/>
    <x v="2"/>
    <s v="UPI"/>
    <s v="Senior"/>
    <n v="79.2"/>
    <n v="5582.08"/>
    <x v="0"/>
    <x v="1"/>
    <n v="0"/>
  </r>
  <r>
    <s v="CUST0288"/>
    <s v="Male"/>
    <n v="41"/>
    <n v="34"/>
    <x v="2"/>
    <s v="Electronic Check"/>
    <s v="Adult"/>
    <n v="73.94"/>
    <n v="2589.8000000000002"/>
    <x v="0"/>
    <x v="2"/>
    <n v="0"/>
  </r>
  <r>
    <s v="CUST0289"/>
    <s v="Male"/>
    <n v="48"/>
    <n v="36"/>
    <x v="0"/>
    <s v="Bank Transfer"/>
    <s v="Adult"/>
    <n v="114.96"/>
    <n v="4233.8"/>
    <x v="0"/>
    <x v="2"/>
    <n v="0"/>
  </r>
  <r>
    <s v="CUST0290"/>
    <s v="Female"/>
    <n v="23"/>
    <n v="6"/>
    <x v="0"/>
    <s v="UPI"/>
    <s v="Young"/>
    <n v="37.6"/>
    <n v="210.97"/>
    <x v="0"/>
    <x v="3"/>
    <n v="0"/>
  </r>
  <r>
    <s v="CUST0291"/>
    <s v="Male"/>
    <n v="19"/>
    <n v="39"/>
    <x v="2"/>
    <s v="Bank Transfer"/>
    <s v="Young"/>
    <n v="45.69"/>
    <n v="1786.61"/>
    <x v="0"/>
    <x v="2"/>
    <n v="0"/>
  </r>
  <r>
    <s v="CUST0292"/>
    <s v="Male"/>
    <n v="37"/>
    <n v="42"/>
    <x v="1"/>
    <s v="Bank Transfer"/>
    <s v="Adult"/>
    <n v="43.47"/>
    <n v="1904.39"/>
    <x v="0"/>
    <x v="2"/>
    <n v="0"/>
  </r>
  <r>
    <s v="CUST0293"/>
    <s v="Male"/>
    <n v="45"/>
    <n v="58"/>
    <x v="0"/>
    <s v="Bank Transfer"/>
    <s v="Adult"/>
    <n v="54.12"/>
    <n v="3436.07"/>
    <x v="0"/>
    <x v="1"/>
    <n v="0"/>
  </r>
  <r>
    <s v="CUST0294"/>
    <s v="Female"/>
    <n v="28"/>
    <n v="12"/>
    <x v="0"/>
    <s v="Credit Card"/>
    <s v="Young"/>
    <n v="88.28"/>
    <n v="996.1"/>
    <x v="0"/>
    <x v="3"/>
    <n v="0"/>
  </r>
  <r>
    <s v="CUST0295"/>
    <s v="Female"/>
    <n v="21"/>
    <n v="3"/>
    <x v="0"/>
    <s v="UPI"/>
    <s v="Young"/>
    <n v="34.46"/>
    <n v="93.24"/>
    <x v="0"/>
    <x v="3"/>
    <n v="0"/>
  </r>
  <r>
    <s v="CUST0296"/>
    <s v="Female"/>
    <n v="32"/>
    <n v="18"/>
    <x v="1"/>
    <s v="Electronic Check"/>
    <s v="Adult"/>
    <n v="132.86000000000001"/>
    <n v="2188.35"/>
    <x v="0"/>
    <x v="0"/>
    <n v="0"/>
  </r>
  <r>
    <s v="CUST0297"/>
    <s v="Female"/>
    <n v="23"/>
    <n v="40"/>
    <x v="0"/>
    <s v="Electronic Check"/>
    <s v="Young"/>
    <n v="58.66"/>
    <n v="2288.14"/>
    <x v="0"/>
    <x v="2"/>
    <n v="0"/>
  </r>
  <r>
    <s v="CUST0298"/>
    <s v="Male"/>
    <n v="66"/>
    <n v="21"/>
    <x v="0"/>
    <s v="Electronic Check"/>
    <s v="Senior"/>
    <n v="41.13"/>
    <n v="919.1"/>
    <x v="0"/>
    <x v="0"/>
    <n v="0"/>
  </r>
  <r>
    <s v="CUST0299"/>
    <s v="Male"/>
    <n v="47"/>
    <n v="15"/>
    <x v="1"/>
    <s v="Credit Card"/>
    <s v="Adult"/>
    <n v="107.83"/>
    <n v="1458.02"/>
    <x v="0"/>
    <x v="0"/>
    <n v="0"/>
  </r>
  <r>
    <s v="CUST0300"/>
    <s v="Female"/>
    <n v="55"/>
    <n v="26"/>
    <x v="0"/>
    <s v="Credit Card"/>
    <s v="Senior"/>
    <n v="24.95"/>
    <n v="643.09"/>
    <x v="0"/>
    <x v="2"/>
    <n v="0"/>
  </r>
  <r>
    <s v="CUST0301"/>
    <s v="Male"/>
    <n v="68"/>
    <n v="8"/>
    <x v="0"/>
    <s v="UPI"/>
    <s v="Senior"/>
    <n v="100.6"/>
    <n v="777.31"/>
    <x v="1"/>
    <x v="3"/>
    <n v="1"/>
  </r>
  <r>
    <s v="CUST0302"/>
    <s v="Male"/>
    <n v="19"/>
    <n v="42"/>
    <x v="2"/>
    <s v="Credit Card"/>
    <s v="Young"/>
    <n v="110.77"/>
    <n v="4235.9399999999996"/>
    <x v="1"/>
    <x v="2"/>
    <n v="1"/>
  </r>
  <r>
    <s v="CUST0303"/>
    <s v="Male"/>
    <n v="32"/>
    <n v="44"/>
    <x v="1"/>
    <s v="Credit Card"/>
    <s v="Adult"/>
    <n v="47.94"/>
    <n v="2088.37"/>
    <x v="0"/>
    <x v="2"/>
    <n v="0"/>
  </r>
  <r>
    <s v="CUST0304"/>
    <s v="Female"/>
    <n v="28"/>
    <n v="14"/>
    <x v="0"/>
    <s v="Electronic Check"/>
    <s v="Young"/>
    <n v="25.46"/>
    <n v="338.96"/>
    <x v="0"/>
    <x v="0"/>
    <n v="0"/>
  </r>
  <r>
    <s v="CUST0305"/>
    <s v="Female"/>
    <n v="25"/>
    <n v="2"/>
    <x v="0"/>
    <s v="Credit Card"/>
    <s v="Young"/>
    <n v="67.27"/>
    <n v="130.55000000000001"/>
    <x v="1"/>
    <x v="3"/>
    <n v="1"/>
  </r>
  <r>
    <s v="CUST0306"/>
    <s v="Male"/>
    <n v="43"/>
    <n v="37"/>
    <x v="0"/>
    <s v="Bank Transfer"/>
    <s v="Adult"/>
    <n v="32.82"/>
    <n v="1264.28"/>
    <x v="1"/>
    <x v="2"/>
    <n v="1"/>
  </r>
  <r>
    <s v="CUST0307"/>
    <s v="Female"/>
    <n v="68"/>
    <n v="69"/>
    <x v="0"/>
    <s v="Electronic Check"/>
    <s v="Senior"/>
    <n v="35.14"/>
    <n v="2435.11"/>
    <x v="0"/>
    <x v="1"/>
    <n v="0"/>
  </r>
  <r>
    <s v="CUST0308"/>
    <s v="Female"/>
    <n v="62"/>
    <n v="38"/>
    <x v="2"/>
    <s v="Electronic Check"/>
    <s v="Senior"/>
    <n v="53.05"/>
    <n v="1864.57"/>
    <x v="1"/>
    <x v="2"/>
    <n v="1"/>
  </r>
  <r>
    <s v="CUST0309"/>
    <s v="Female"/>
    <n v="61"/>
    <n v="41"/>
    <x v="0"/>
    <s v="Electronic Check"/>
    <s v="Senior"/>
    <n v="58.41"/>
    <n v="2615.81"/>
    <x v="1"/>
    <x v="2"/>
    <n v="1"/>
  </r>
  <r>
    <s v="CUST0310"/>
    <s v="Female"/>
    <n v="22"/>
    <n v="62"/>
    <x v="0"/>
    <s v="Electronic Check"/>
    <s v="Young"/>
    <n v="88.9"/>
    <n v="5661.62"/>
    <x v="0"/>
    <x v="1"/>
    <n v="0"/>
  </r>
  <r>
    <s v="CUST0311"/>
    <s v="Female"/>
    <n v="23"/>
    <n v="60"/>
    <x v="0"/>
    <s v="Credit Card"/>
    <s v="Young"/>
    <n v="108.19"/>
    <n v="6836.57"/>
    <x v="0"/>
    <x v="1"/>
    <n v="0"/>
  </r>
  <r>
    <s v="CUST0312"/>
    <s v="Male"/>
    <n v="43"/>
    <n v="14"/>
    <x v="2"/>
    <s v="Electronic Check"/>
    <s v="Adult"/>
    <n v="97.06"/>
    <n v="1244.48"/>
    <x v="0"/>
    <x v="0"/>
    <n v="0"/>
  </r>
  <r>
    <s v="CUST0313"/>
    <s v="Female"/>
    <n v="21"/>
    <n v="2"/>
    <x v="0"/>
    <s v="Bank Transfer"/>
    <s v="Young"/>
    <n v="39.29"/>
    <n v="71.459999999999994"/>
    <x v="0"/>
    <x v="3"/>
    <n v="0"/>
  </r>
  <r>
    <s v="CUST0314"/>
    <s v="Male"/>
    <n v="36"/>
    <n v="70"/>
    <x v="1"/>
    <s v="UPI"/>
    <s v="Adult"/>
    <n v="42.37"/>
    <n v="2680.85"/>
    <x v="0"/>
    <x v="1"/>
    <n v="0"/>
  </r>
  <r>
    <s v="CUST0315"/>
    <s v="Male"/>
    <n v="37"/>
    <n v="17"/>
    <x v="0"/>
    <s v="Credit Card"/>
    <s v="Adult"/>
    <n v="134.24"/>
    <n v="2140.04"/>
    <x v="1"/>
    <x v="0"/>
    <n v="1"/>
  </r>
  <r>
    <s v="CUST0316"/>
    <s v="Female"/>
    <n v="50"/>
    <n v="28"/>
    <x v="1"/>
    <s v="UPI"/>
    <s v="Senior"/>
    <n v="92.59"/>
    <n v="2548.14"/>
    <x v="0"/>
    <x v="2"/>
    <n v="0"/>
  </r>
  <r>
    <s v="CUST0317"/>
    <s v="Male"/>
    <n v="37"/>
    <n v="66"/>
    <x v="1"/>
    <s v="Credit Card"/>
    <s v="Adult"/>
    <n v="133.09"/>
    <n v="9549.59"/>
    <x v="0"/>
    <x v="1"/>
    <n v="0"/>
  </r>
  <r>
    <s v="CUST0318"/>
    <s v="Male"/>
    <n v="66"/>
    <n v="35"/>
    <x v="0"/>
    <s v="Credit Card"/>
    <s v="Senior"/>
    <n v="68.3"/>
    <n v="2369.9699999999998"/>
    <x v="0"/>
    <x v="2"/>
    <n v="0"/>
  </r>
  <r>
    <s v="CUST0319"/>
    <s v="Male"/>
    <n v="29"/>
    <n v="5"/>
    <x v="0"/>
    <s v="UPI"/>
    <s v="Young"/>
    <n v="99.87"/>
    <n v="478.4"/>
    <x v="1"/>
    <x v="3"/>
    <n v="1"/>
  </r>
  <r>
    <s v="CUST0320"/>
    <s v="Female"/>
    <n v="64"/>
    <n v="65"/>
    <x v="0"/>
    <s v="Electronic Check"/>
    <s v="Senior"/>
    <n v="88.08"/>
    <n v="5796.12"/>
    <x v="0"/>
    <x v="1"/>
    <n v="0"/>
  </r>
  <r>
    <s v="CUST0321"/>
    <s v="Female"/>
    <n v="18"/>
    <n v="40"/>
    <x v="0"/>
    <s v="UPI"/>
    <s v="Young"/>
    <n v="61.49"/>
    <n v="2268.6999999999998"/>
    <x v="1"/>
    <x v="2"/>
    <n v="1"/>
  </r>
  <r>
    <s v="CUST0322"/>
    <s v="Male"/>
    <n v="43"/>
    <n v="56"/>
    <x v="0"/>
    <s v="Electronic Check"/>
    <s v="Adult"/>
    <n v="81.09"/>
    <n v="4640.49"/>
    <x v="0"/>
    <x v="1"/>
    <n v="0"/>
  </r>
  <r>
    <s v="CUST0323"/>
    <s v="Female"/>
    <n v="31"/>
    <n v="36"/>
    <x v="0"/>
    <s v="Credit Card"/>
    <s v="Adult"/>
    <n v="85.32"/>
    <n v="3113.56"/>
    <x v="1"/>
    <x v="2"/>
    <n v="1"/>
  </r>
  <r>
    <s v="CUST0324"/>
    <s v="Female"/>
    <n v="55"/>
    <n v="45"/>
    <x v="0"/>
    <s v="Electronic Check"/>
    <s v="Senior"/>
    <n v="46.1"/>
    <n v="2195.65"/>
    <x v="0"/>
    <x v="2"/>
    <n v="0"/>
  </r>
  <r>
    <s v="CUST0325"/>
    <s v="Female"/>
    <n v="54"/>
    <n v="23"/>
    <x v="1"/>
    <s v="Bank Transfer"/>
    <s v="Senior"/>
    <n v="60.95"/>
    <n v="1538.3"/>
    <x v="0"/>
    <x v="0"/>
    <n v="0"/>
  </r>
  <r>
    <s v="CUST0326"/>
    <s v="Female"/>
    <n v="28"/>
    <n v="47"/>
    <x v="0"/>
    <s v="Bank Transfer"/>
    <s v="Young"/>
    <n v="122.88"/>
    <n v="5487.6"/>
    <x v="1"/>
    <x v="2"/>
    <n v="1"/>
  </r>
  <r>
    <s v="CUST0327"/>
    <s v="Male"/>
    <n v="53"/>
    <n v="31"/>
    <x v="1"/>
    <s v="Bank Transfer"/>
    <s v="Senior"/>
    <n v="139.05000000000001"/>
    <n v="4318.87"/>
    <x v="0"/>
    <x v="2"/>
    <n v="0"/>
  </r>
  <r>
    <s v="CUST0328"/>
    <s v="Male"/>
    <n v="30"/>
    <n v="11"/>
    <x v="0"/>
    <s v="Credit Card"/>
    <s v="Adult"/>
    <n v="66.77"/>
    <n v="794.53"/>
    <x v="0"/>
    <x v="3"/>
    <n v="0"/>
  </r>
  <r>
    <s v="CUST0329"/>
    <s v="Female"/>
    <n v="60"/>
    <n v="10"/>
    <x v="1"/>
    <s v="Credit Card"/>
    <s v="Senior"/>
    <n v="59.91"/>
    <n v="633.27"/>
    <x v="0"/>
    <x v="3"/>
    <n v="0"/>
  </r>
  <r>
    <s v="CUST0330"/>
    <s v="Female"/>
    <n v="20"/>
    <n v="67"/>
    <x v="2"/>
    <s v="Electronic Check"/>
    <s v="Young"/>
    <n v="45.38"/>
    <n v="3032.8"/>
    <x v="0"/>
    <x v="1"/>
    <n v="0"/>
  </r>
  <r>
    <s v="CUST0331"/>
    <s v="Male"/>
    <n v="50"/>
    <n v="14"/>
    <x v="0"/>
    <s v="Electronic Check"/>
    <s v="Senior"/>
    <n v="108.2"/>
    <n v="1649.73"/>
    <x v="0"/>
    <x v="0"/>
    <n v="0"/>
  </r>
  <r>
    <s v="CUST0332"/>
    <s v="Male"/>
    <n v="23"/>
    <n v="10"/>
    <x v="2"/>
    <s v="UPI"/>
    <s v="Young"/>
    <n v="62"/>
    <n v="565.1"/>
    <x v="0"/>
    <x v="3"/>
    <n v="0"/>
  </r>
  <r>
    <s v="CUST0333"/>
    <s v="Female"/>
    <n v="67"/>
    <n v="1"/>
    <x v="0"/>
    <s v="Credit Card"/>
    <s v="Senior"/>
    <n v="148.41"/>
    <n v="161.19999999999999"/>
    <x v="1"/>
    <x v="3"/>
    <n v="1"/>
  </r>
  <r>
    <s v="CUST0334"/>
    <s v="Male"/>
    <n v="27"/>
    <n v="5"/>
    <x v="0"/>
    <s v="UPI"/>
    <s v="Young"/>
    <n v="62.34"/>
    <n v="283.68"/>
    <x v="1"/>
    <x v="3"/>
    <n v="1"/>
  </r>
  <r>
    <s v="CUST0335"/>
    <s v="Female"/>
    <n v="22"/>
    <n v="20"/>
    <x v="1"/>
    <s v="UPI"/>
    <s v="Young"/>
    <n v="71.239999999999995"/>
    <n v="1438.28"/>
    <x v="0"/>
    <x v="0"/>
    <n v="0"/>
  </r>
  <r>
    <s v="CUST0336"/>
    <s v="Female"/>
    <n v="40"/>
    <n v="8"/>
    <x v="0"/>
    <s v="Credit Card"/>
    <s v="Adult"/>
    <n v="98.43"/>
    <n v="848.93"/>
    <x v="0"/>
    <x v="3"/>
    <n v="0"/>
  </r>
  <r>
    <s v="CUST0337"/>
    <s v="Male"/>
    <n v="27"/>
    <n v="43"/>
    <x v="0"/>
    <s v="Bank Transfer"/>
    <s v="Young"/>
    <n v="124.22"/>
    <n v="5087.9799999999996"/>
    <x v="0"/>
    <x v="2"/>
    <n v="0"/>
  </r>
  <r>
    <s v="CUST0338"/>
    <s v="Male"/>
    <n v="61"/>
    <n v="1"/>
    <x v="2"/>
    <s v="Electronic Check"/>
    <s v="Senior"/>
    <n v="81.040000000000006"/>
    <n v="80.59"/>
    <x v="1"/>
    <x v="3"/>
    <n v="1"/>
  </r>
  <r>
    <s v="CUST0339"/>
    <s v="Female"/>
    <n v="19"/>
    <n v="57"/>
    <x v="1"/>
    <s v="Electronic Check"/>
    <s v="Young"/>
    <n v="74.95"/>
    <n v="4122.05"/>
    <x v="0"/>
    <x v="1"/>
    <n v="0"/>
  </r>
  <r>
    <s v="CUST0340"/>
    <s v="Female"/>
    <n v="30"/>
    <n v="64"/>
    <x v="2"/>
    <s v="Electronic Check"/>
    <s v="Adult"/>
    <n v="149.43"/>
    <n v="10428.34"/>
    <x v="0"/>
    <x v="1"/>
    <n v="0"/>
  </r>
  <r>
    <s v="CUST0341"/>
    <s v="Male"/>
    <n v="57"/>
    <n v="28"/>
    <x v="0"/>
    <s v="Credit Card"/>
    <s v="Senior"/>
    <n v="21.36"/>
    <n v="636.79"/>
    <x v="0"/>
    <x v="2"/>
    <n v="0"/>
  </r>
  <r>
    <s v="CUST0342"/>
    <s v="Female"/>
    <n v="19"/>
    <n v="37"/>
    <x v="2"/>
    <s v="Credit Card"/>
    <s v="Young"/>
    <n v="136.36000000000001"/>
    <n v="5256.22"/>
    <x v="1"/>
    <x v="2"/>
    <n v="1"/>
  </r>
  <r>
    <s v="CUST0343"/>
    <s v="Male"/>
    <n v="37"/>
    <n v="47"/>
    <x v="0"/>
    <s v="Credit Card"/>
    <s v="Adult"/>
    <n v="39.39"/>
    <n v="1883.78"/>
    <x v="0"/>
    <x v="2"/>
    <n v="0"/>
  </r>
  <r>
    <s v="CUST0344"/>
    <s v="Female"/>
    <n v="18"/>
    <n v="37"/>
    <x v="2"/>
    <s v="Credit Card"/>
    <s v="Young"/>
    <n v="122.17"/>
    <n v="4810.12"/>
    <x v="0"/>
    <x v="2"/>
    <n v="0"/>
  </r>
  <r>
    <s v="CUST0345"/>
    <s v="Male"/>
    <n v="54"/>
    <n v="49"/>
    <x v="1"/>
    <s v="Credit Card"/>
    <s v="Senior"/>
    <n v="100.33"/>
    <n v="4810.24"/>
    <x v="0"/>
    <x v="1"/>
    <n v="0"/>
  </r>
  <r>
    <s v="CUST0346"/>
    <s v="Male"/>
    <n v="26"/>
    <n v="44"/>
    <x v="2"/>
    <s v="Bank Transfer"/>
    <s v="Young"/>
    <n v="64.44"/>
    <n v="2805.62"/>
    <x v="0"/>
    <x v="2"/>
    <n v="0"/>
  </r>
  <r>
    <s v="CUST0347"/>
    <s v="Male"/>
    <n v="34"/>
    <n v="56"/>
    <x v="1"/>
    <s v="Bank Transfer"/>
    <s v="Adult"/>
    <n v="133.6"/>
    <n v="7825.76"/>
    <x v="0"/>
    <x v="1"/>
    <n v="0"/>
  </r>
  <r>
    <s v="CUST0348"/>
    <s v="Female"/>
    <n v="26"/>
    <n v="28"/>
    <x v="0"/>
    <s v="Electronic Check"/>
    <s v="Young"/>
    <n v="21.68"/>
    <n v="589.77"/>
    <x v="0"/>
    <x v="2"/>
    <n v="0"/>
  </r>
  <r>
    <s v="CUST0349"/>
    <s v="Female"/>
    <n v="28"/>
    <n v="6"/>
    <x v="2"/>
    <s v="Electronic Check"/>
    <s v="Young"/>
    <n v="49.47"/>
    <n v="270.93"/>
    <x v="1"/>
    <x v="3"/>
    <n v="1"/>
  </r>
  <r>
    <s v="CUST0350"/>
    <s v="Male"/>
    <n v="32"/>
    <n v="61"/>
    <x v="1"/>
    <s v="Bank Transfer"/>
    <s v="Adult"/>
    <n v="93.7"/>
    <n v="5229.1000000000004"/>
    <x v="0"/>
    <x v="1"/>
    <n v="0"/>
  </r>
  <r>
    <s v="CUST0351"/>
    <s v="Female"/>
    <n v="41"/>
    <n v="20"/>
    <x v="0"/>
    <s v="Credit Card"/>
    <s v="Adult"/>
    <n v="65.7"/>
    <n v="1212.92"/>
    <x v="0"/>
    <x v="0"/>
    <n v="0"/>
  </r>
  <r>
    <s v="CUST0352"/>
    <s v="Male"/>
    <n v="55"/>
    <n v="2"/>
    <x v="1"/>
    <s v="Bank Transfer"/>
    <s v="Senior"/>
    <n v="99.35"/>
    <n v="213.39"/>
    <x v="1"/>
    <x v="3"/>
    <n v="1"/>
  </r>
  <r>
    <s v="CUST0353"/>
    <s v="Male"/>
    <n v="52"/>
    <n v="37"/>
    <x v="0"/>
    <s v="Electronic Check"/>
    <s v="Senior"/>
    <n v="23.13"/>
    <n v="851.06"/>
    <x v="0"/>
    <x v="2"/>
    <n v="0"/>
  </r>
  <r>
    <s v="CUST0354"/>
    <s v="Female"/>
    <n v="47"/>
    <n v="20"/>
    <x v="2"/>
    <s v="Credit Card"/>
    <s v="Adult"/>
    <n v="35.14"/>
    <n v="732.72"/>
    <x v="1"/>
    <x v="0"/>
    <n v="1"/>
  </r>
  <r>
    <s v="CUST0355"/>
    <s v="Female"/>
    <n v="48"/>
    <n v="26"/>
    <x v="1"/>
    <s v="Electronic Check"/>
    <s v="Adult"/>
    <n v="36.520000000000003"/>
    <n v="929.18"/>
    <x v="1"/>
    <x v="2"/>
    <n v="1"/>
  </r>
  <r>
    <s v="CUST0356"/>
    <s v="Male"/>
    <n v="66"/>
    <n v="29"/>
    <x v="2"/>
    <s v="Electronic Check"/>
    <s v="Senior"/>
    <n v="44.61"/>
    <n v="1231.26"/>
    <x v="0"/>
    <x v="2"/>
    <n v="0"/>
  </r>
  <r>
    <s v="CUST0357"/>
    <s v="Female"/>
    <n v="22"/>
    <n v="1"/>
    <x v="0"/>
    <s v="Bank Transfer"/>
    <s v="Young"/>
    <n v="79.709999999999994"/>
    <n v="77.27"/>
    <x v="0"/>
    <x v="3"/>
    <n v="0"/>
  </r>
  <r>
    <s v="CUST0358"/>
    <s v="Female"/>
    <n v="61"/>
    <n v="35"/>
    <x v="2"/>
    <s v="Credit Card"/>
    <s v="Senior"/>
    <n v="117.78"/>
    <n v="4364.84"/>
    <x v="0"/>
    <x v="2"/>
    <n v="0"/>
  </r>
  <r>
    <s v="CUST0359"/>
    <s v="Male"/>
    <n v="67"/>
    <n v="70"/>
    <x v="0"/>
    <s v="Bank Transfer"/>
    <s v="Senior"/>
    <n v="137.72"/>
    <n v="9881.83"/>
    <x v="0"/>
    <x v="1"/>
    <n v="0"/>
  </r>
  <r>
    <s v="CUST0360"/>
    <s v="Male"/>
    <n v="31"/>
    <n v="59"/>
    <x v="1"/>
    <s v="UPI"/>
    <s v="Adult"/>
    <n v="128.6"/>
    <n v="8251.51"/>
    <x v="1"/>
    <x v="1"/>
    <n v="1"/>
  </r>
  <r>
    <s v="CUST0361"/>
    <s v="Female"/>
    <n v="70"/>
    <n v="69"/>
    <x v="0"/>
    <s v="Credit Card"/>
    <s v="Senior"/>
    <n v="45.6"/>
    <n v="3259.48"/>
    <x v="0"/>
    <x v="1"/>
    <n v="0"/>
  </r>
  <r>
    <s v="CUST0362"/>
    <s v="Male"/>
    <n v="28"/>
    <n v="33"/>
    <x v="0"/>
    <s v="Bank Transfer"/>
    <s v="Young"/>
    <n v="77.349999999999994"/>
    <n v="2588.38"/>
    <x v="0"/>
    <x v="2"/>
    <n v="0"/>
  </r>
  <r>
    <s v="CUST0363"/>
    <s v="Male"/>
    <n v="26"/>
    <n v="51"/>
    <x v="2"/>
    <s v="Electronic Check"/>
    <s v="Young"/>
    <n v="45.92"/>
    <n v="2393.5300000000002"/>
    <x v="0"/>
    <x v="1"/>
    <n v="0"/>
  </r>
  <r>
    <s v="CUST0364"/>
    <s v="Female"/>
    <n v="51"/>
    <n v="12"/>
    <x v="0"/>
    <s v="Credit Card"/>
    <s v="Senior"/>
    <n v="54.38"/>
    <n v="710.29"/>
    <x v="0"/>
    <x v="3"/>
    <n v="0"/>
  </r>
  <r>
    <s v="CUST0365"/>
    <s v="Male"/>
    <n v="29"/>
    <n v="20"/>
    <x v="2"/>
    <s v="Bank Transfer"/>
    <s v="Young"/>
    <n v="85.46"/>
    <n v="1807.72"/>
    <x v="0"/>
    <x v="0"/>
    <n v="0"/>
  </r>
  <r>
    <s v="CUST0366"/>
    <s v="Male"/>
    <n v="52"/>
    <n v="53"/>
    <x v="2"/>
    <s v="Credit Card"/>
    <s v="Senior"/>
    <n v="28.85"/>
    <n v="1383.5"/>
    <x v="0"/>
    <x v="1"/>
    <n v="0"/>
  </r>
  <r>
    <s v="CUST0367"/>
    <s v="Female"/>
    <n v="52"/>
    <n v="43"/>
    <x v="1"/>
    <s v="Credit Card"/>
    <s v="Senior"/>
    <n v="48.36"/>
    <n v="2093.6799999999998"/>
    <x v="0"/>
    <x v="2"/>
    <n v="0"/>
  </r>
  <r>
    <s v="CUST0368"/>
    <s v="Female"/>
    <n v="18"/>
    <n v="50"/>
    <x v="2"/>
    <s v="Electronic Check"/>
    <s v="Young"/>
    <n v="141.6"/>
    <n v="7346.69"/>
    <x v="0"/>
    <x v="1"/>
    <n v="0"/>
  </r>
  <r>
    <s v="CUST0369"/>
    <s v="Male"/>
    <n v="57"/>
    <n v="29"/>
    <x v="0"/>
    <s v="Credit Card"/>
    <s v="Senior"/>
    <n v="80.599999999999994"/>
    <n v="2453.66"/>
    <x v="0"/>
    <x v="2"/>
    <n v="0"/>
  </r>
  <r>
    <s v="CUST0370"/>
    <s v="Male"/>
    <n v="39"/>
    <n v="57"/>
    <x v="0"/>
    <s v="UPI"/>
    <s v="Adult"/>
    <n v="77.900000000000006"/>
    <n v="4185.55"/>
    <x v="1"/>
    <x v="1"/>
    <n v="1"/>
  </r>
  <r>
    <s v="CUST0371"/>
    <s v="Female"/>
    <n v="46"/>
    <n v="39"/>
    <x v="0"/>
    <s v="UPI"/>
    <s v="Adult"/>
    <n v="21.89"/>
    <n v="916.4"/>
    <x v="1"/>
    <x v="2"/>
    <n v="1"/>
  </r>
  <r>
    <s v="CUST0372"/>
    <s v="Female"/>
    <n v="25"/>
    <n v="56"/>
    <x v="0"/>
    <s v="Bank Transfer"/>
    <s v="Young"/>
    <n v="52.16"/>
    <n v="3187.26"/>
    <x v="1"/>
    <x v="1"/>
    <n v="1"/>
  </r>
  <r>
    <s v="CUST0373"/>
    <s v="Female"/>
    <n v="28"/>
    <n v="43"/>
    <x v="0"/>
    <s v="Bank Transfer"/>
    <s v="Young"/>
    <n v="132.62"/>
    <n v="5402.38"/>
    <x v="0"/>
    <x v="2"/>
    <n v="0"/>
  </r>
  <r>
    <s v="CUST0374"/>
    <s v="Female"/>
    <n v="58"/>
    <n v="50"/>
    <x v="2"/>
    <s v="Credit Card"/>
    <s v="Senior"/>
    <n v="41.4"/>
    <n v="2228.4"/>
    <x v="0"/>
    <x v="1"/>
    <n v="0"/>
  </r>
  <r>
    <s v="CUST0375"/>
    <s v="Male"/>
    <n v="54"/>
    <n v="23"/>
    <x v="2"/>
    <s v="Credit Card"/>
    <s v="Senior"/>
    <n v="73.97"/>
    <n v="1564.18"/>
    <x v="0"/>
    <x v="0"/>
    <n v="0"/>
  </r>
  <r>
    <s v="CUST0376"/>
    <s v="Female"/>
    <n v="31"/>
    <n v="44"/>
    <x v="0"/>
    <s v="Electronic Check"/>
    <s v="Adult"/>
    <n v="21.86"/>
    <n v="876.37"/>
    <x v="0"/>
    <x v="2"/>
    <n v="0"/>
  </r>
  <r>
    <s v="CUST0377"/>
    <s v="Female"/>
    <n v="47"/>
    <n v="38"/>
    <x v="1"/>
    <s v="Credit Card"/>
    <s v="Adult"/>
    <n v="82.18"/>
    <n v="2891.27"/>
    <x v="0"/>
    <x v="2"/>
    <n v="0"/>
  </r>
  <r>
    <s v="CUST0378"/>
    <s v="Male"/>
    <n v="52"/>
    <n v="23"/>
    <x v="1"/>
    <s v="Credit Card"/>
    <s v="Senior"/>
    <n v="22.73"/>
    <n v="476.55"/>
    <x v="0"/>
    <x v="0"/>
    <n v="0"/>
  </r>
  <r>
    <s v="CUST0379"/>
    <s v="Female"/>
    <n v="38"/>
    <n v="45"/>
    <x v="1"/>
    <s v="UPI"/>
    <s v="Adult"/>
    <n v="126.55"/>
    <n v="6087.7"/>
    <x v="0"/>
    <x v="2"/>
    <n v="0"/>
  </r>
  <r>
    <s v="CUST0380"/>
    <s v="Male"/>
    <n v="54"/>
    <n v="52"/>
    <x v="2"/>
    <s v="Credit Card"/>
    <s v="Senior"/>
    <n v="127.23"/>
    <n v="6032.5"/>
    <x v="0"/>
    <x v="1"/>
    <n v="0"/>
  </r>
  <r>
    <s v="CUST0381"/>
    <s v="Female"/>
    <n v="22"/>
    <n v="50"/>
    <x v="0"/>
    <s v="Credit Card"/>
    <s v="Young"/>
    <n v="122.41"/>
    <n v="5840.99"/>
    <x v="0"/>
    <x v="1"/>
    <n v="0"/>
  </r>
  <r>
    <s v="CUST0382"/>
    <s v="Female"/>
    <n v="36"/>
    <n v="8"/>
    <x v="0"/>
    <s v="Credit Card"/>
    <s v="Adult"/>
    <n v="56.84"/>
    <n v="418.68"/>
    <x v="0"/>
    <x v="3"/>
    <n v="0"/>
  </r>
  <r>
    <s v="CUST0383"/>
    <s v="Female"/>
    <n v="31"/>
    <n v="1"/>
    <x v="0"/>
    <s v="Bank Transfer"/>
    <s v="Adult"/>
    <n v="128.84"/>
    <n v="123.57"/>
    <x v="0"/>
    <x v="3"/>
    <n v="0"/>
  </r>
  <r>
    <s v="CUST0384"/>
    <s v="Male"/>
    <n v="43"/>
    <n v="8"/>
    <x v="0"/>
    <s v="Bank Transfer"/>
    <s v="Adult"/>
    <n v="90.59"/>
    <n v="665.37"/>
    <x v="1"/>
    <x v="3"/>
    <n v="1"/>
  </r>
  <r>
    <s v="CUST0385"/>
    <s v="Male"/>
    <n v="21"/>
    <n v="29"/>
    <x v="1"/>
    <s v="Electronic Check"/>
    <s v="Young"/>
    <n v="68.599999999999994"/>
    <n v="2056.25"/>
    <x v="0"/>
    <x v="2"/>
    <n v="0"/>
  </r>
  <r>
    <s v="CUST0386"/>
    <s v="Female"/>
    <n v="42"/>
    <n v="5"/>
    <x v="1"/>
    <s v="Credit Card"/>
    <s v="Adult"/>
    <n v="101.29"/>
    <n v="469.31"/>
    <x v="0"/>
    <x v="3"/>
    <n v="0"/>
  </r>
  <r>
    <s v="CUST0387"/>
    <s v="Male"/>
    <n v="62"/>
    <n v="47"/>
    <x v="0"/>
    <s v="UPI"/>
    <s v="Senior"/>
    <n v="21.6"/>
    <n v="1086.6400000000001"/>
    <x v="0"/>
    <x v="2"/>
    <n v="0"/>
  </r>
  <r>
    <s v="CUST0388"/>
    <s v="Male"/>
    <n v="59"/>
    <n v="34"/>
    <x v="0"/>
    <s v="Credit Card"/>
    <s v="Senior"/>
    <n v="38.58"/>
    <n v="1394.93"/>
    <x v="1"/>
    <x v="2"/>
    <n v="1"/>
  </r>
  <r>
    <s v="CUST0389"/>
    <s v="Male"/>
    <n v="42"/>
    <n v="65"/>
    <x v="1"/>
    <s v="Electronic Check"/>
    <s v="Adult"/>
    <n v="116.5"/>
    <n v="6835.94"/>
    <x v="0"/>
    <x v="1"/>
    <n v="0"/>
  </r>
  <r>
    <s v="CUST0390"/>
    <s v="Male"/>
    <n v="35"/>
    <n v="55"/>
    <x v="0"/>
    <s v="Bank Transfer"/>
    <s v="Adult"/>
    <n v="51.74"/>
    <n v="3070.92"/>
    <x v="0"/>
    <x v="1"/>
    <n v="0"/>
  </r>
  <r>
    <s v="CUST0391"/>
    <s v="Male"/>
    <n v="57"/>
    <n v="43"/>
    <x v="0"/>
    <s v="UPI"/>
    <s v="Senior"/>
    <n v="97.74"/>
    <n v="3806.87"/>
    <x v="1"/>
    <x v="2"/>
    <n v="1"/>
  </r>
  <r>
    <s v="CUST0392"/>
    <s v="Male"/>
    <n v="25"/>
    <n v="30"/>
    <x v="1"/>
    <s v="Electronic Check"/>
    <s v="Young"/>
    <n v="70.06"/>
    <n v="1992.36"/>
    <x v="0"/>
    <x v="2"/>
    <n v="0"/>
  </r>
  <r>
    <s v="CUST0393"/>
    <s v="Female"/>
    <n v="56"/>
    <n v="17"/>
    <x v="0"/>
    <s v="Bank Transfer"/>
    <s v="Senior"/>
    <n v="131.12"/>
    <n v="2020.58"/>
    <x v="0"/>
    <x v="0"/>
    <n v="0"/>
  </r>
  <r>
    <s v="CUST0394"/>
    <s v="Female"/>
    <n v="57"/>
    <n v="26"/>
    <x v="0"/>
    <s v="UPI"/>
    <s v="Senior"/>
    <n v="143.81"/>
    <n v="3616.3"/>
    <x v="0"/>
    <x v="2"/>
    <n v="0"/>
  </r>
  <r>
    <s v="CUST0395"/>
    <s v="Male"/>
    <n v="31"/>
    <n v="8"/>
    <x v="0"/>
    <s v="Credit Card"/>
    <s v="Adult"/>
    <n v="134.86000000000001"/>
    <n v="1081.8699999999999"/>
    <x v="0"/>
    <x v="3"/>
    <n v="0"/>
  </r>
  <r>
    <s v="CUST0396"/>
    <s v="Female"/>
    <n v="49"/>
    <n v="47"/>
    <x v="1"/>
    <s v="UPI"/>
    <s v="Adult"/>
    <n v="55.18"/>
    <n v="2747.33"/>
    <x v="0"/>
    <x v="2"/>
    <n v="0"/>
  </r>
  <r>
    <s v="CUST0397"/>
    <s v="Female"/>
    <n v="68"/>
    <n v="72"/>
    <x v="2"/>
    <s v="Bank Transfer"/>
    <s v="Senior"/>
    <n v="45.24"/>
    <n v="3151.73"/>
    <x v="0"/>
    <x v="1"/>
    <n v="0"/>
  </r>
  <r>
    <s v="CUST0398"/>
    <s v="Female"/>
    <n v="55"/>
    <n v="46"/>
    <x v="0"/>
    <s v="Bank Transfer"/>
    <s v="Senior"/>
    <n v="81.680000000000007"/>
    <n v="3911.7"/>
    <x v="1"/>
    <x v="2"/>
    <n v="1"/>
  </r>
  <r>
    <s v="CUST0399"/>
    <s v="Female"/>
    <n v="50"/>
    <n v="68"/>
    <x v="0"/>
    <s v="Bank Transfer"/>
    <s v="Senior"/>
    <n v="20.95"/>
    <n v="1335.56"/>
    <x v="1"/>
    <x v="1"/>
    <n v="1"/>
  </r>
  <r>
    <s v="CUST0400"/>
    <s v="Male"/>
    <n v="40"/>
    <n v="33"/>
    <x v="0"/>
    <s v="Electronic Check"/>
    <s v="Adult"/>
    <n v="23.36"/>
    <n v="809.52"/>
    <x v="1"/>
    <x v="2"/>
    <n v="1"/>
  </r>
  <r>
    <s v="CUST0401"/>
    <s v="Female"/>
    <n v="32"/>
    <n v="1"/>
    <x v="2"/>
    <s v="Electronic Check"/>
    <s v="Adult"/>
    <n v="91.93"/>
    <n v="87.08"/>
    <x v="0"/>
    <x v="3"/>
    <n v="0"/>
  </r>
  <r>
    <s v="CUST0402"/>
    <s v="Female"/>
    <n v="50"/>
    <n v="19"/>
    <x v="2"/>
    <s v="Credit Card"/>
    <s v="Senior"/>
    <n v="87.66"/>
    <n v="1546.8"/>
    <x v="0"/>
    <x v="0"/>
    <n v="0"/>
  </r>
  <r>
    <s v="CUST0403"/>
    <s v="Male"/>
    <n v="42"/>
    <n v="31"/>
    <x v="0"/>
    <s v="Electronic Check"/>
    <s v="Adult"/>
    <n v="149.30000000000001"/>
    <n v="4337.1000000000004"/>
    <x v="0"/>
    <x v="2"/>
    <n v="0"/>
  </r>
  <r>
    <s v="CUST0404"/>
    <s v="Male"/>
    <n v="34"/>
    <n v="14"/>
    <x v="1"/>
    <s v="Credit Card"/>
    <s v="Adult"/>
    <n v="46.24"/>
    <n v="606.20000000000005"/>
    <x v="0"/>
    <x v="0"/>
    <n v="0"/>
  </r>
  <r>
    <s v="CUST0405"/>
    <s v="Female"/>
    <n v="50"/>
    <n v="53"/>
    <x v="0"/>
    <s v="UPI"/>
    <s v="Senior"/>
    <n v="53.55"/>
    <n v="2845.45"/>
    <x v="0"/>
    <x v="1"/>
    <n v="0"/>
  </r>
  <r>
    <s v="CUST0406"/>
    <s v="Female"/>
    <n v="64"/>
    <n v="48"/>
    <x v="0"/>
    <s v="UPI"/>
    <s v="Senior"/>
    <n v="34.76"/>
    <n v="1783.54"/>
    <x v="0"/>
    <x v="2"/>
    <n v="0"/>
  </r>
  <r>
    <s v="CUST0407"/>
    <s v="Female"/>
    <n v="19"/>
    <n v="69"/>
    <x v="0"/>
    <s v="Bank Transfer"/>
    <s v="Young"/>
    <n v="139.28"/>
    <n v="8802.2900000000009"/>
    <x v="1"/>
    <x v="1"/>
    <n v="1"/>
  </r>
  <r>
    <s v="CUST0408"/>
    <s v="Female"/>
    <n v="31"/>
    <n v="62"/>
    <x v="0"/>
    <s v="UPI"/>
    <s v="Adult"/>
    <n v="121.12"/>
    <n v="7820.27"/>
    <x v="0"/>
    <x v="1"/>
    <n v="0"/>
  </r>
  <r>
    <s v="CUST0409"/>
    <s v="Female"/>
    <n v="70"/>
    <n v="66"/>
    <x v="0"/>
    <s v="Bank Transfer"/>
    <s v="Senior"/>
    <n v="126.9"/>
    <n v="8633.94"/>
    <x v="0"/>
    <x v="1"/>
    <n v="0"/>
  </r>
  <r>
    <s v="CUST0410"/>
    <s v="Female"/>
    <n v="57"/>
    <n v="64"/>
    <x v="0"/>
    <s v="Credit Card"/>
    <s v="Senior"/>
    <n v="137.36000000000001"/>
    <n v="9446.01"/>
    <x v="0"/>
    <x v="1"/>
    <n v="0"/>
  </r>
  <r>
    <s v="CUST0411"/>
    <s v="Male"/>
    <n v="57"/>
    <n v="70"/>
    <x v="0"/>
    <s v="Electronic Check"/>
    <s v="Senior"/>
    <n v="88.24"/>
    <n v="5860.73"/>
    <x v="0"/>
    <x v="1"/>
    <n v="0"/>
  </r>
  <r>
    <s v="CUST0412"/>
    <s v="Female"/>
    <n v="68"/>
    <n v="63"/>
    <x v="2"/>
    <s v="Credit Card"/>
    <s v="Senior"/>
    <n v="78.66"/>
    <n v="4906.13"/>
    <x v="0"/>
    <x v="1"/>
    <n v="0"/>
  </r>
  <r>
    <s v="CUST0413"/>
    <s v="Female"/>
    <n v="56"/>
    <n v="33"/>
    <x v="0"/>
    <s v="Bank Transfer"/>
    <s v="Senior"/>
    <n v="62.95"/>
    <n v="2254.27"/>
    <x v="1"/>
    <x v="2"/>
    <n v="1"/>
  </r>
  <r>
    <s v="CUST0414"/>
    <s v="Male"/>
    <n v="68"/>
    <n v="41"/>
    <x v="2"/>
    <s v="Credit Card"/>
    <s v="Senior"/>
    <n v="96.6"/>
    <n v="4087.33"/>
    <x v="0"/>
    <x v="2"/>
    <n v="0"/>
  </r>
  <r>
    <s v="CUST0415"/>
    <s v="Male"/>
    <n v="23"/>
    <n v="48"/>
    <x v="1"/>
    <s v="Bank Transfer"/>
    <s v="Young"/>
    <n v="79.06"/>
    <n v="3710.46"/>
    <x v="0"/>
    <x v="2"/>
    <n v="0"/>
  </r>
  <r>
    <s v="CUST0416"/>
    <s v="Male"/>
    <n v="23"/>
    <n v="13"/>
    <x v="0"/>
    <s v="Electronic Check"/>
    <s v="Young"/>
    <n v="78.7"/>
    <n v="947.68"/>
    <x v="0"/>
    <x v="0"/>
    <n v="0"/>
  </r>
  <r>
    <s v="CUST0417"/>
    <s v="Male"/>
    <n v="20"/>
    <n v="31"/>
    <x v="0"/>
    <s v="Bank Transfer"/>
    <s v="Young"/>
    <n v="141.80000000000001"/>
    <n v="4186.99"/>
    <x v="0"/>
    <x v="2"/>
    <n v="0"/>
  </r>
  <r>
    <s v="CUST0418"/>
    <s v="Female"/>
    <n v="24"/>
    <n v="68"/>
    <x v="0"/>
    <s v="UPI"/>
    <s v="Young"/>
    <n v="147.91999999999999"/>
    <n v="10221.94"/>
    <x v="0"/>
    <x v="1"/>
    <n v="0"/>
  </r>
  <r>
    <s v="CUST0419"/>
    <s v="Female"/>
    <n v="68"/>
    <n v="4"/>
    <x v="0"/>
    <s v="Bank Transfer"/>
    <s v="Senior"/>
    <n v="123.54"/>
    <n v="515.72"/>
    <x v="1"/>
    <x v="3"/>
    <n v="1"/>
  </r>
  <r>
    <s v="CUST0420"/>
    <s v="Female"/>
    <n v="25"/>
    <n v="19"/>
    <x v="0"/>
    <s v="UPI"/>
    <s v="Young"/>
    <n v="118.38"/>
    <n v="2080.27"/>
    <x v="0"/>
    <x v="0"/>
    <n v="0"/>
  </r>
  <r>
    <s v="CUST0421"/>
    <s v="Female"/>
    <n v="59"/>
    <n v="70"/>
    <x v="2"/>
    <s v="UPI"/>
    <s v="Senior"/>
    <n v="108.47"/>
    <n v="7744.15"/>
    <x v="0"/>
    <x v="1"/>
    <n v="0"/>
  </r>
  <r>
    <s v="CUST0422"/>
    <s v="Female"/>
    <n v="69"/>
    <n v="13"/>
    <x v="2"/>
    <s v="UPI"/>
    <s v="Senior"/>
    <n v="41.59"/>
    <n v="546.11"/>
    <x v="0"/>
    <x v="0"/>
    <n v="0"/>
  </r>
  <r>
    <s v="CUST0423"/>
    <s v="Female"/>
    <n v="32"/>
    <n v="23"/>
    <x v="0"/>
    <s v="UPI"/>
    <s v="Adult"/>
    <n v="27.68"/>
    <n v="638.41999999999996"/>
    <x v="0"/>
    <x v="0"/>
    <n v="0"/>
  </r>
  <r>
    <s v="CUST0424"/>
    <s v="Male"/>
    <n v="64"/>
    <n v="1"/>
    <x v="1"/>
    <s v="UPI"/>
    <s v="Senior"/>
    <n v="109.79"/>
    <n v="113.96"/>
    <x v="0"/>
    <x v="3"/>
    <n v="0"/>
  </r>
  <r>
    <s v="CUST0425"/>
    <s v="Female"/>
    <n v="46"/>
    <n v="54"/>
    <x v="0"/>
    <s v="Bank Transfer"/>
    <s v="Adult"/>
    <n v="114.74"/>
    <n v="6614.12"/>
    <x v="0"/>
    <x v="1"/>
    <n v="0"/>
  </r>
  <r>
    <s v="CUST0426"/>
    <s v="Male"/>
    <n v="50"/>
    <n v="71"/>
    <x v="1"/>
    <s v="Electronic Check"/>
    <s v="Senior"/>
    <n v="26.11"/>
    <n v="1788.18"/>
    <x v="1"/>
    <x v="1"/>
    <n v="1"/>
  </r>
  <r>
    <s v="CUST0427"/>
    <s v="Male"/>
    <n v="69"/>
    <n v="15"/>
    <x v="2"/>
    <s v="Credit Card"/>
    <s v="Senior"/>
    <n v="140.65"/>
    <n v="2273.89"/>
    <x v="0"/>
    <x v="0"/>
    <n v="0"/>
  </r>
  <r>
    <s v="CUST0428"/>
    <s v="Female"/>
    <n v="47"/>
    <n v="65"/>
    <x v="2"/>
    <s v="Credit Card"/>
    <s v="Adult"/>
    <n v="31.85"/>
    <n v="1929.74"/>
    <x v="0"/>
    <x v="1"/>
    <n v="0"/>
  </r>
  <r>
    <s v="CUST0429"/>
    <s v="Male"/>
    <n v="56"/>
    <n v="71"/>
    <x v="0"/>
    <s v="Electronic Check"/>
    <s v="Senior"/>
    <n v="57.17"/>
    <n v="3793.63"/>
    <x v="0"/>
    <x v="1"/>
    <n v="0"/>
  </r>
  <r>
    <s v="CUST0430"/>
    <s v="Female"/>
    <n v="44"/>
    <n v="15"/>
    <x v="0"/>
    <s v="Electronic Check"/>
    <s v="Adult"/>
    <n v="107.41"/>
    <n v="1536"/>
    <x v="1"/>
    <x v="0"/>
    <n v="1"/>
  </r>
  <r>
    <s v="CUST0431"/>
    <s v="Male"/>
    <n v="53"/>
    <n v="21"/>
    <x v="1"/>
    <s v="UPI"/>
    <s v="Senior"/>
    <n v="42.08"/>
    <n v="816.44"/>
    <x v="0"/>
    <x v="0"/>
    <n v="0"/>
  </r>
  <r>
    <s v="CUST0432"/>
    <s v="Female"/>
    <n v="46"/>
    <n v="19"/>
    <x v="0"/>
    <s v="UPI"/>
    <s v="Adult"/>
    <n v="27.2"/>
    <n v="488.93"/>
    <x v="1"/>
    <x v="0"/>
    <n v="1"/>
  </r>
  <r>
    <s v="CUST0433"/>
    <s v="Male"/>
    <n v="55"/>
    <n v="60"/>
    <x v="1"/>
    <s v="UPI"/>
    <s v="Senior"/>
    <n v="63.05"/>
    <n v="3485.21"/>
    <x v="1"/>
    <x v="1"/>
    <n v="1"/>
  </r>
  <r>
    <s v="CUST0434"/>
    <s v="Female"/>
    <n v="50"/>
    <n v="33"/>
    <x v="0"/>
    <s v="Credit Card"/>
    <s v="Senior"/>
    <n v="119.58"/>
    <n v="4200.08"/>
    <x v="1"/>
    <x v="2"/>
    <n v="1"/>
  </r>
  <r>
    <s v="CUST0435"/>
    <s v="Female"/>
    <n v="54"/>
    <n v="49"/>
    <x v="0"/>
    <s v="Electronic Check"/>
    <s v="Senior"/>
    <n v="73.78"/>
    <n v="3354.18"/>
    <x v="0"/>
    <x v="1"/>
    <n v="0"/>
  </r>
  <r>
    <s v="CUST0436"/>
    <s v="Female"/>
    <n v="44"/>
    <n v="35"/>
    <x v="0"/>
    <s v="Electronic Check"/>
    <s v="Adult"/>
    <n v="104.89"/>
    <n v="3852.72"/>
    <x v="0"/>
    <x v="2"/>
    <n v="0"/>
  </r>
  <r>
    <s v="CUST0437"/>
    <s v="Female"/>
    <n v="50"/>
    <n v="44"/>
    <x v="0"/>
    <s v="Electronic Check"/>
    <s v="Senior"/>
    <n v="95.35"/>
    <n v="3816.06"/>
    <x v="0"/>
    <x v="2"/>
    <n v="0"/>
  </r>
  <r>
    <s v="CUST0438"/>
    <s v="Female"/>
    <n v="21"/>
    <n v="11"/>
    <x v="1"/>
    <s v="Electronic Check"/>
    <s v="Young"/>
    <n v="22.89"/>
    <n v="274.38"/>
    <x v="0"/>
    <x v="3"/>
    <n v="0"/>
  </r>
  <r>
    <s v="CUST0439"/>
    <s v="Male"/>
    <n v="39"/>
    <n v="72"/>
    <x v="0"/>
    <s v="Electronic Check"/>
    <s v="Adult"/>
    <n v="148.51"/>
    <n v="11144.3"/>
    <x v="1"/>
    <x v="1"/>
    <n v="1"/>
  </r>
  <r>
    <s v="CUST0440"/>
    <s v="Male"/>
    <n v="19"/>
    <n v="66"/>
    <x v="0"/>
    <s v="UPI"/>
    <s v="Young"/>
    <n v="25.39"/>
    <n v="1510.44"/>
    <x v="0"/>
    <x v="1"/>
    <n v="0"/>
  </r>
  <r>
    <s v="CUST0441"/>
    <s v="Male"/>
    <n v="27"/>
    <n v="46"/>
    <x v="0"/>
    <s v="Bank Transfer"/>
    <s v="Young"/>
    <n v="145.81"/>
    <n v="7061.21"/>
    <x v="1"/>
    <x v="2"/>
    <n v="1"/>
  </r>
  <r>
    <s v="CUST0442"/>
    <s v="Female"/>
    <n v="22"/>
    <n v="9"/>
    <x v="0"/>
    <s v="Electronic Check"/>
    <s v="Young"/>
    <n v="91.48"/>
    <n v="825.64"/>
    <x v="1"/>
    <x v="3"/>
    <n v="1"/>
  </r>
  <r>
    <s v="CUST0443"/>
    <s v="Male"/>
    <n v="27"/>
    <n v="3"/>
    <x v="0"/>
    <s v="Electronic Check"/>
    <s v="Young"/>
    <n v="145.21"/>
    <n v="459.97"/>
    <x v="0"/>
    <x v="3"/>
    <n v="0"/>
  </r>
  <r>
    <s v="CUST0444"/>
    <s v="Female"/>
    <n v="50"/>
    <n v="26"/>
    <x v="0"/>
    <s v="Credit Card"/>
    <s v="Senior"/>
    <n v="34.92"/>
    <n v="912.01"/>
    <x v="1"/>
    <x v="2"/>
    <n v="1"/>
  </r>
  <r>
    <s v="CUST0445"/>
    <s v="Female"/>
    <n v="55"/>
    <n v="72"/>
    <x v="1"/>
    <s v="Electronic Check"/>
    <s v="Senior"/>
    <n v="83.07"/>
    <n v="6200.08"/>
    <x v="0"/>
    <x v="1"/>
    <n v="0"/>
  </r>
  <r>
    <s v="CUST0446"/>
    <s v="Male"/>
    <n v="30"/>
    <n v="48"/>
    <x v="0"/>
    <s v="UPI"/>
    <s v="Adult"/>
    <n v="42.04"/>
    <n v="2133.48"/>
    <x v="0"/>
    <x v="2"/>
    <n v="0"/>
  </r>
  <r>
    <s v="CUST0447"/>
    <s v="Male"/>
    <n v="48"/>
    <n v="66"/>
    <x v="0"/>
    <s v="Credit Card"/>
    <s v="Adult"/>
    <n v="26.63"/>
    <n v="1724.22"/>
    <x v="0"/>
    <x v="1"/>
    <n v="0"/>
  </r>
  <r>
    <s v="CUST0448"/>
    <s v="Female"/>
    <n v="64"/>
    <n v="70"/>
    <x v="0"/>
    <s v="Credit Card"/>
    <s v="Senior"/>
    <n v="100.28"/>
    <n v="6321.44"/>
    <x v="0"/>
    <x v="1"/>
    <n v="0"/>
  </r>
  <r>
    <s v="CUST0449"/>
    <s v="Male"/>
    <n v="53"/>
    <n v="28"/>
    <x v="0"/>
    <s v="Credit Card"/>
    <s v="Senior"/>
    <n v="47.01"/>
    <n v="1408.41"/>
    <x v="1"/>
    <x v="2"/>
    <n v="1"/>
  </r>
  <r>
    <s v="CUST0450"/>
    <s v="Female"/>
    <n v="62"/>
    <n v="26"/>
    <x v="1"/>
    <s v="Electronic Check"/>
    <s v="Senior"/>
    <n v="96.4"/>
    <n v="2446.69"/>
    <x v="0"/>
    <x v="2"/>
    <n v="0"/>
  </r>
  <r>
    <s v="CUST0451"/>
    <s v="Female"/>
    <n v="41"/>
    <n v="25"/>
    <x v="0"/>
    <s v="Bank Transfer"/>
    <s v="Adult"/>
    <n v="34.61"/>
    <n v="864.57"/>
    <x v="0"/>
    <x v="2"/>
    <n v="0"/>
  </r>
  <r>
    <s v="CUST0452"/>
    <s v="Female"/>
    <n v="69"/>
    <n v="12"/>
    <x v="0"/>
    <s v="Bank Transfer"/>
    <s v="Senior"/>
    <n v="63.16"/>
    <n v="683.31"/>
    <x v="0"/>
    <x v="3"/>
    <n v="0"/>
  </r>
  <r>
    <s v="CUST0453"/>
    <s v="Female"/>
    <n v="32"/>
    <n v="5"/>
    <x v="2"/>
    <s v="Bank Transfer"/>
    <s v="Adult"/>
    <n v="121.61"/>
    <n v="607.09"/>
    <x v="1"/>
    <x v="3"/>
    <n v="1"/>
  </r>
  <r>
    <s v="CUST0454"/>
    <s v="Female"/>
    <n v="46"/>
    <n v="48"/>
    <x v="0"/>
    <s v="Electronic Check"/>
    <s v="Adult"/>
    <n v="76.819999999999993"/>
    <n v="4046.13"/>
    <x v="0"/>
    <x v="2"/>
    <n v="0"/>
  </r>
  <r>
    <s v="CUST0455"/>
    <s v="Male"/>
    <n v="25"/>
    <n v="37"/>
    <x v="0"/>
    <s v="Unknown"/>
    <s v="Young"/>
    <n v="101.61"/>
    <n v="3592.85"/>
    <x v="0"/>
    <x v="2"/>
    <n v="0"/>
  </r>
  <r>
    <s v="CUST0456"/>
    <s v="Male"/>
    <n v="22"/>
    <n v="44"/>
    <x v="1"/>
    <s v="Credit Card"/>
    <s v="Young"/>
    <n v="104.17"/>
    <n v="4487.6099999999997"/>
    <x v="0"/>
    <x v="2"/>
    <n v="0"/>
  </r>
  <r>
    <s v="CUST0457"/>
    <s v="Female"/>
    <n v="46"/>
    <n v="15"/>
    <x v="2"/>
    <s v="UPI"/>
    <s v="Adult"/>
    <n v="129.69"/>
    <n v="2018.18"/>
    <x v="0"/>
    <x v="0"/>
    <n v="0"/>
  </r>
  <r>
    <s v="CUST0458"/>
    <s v="Female"/>
    <n v="64"/>
    <n v="43"/>
    <x v="1"/>
    <s v="Credit Card"/>
    <s v="Senior"/>
    <n v="62.24"/>
    <n v="2844.82"/>
    <x v="0"/>
    <x v="2"/>
    <n v="0"/>
  </r>
  <r>
    <s v="CUST0459"/>
    <s v="Male"/>
    <n v="21"/>
    <n v="48"/>
    <x v="0"/>
    <s v="Credit Card"/>
    <s v="Young"/>
    <n v="109.35"/>
    <n v="5162.08"/>
    <x v="0"/>
    <x v="2"/>
    <n v="0"/>
  </r>
  <r>
    <s v="CUST0460"/>
    <s v="Male"/>
    <n v="29"/>
    <n v="70"/>
    <x v="0"/>
    <s v="Bank Transfer"/>
    <s v="Young"/>
    <n v="145.01"/>
    <n v="9764.2999999999993"/>
    <x v="0"/>
    <x v="1"/>
    <n v="0"/>
  </r>
  <r>
    <s v="CUST0461"/>
    <s v="Female"/>
    <n v="62"/>
    <n v="46"/>
    <x v="0"/>
    <s v="Bank Transfer"/>
    <s v="Senior"/>
    <n v="114.93"/>
    <n v="5749.72"/>
    <x v="1"/>
    <x v="2"/>
    <n v="1"/>
  </r>
  <r>
    <s v="CUST0462"/>
    <s v="Male"/>
    <n v="19"/>
    <n v="43"/>
    <x v="0"/>
    <s v="Credit Card"/>
    <s v="Young"/>
    <n v="83.68"/>
    <n v="3725.72"/>
    <x v="0"/>
    <x v="2"/>
    <n v="0"/>
  </r>
  <r>
    <s v="CUST0463"/>
    <s v="Female"/>
    <n v="44"/>
    <n v="21"/>
    <x v="1"/>
    <s v="Credit Card"/>
    <s v="Adult"/>
    <n v="101.99"/>
    <n v="1978.59"/>
    <x v="0"/>
    <x v="0"/>
    <n v="0"/>
  </r>
  <r>
    <s v="CUST0464"/>
    <s v="Male"/>
    <n v="48"/>
    <n v="23"/>
    <x v="0"/>
    <s v="Credit Card"/>
    <s v="Adult"/>
    <n v="116.16"/>
    <n v="2441.34"/>
    <x v="1"/>
    <x v="0"/>
    <n v="1"/>
  </r>
  <r>
    <s v="CUST0465"/>
    <s v="Female"/>
    <n v="68"/>
    <n v="47"/>
    <x v="1"/>
    <s v="UPI"/>
    <s v="Senior"/>
    <n v="99.6"/>
    <n v="4665.8"/>
    <x v="0"/>
    <x v="2"/>
    <n v="0"/>
  </r>
  <r>
    <s v="CUST0466"/>
    <s v="Male"/>
    <n v="68"/>
    <n v="15"/>
    <x v="2"/>
    <s v="Credit Card"/>
    <s v="Senior"/>
    <n v="22.17"/>
    <n v="313.93"/>
    <x v="0"/>
    <x v="0"/>
    <n v="0"/>
  </r>
  <r>
    <s v="CUST0467"/>
    <s v="Female"/>
    <n v="53"/>
    <n v="25"/>
    <x v="0"/>
    <s v="UPI"/>
    <s v="Senior"/>
    <n v="45.32"/>
    <n v="1077.25"/>
    <x v="0"/>
    <x v="2"/>
    <n v="0"/>
  </r>
  <r>
    <s v="CUST0468"/>
    <s v="Male"/>
    <n v="53"/>
    <n v="36"/>
    <x v="0"/>
    <s v="Credit Card"/>
    <s v="Senior"/>
    <n v="125.36"/>
    <n v="4853.8599999999997"/>
    <x v="1"/>
    <x v="2"/>
    <n v="1"/>
  </r>
  <r>
    <s v="CUST0469"/>
    <s v="Male"/>
    <n v="43"/>
    <n v="51"/>
    <x v="2"/>
    <s v="UPI"/>
    <s v="Adult"/>
    <n v="55.44"/>
    <n v="2595.34"/>
    <x v="0"/>
    <x v="1"/>
    <n v="0"/>
  </r>
  <r>
    <s v="CUST0470"/>
    <s v="Female"/>
    <n v="60"/>
    <n v="15"/>
    <x v="0"/>
    <s v="UPI"/>
    <s v="Senior"/>
    <n v="115.1"/>
    <n v="1800.87"/>
    <x v="1"/>
    <x v="0"/>
    <n v="1"/>
  </r>
  <r>
    <s v="CUST0471"/>
    <s v="Male"/>
    <n v="44"/>
    <n v="68"/>
    <x v="1"/>
    <s v="Credit Card"/>
    <s v="Adult"/>
    <n v="68.38"/>
    <n v="4437.01"/>
    <x v="1"/>
    <x v="1"/>
    <n v="1"/>
  </r>
  <r>
    <s v="CUST0472"/>
    <s v="Female"/>
    <n v="22"/>
    <n v="21"/>
    <x v="0"/>
    <s v="UPI"/>
    <s v="Young"/>
    <n v="87.84"/>
    <n v="1940.68"/>
    <x v="1"/>
    <x v="0"/>
    <n v="1"/>
  </r>
  <r>
    <s v="CUST0473"/>
    <s v="Male"/>
    <n v="37"/>
    <n v="13"/>
    <x v="0"/>
    <s v="Electronic Check"/>
    <s v="Adult"/>
    <n v="28.84"/>
    <n v="391.6"/>
    <x v="0"/>
    <x v="0"/>
    <n v="0"/>
  </r>
  <r>
    <s v="CUST0474"/>
    <s v="Female"/>
    <n v="28"/>
    <n v="19"/>
    <x v="2"/>
    <s v="UPI"/>
    <s v="Young"/>
    <n v="43.56"/>
    <n v="746.1"/>
    <x v="0"/>
    <x v="0"/>
    <n v="0"/>
  </r>
  <r>
    <s v="CUST0475"/>
    <s v="Male"/>
    <n v="27"/>
    <n v="34"/>
    <x v="1"/>
    <s v="Bank Transfer"/>
    <s v="Young"/>
    <n v="144.44"/>
    <n v="4919.93"/>
    <x v="1"/>
    <x v="2"/>
    <n v="1"/>
  </r>
  <r>
    <s v="CUST0476"/>
    <s v="Female"/>
    <n v="57"/>
    <n v="68"/>
    <x v="0"/>
    <s v="Electronic Check"/>
    <s v="Senior"/>
    <n v="135.72"/>
    <n v="8563.2199999999993"/>
    <x v="0"/>
    <x v="1"/>
    <n v="0"/>
  </r>
  <r>
    <s v="CUST0477"/>
    <s v="Male"/>
    <n v="55"/>
    <n v="52"/>
    <x v="1"/>
    <s v="Bank Transfer"/>
    <s v="Senior"/>
    <n v="104.8"/>
    <n v="5848.76"/>
    <x v="0"/>
    <x v="1"/>
    <n v="0"/>
  </r>
  <r>
    <s v="CUST0478"/>
    <s v="Female"/>
    <n v="23"/>
    <n v="27"/>
    <x v="0"/>
    <s v="UPI"/>
    <s v="Young"/>
    <n v="79.75"/>
    <n v="2313.27"/>
    <x v="0"/>
    <x v="2"/>
    <n v="0"/>
  </r>
  <r>
    <s v="CUST0479"/>
    <s v="Male"/>
    <n v="25"/>
    <n v="29"/>
    <x v="2"/>
    <s v="Electronic Check"/>
    <s v="Young"/>
    <n v="107.85"/>
    <n v="3076.57"/>
    <x v="0"/>
    <x v="2"/>
    <n v="0"/>
  </r>
  <r>
    <s v="CUST0480"/>
    <s v="Female"/>
    <n v="40"/>
    <n v="28"/>
    <x v="2"/>
    <s v="Credit Card"/>
    <s v="Adult"/>
    <n v="100.42"/>
    <n v="2780.49"/>
    <x v="0"/>
    <x v="2"/>
    <n v="0"/>
  </r>
  <r>
    <s v="CUST0481"/>
    <s v="Female"/>
    <n v="64"/>
    <n v="35"/>
    <x v="0"/>
    <s v="Bank Transfer"/>
    <s v="Senior"/>
    <n v="93.91"/>
    <n v="3157.53"/>
    <x v="0"/>
    <x v="2"/>
    <n v="0"/>
  </r>
  <r>
    <s v="CUST0482"/>
    <s v="Female"/>
    <n v="43"/>
    <n v="8"/>
    <x v="0"/>
    <s v="UPI"/>
    <s v="Adult"/>
    <n v="27.69"/>
    <n v="231.12"/>
    <x v="0"/>
    <x v="3"/>
    <n v="0"/>
  </r>
  <r>
    <s v="CUST0483"/>
    <s v="Male"/>
    <n v="63"/>
    <n v="16"/>
    <x v="2"/>
    <s v="Credit Card"/>
    <s v="Senior"/>
    <n v="102.26"/>
    <n v="1589.91"/>
    <x v="0"/>
    <x v="0"/>
    <n v="0"/>
  </r>
  <r>
    <s v="CUST0484"/>
    <s v="Female"/>
    <n v="60"/>
    <n v="36"/>
    <x v="0"/>
    <s v="Electronic Check"/>
    <s v="Senior"/>
    <n v="119.96"/>
    <n v="4118"/>
    <x v="0"/>
    <x v="2"/>
    <n v="0"/>
  </r>
  <r>
    <s v="CUST0485"/>
    <s v="Male"/>
    <n v="29"/>
    <n v="30"/>
    <x v="2"/>
    <s v="Electronic Check"/>
    <s v="Young"/>
    <n v="149.22999999999999"/>
    <n v="4416.22"/>
    <x v="0"/>
    <x v="2"/>
    <n v="0"/>
  </r>
  <r>
    <s v="CUST0486"/>
    <s v="Female"/>
    <n v="43"/>
    <n v="18"/>
    <x v="0"/>
    <s v="Credit Card"/>
    <s v="Adult"/>
    <n v="21.44"/>
    <n v="354.39"/>
    <x v="0"/>
    <x v="0"/>
    <n v="0"/>
  </r>
  <r>
    <s v="CUST0487"/>
    <s v="Male"/>
    <n v="30"/>
    <n v="2"/>
    <x v="1"/>
    <s v="Credit Card"/>
    <s v="Adult"/>
    <n v="114.92"/>
    <n v="241.18"/>
    <x v="1"/>
    <x v="3"/>
    <n v="1"/>
  </r>
  <r>
    <s v="CUST0488"/>
    <s v="Female"/>
    <n v="57"/>
    <n v="49"/>
    <x v="2"/>
    <s v="UPI"/>
    <s v="Senior"/>
    <n v="94.33"/>
    <n v="4171.6000000000004"/>
    <x v="0"/>
    <x v="1"/>
    <n v="0"/>
  </r>
  <r>
    <s v="CUST0489"/>
    <s v="Male"/>
    <n v="35"/>
    <n v="4"/>
    <x v="1"/>
    <s v="Electronic Check"/>
    <s v="Adult"/>
    <n v="76.430000000000007"/>
    <n v="314.55"/>
    <x v="0"/>
    <x v="3"/>
    <n v="0"/>
  </r>
  <r>
    <s v="CUST0490"/>
    <s v="Male"/>
    <n v="42"/>
    <n v="7"/>
    <x v="0"/>
    <s v="Bank Transfer"/>
    <s v="Adult"/>
    <n v="36.58"/>
    <n v="239.82"/>
    <x v="1"/>
    <x v="3"/>
    <n v="1"/>
  </r>
  <r>
    <s v="CUST0491"/>
    <s v="Female"/>
    <n v="50"/>
    <n v="39"/>
    <x v="2"/>
    <s v="Electronic Check"/>
    <s v="Senior"/>
    <n v="73.180000000000007"/>
    <n v="2701.28"/>
    <x v="0"/>
    <x v="2"/>
    <n v="0"/>
  </r>
  <r>
    <s v="CUST0492"/>
    <s v="Male"/>
    <n v="64"/>
    <n v="13"/>
    <x v="2"/>
    <s v="Electronic Check"/>
    <s v="Senior"/>
    <n v="66.069999999999993"/>
    <n v="882.21"/>
    <x v="0"/>
    <x v="0"/>
    <n v="0"/>
  </r>
  <r>
    <s v="CUST0493"/>
    <s v="Male"/>
    <n v="57"/>
    <n v="31"/>
    <x v="0"/>
    <s v="Credit Card"/>
    <s v="Senior"/>
    <n v="59.37"/>
    <n v="2021.92"/>
    <x v="0"/>
    <x v="2"/>
    <n v="0"/>
  </r>
  <r>
    <s v="CUST0494"/>
    <s v="Female"/>
    <n v="60"/>
    <n v="71"/>
    <x v="0"/>
    <s v="Credit Card"/>
    <s v="Senior"/>
    <n v="115.01"/>
    <n v="8619.26"/>
    <x v="0"/>
    <x v="1"/>
    <n v="0"/>
  </r>
  <r>
    <s v="CUST0495"/>
    <s v="Male"/>
    <n v="29"/>
    <n v="63"/>
    <x v="0"/>
    <s v="Bank Transfer"/>
    <s v="Young"/>
    <n v="111.09"/>
    <n v="6614.92"/>
    <x v="0"/>
    <x v="1"/>
    <n v="0"/>
  </r>
  <r>
    <s v="CUST0496"/>
    <s v="Male"/>
    <n v="61"/>
    <n v="56"/>
    <x v="2"/>
    <s v="UPI"/>
    <s v="Senior"/>
    <n v="96.57"/>
    <n v="5057.51"/>
    <x v="0"/>
    <x v="1"/>
    <n v="0"/>
  </r>
  <r>
    <s v="CUST0497"/>
    <s v="Male"/>
    <n v="53"/>
    <n v="42"/>
    <x v="0"/>
    <s v="Bank Transfer"/>
    <s v="Senior"/>
    <n v="142.03"/>
    <n v="6402.19"/>
    <x v="0"/>
    <x v="2"/>
    <n v="0"/>
  </r>
  <r>
    <s v="CUST0498"/>
    <s v="Female"/>
    <n v="65"/>
    <n v="61"/>
    <x v="0"/>
    <s v="UPI"/>
    <s v="Senior"/>
    <n v="65.48"/>
    <n v="3949.69"/>
    <x v="0"/>
    <x v="1"/>
    <n v="0"/>
  </r>
  <r>
    <s v="CUST0499"/>
    <s v="Male"/>
    <n v="21"/>
    <n v="42"/>
    <x v="2"/>
    <s v="UPI"/>
    <s v="Young"/>
    <n v="51.69"/>
    <n v="2013.39"/>
    <x v="0"/>
    <x v="2"/>
    <n v="0"/>
  </r>
  <r>
    <s v="CUST0500"/>
    <s v="Female"/>
    <n v="22"/>
    <n v="56"/>
    <x v="0"/>
    <s v="Credit Card"/>
    <s v="Young"/>
    <n v="105.27"/>
    <n v="6322.18"/>
    <x v="0"/>
    <x v="1"/>
    <n v="0"/>
  </r>
  <r>
    <s v="CUST0501"/>
    <s v="Male"/>
    <n v="54"/>
    <n v="36"/>
    <x v="0"/>
    <s v="UPI"/>
    <s v="Senior"/>
    <n v="45.85"/>
    <n v="1754.95"/>
    <x v="0"/>
    <x v="2"/>
    <n v="0"/>
  </r>
  <r>
    <s v="CUST0502"/>
    <s v="Male"/>
    <n v="25"/>
    <n v="68"/>
    <x v="1"/>
    <s v="Bank Transfer"/>
    <s v="Young"/>
    <n v="60.95"/>
    <n v="4545.72"/>
    <x v="0"/>
    <x v="1"/>
    <n v="0"/>
  </r>
  <r>
    <s v="CUST0503"/>
    <s v="Male"/>
    <n v="59"/>
    <n v="7"/>
    <x v="1"/>
    <s v="Electronic Check"/>
    <s v="Senior"/>
    <n v="49.2"/>
    <n v="372.62"/>
    <x v="0"/>
    <x v="3"/>
    <n v="0"/>
  </r>
  <r>
    <s v="CUST0504"/>
    <s v="Female"/>
    <n v="66"/>
    <n v="54"/>
    <x v="0"/>
    <s v="Bank Transfer"/>
    <s v="Senior"/>
    <n v="28.99"/>
    <n v="1675.6"/>
    <x v="1"/>
    <x v="1"/>
    <n v="1"/>
  </r>
  <r>
    <s v="CUST0505"/>
    <s v="Male"/>
    <n v="45"/>
    <n v="1"/>
    <x v="0"/>
    <s v="Electronic Check"/>
    <s v="Adult"/>
    <n v="127.57"/>
    <n v="116.15"/>
    <x v="1"/>
    <x v="3"/>
    <n v="1"/>
  </r>
  <r>
    <s v="CUST0506"/>
    <s v="Male"/>
    <n v="48"/>
    <n v="44"/>
    <x v="2"/>
    <s v="Credit Card"/>
    <s v="Adult"/>
    <n v="53.09"/>
    <n v="2151.15"/>
    <x v="0"/>
    <x v="2"/>
    <n v="0"/>
  </r>
  <r>
    <s v="CUST0507"/>
    <s v="Female"/>
    <n v="26"/>
    <n v="45"/>
    <x v="0"/>
    <s v="Bank Transfer"/>
    <s v="Young"/>
    <n v="81.489999999999995"/>
    <n v="3717.64"/>
    <x v="0"/>
    <x v="2"/>
    <n v="0"/>
  </r>
  <r>
    <s v="CUST0508"/>
    <s v="Male"/>
    <n v="68"/>
    <n v="47"/>
    <x v="0"/>
    <s v="Electronic Check"/>
    <s v="Senior"/>
    <n v="25.63"/>
    <n v="1212.19"/>
    <x v="1"/>
    <x v="2"/>
    <n v="1"/>
  </r>
  <r>
    <s v="CUST0509"/>
    <s v="Female"/>
    <n v="46"/>
    <n v="13"/>
    <x v="0"/>
    <s v="Electronic Check"/>
    <s v="Adult"/>
    <n v="110.91"/>
    <n v="1429.71"/>
    <x v="1"/>
    <x v="0"/>
    <n v="1"/>
  </r>
  <r>
    <s v="CUST0510"/>
    <s v="Female"/>
    <n v="31"/>
    <n v="22"/>
    <x v="0"/>
    <s v="UPI"/>
    <s v="Adult"/>
    <n v="62.97"/>
    <n v="1356.74"/>
    <x v="1"/>
    <x v="0"/>
    <n v="1"/>
  </r>
  <r>
    <s v="CUST0511"/>
    <s v="Male"/>
    <n v="57"/>
    <n v="21"/>
    <x v="2"/>
    <s v="Bank Transfer"/>
    <s v="Senior"/>
    <n v="116.82"/>
    <n v="2419.4699999999998"/>
    <x v="0"/>
    <x v="0"/>
    <n v="0"/>
  </r>
  <r>
    <s v="CUST0512"/>
    <s v="Female"/>
    <n v="58"/>
    <n v="9"/>
    <x v="0"/>
    <s v="Electronic Check"/>
    <s v="Senior"/>
    <n v="73.61"/>
    <n v="671.67"/>
    <x v="1"/>
    <x v="3"/>
    <n v="1"/>
  </r>
  <r>
    <s v="CUST0513"/>
    <s v="Male"/>
    <n v="39"/>
    <n v="26"/>
    <x v="2"/>
    <s v="Bank Transfer"/>
    <s v="Adult"/>
    <n v="45.45"/>
    <n v="1064.02"/>
    <x v="0"/>
    <x v="2"/>
    <n v="0"/>
  </r>
  <r>
    <s v="CUST0514"/>
    <s v="Female"/>
    <n v="28"/>
    <n v="9"/>
    <x v="1"/>
    <s v="Credit Card"/>
    <s v="Young"/>
    <n v="86.71"/>
    <n v="743.04"/>
    <x v="0"/>
    <x v="3"/>
    <n v="0"/>
  </r>
  <r>
    <s v="CUST0515"/>
    <s v="Female"/>
    <n v="40"/>
    <n v="15"/>
    <x v="0"/>
    <s v="Credit Card"/>
    <s v="Adult"/>
    <n v="36.97"/>
    <n v="556.58000000000004"/>
    <x v="0"/>
    <x v="0"/>
    <n v="0"/>
  </r>
  <r>
    <s v="CUST0516"/>
    <s v="Male"/>
    <n v="18"/>
    <n v="10"/>
    <x v="2"/>
    <s v="UPI"/>
    <s v="Young"/>
    <n v="77.27"/>
    <n v="807.04"/>
    <x v="0"/>
    <x v="3"/>
    <n v="0"/>
  </r>
  <r>
    <s v="CUST0517"/>
    <s v="Female"/>
    <n v="63"/>
    <n v="42"/>
    <x v="1"/>
    <s v="Bank Transfer"/>
    <s v="Senior"/>
    <n v="61.25"/>
    <n v="2404.85"/>
    <x v="0"/>
    <x v="2"/>
    <n v="0"/>
  </r>
  <r>
    <s v="CUST0518"/>
    <s v="Female"/>
    <n v="54"/>
    <n v="72"/>
    <x v="0"/>
    <s v="Credit Card"/>
    <s v="Senior"/>
    <n v="138.55000000000001"/>
    <n v="10069.129999999999"/>
    <x v="0"/>
    <x v="1"/>
    <n v="0"/>
  </r>
  <r>
    <s v="CUST0519"/>
    <s v="Female"/>
    <n v="38"/>
    <n v="24"/>
    <x v="0"/>
    <s v="UPI"/>
    <s v="Adult"/>
    <n v="27.92"/>
    <n v="698.82"/>
    <x v="0"/>
    <x v="0"/>
    <n v="0"/>
  </r>
  <r>
    <s v="CUST0520"/>
    <s v="Female"/>
    <n v="43"/>
    <n v="49"/>
    <x v="2"/>
    <s v="UPI"/>
    <s v="Adult"/>
    <n v="110.22"/>
    <n v="5340.97"/>
    <x v="0"/>
    <x v="1"/>
    <n v="0"/>
  </r>
  <r>
    <s v="CUST0521"/>
    <s v="Female"/>
    <n v="63"/>
    <n v="26"/>
    <x v="2"/>
    <s v="Electronic Check"/>
    <s v="Senior"/>
    <n v="43.76"/>
    <n v="1030.1500000000001"/>
    <x v="0"/>
    <x v="2"/>
    <n v="0"/>
  </r>
  <r>
    <s v="CUST0522"/>
    <s v="Male"/>
    <n v="53"/>
    <n v="37"/>
    <x v="1"/>
    <s v="Electronic Check"/>
    <s v="Senior"/>
    <n v="61.48"/>
    <n v="2251.6799999999998"/>
    <x v="0"/>
    <x v="2"/>
    <n v="0"/>
  </r>
  <r>
    <s v="CUST0523"/>
    <s v="Female"/>
    <n v="40"/>
    <n v="68"/>
    <x v="0"/>
    <s v="Electronic Check"/>
    <s v="Adult"/>
    <n v="74.02"/>
    <n v="4828.45"/>
    <x v="1"/>
    <x v="1"/>
    <n v="1"/>
  </r>
  <r>
    <s v="CUST0524"/>
    <s v="Male"/>
    <n v="18"/>
    <n v="50"/>
    <x v="1"/>
    <s v="Bank Transfer"/>
    <s v="Young"/>
    <n v="138.04"/>
    <n v="7495.09"/>
    <x v="0"/>
    <x v="1"/>
    <n v="0"/>
  </r>
  <r>
    <s v="CUST0525"/>
    <s v="Female"/>
    <n v="68"/>
    <n v="24"/>
    <x v="0"/>
    <s v="Bank Transfer"/>
    <s v="Senior"/>
    <n v="51.54"/>
    <n v="1144.0899999999999"/>
    <x v="0"/>
    <x v="0"/>
    <n v="0"/>
  </r>
  <r>
    <s v="CUST0526"/>
    <s v="Male"/>
    <n v="57"/>
    <n v="19"/>
    <x v="0"/>
    <s v="Bank Transfer"/>
    <s v="Senior"/>
    <n v="31.87"/>
    <n v="624"/>
    <x v="0"/>
    <x v="0"/>
    <n v="0"/>
  </r>
  <r>
    <s v="CUST0527"/>
    <s v="Male"/>
    <n v="32"/>
    <n v="60"/>
    <x v="2"/>
    <s v="UPI"/>
    <s v="Adult"/>
    <n v="61.43"/>
    <n v="3356.08"/>
    <x v="0"/>
    <x v="1"/>
    <n v="0"/>
  </r>
  <r>
    <s v="CUST0528"/>
    <s v="Female"/>
    <n v="38"/>
    <n v="39"/>
    <x v="0"/>
    <s v="Bank Transfer"/>
    <s v="Adult"/>
    <n v="33.61"/>
    <n v="1296.68"/>
    <x v="0"/>
    <x v="2"/>
    <n v="0"/>
  </r>
  <r>
    <s v="CUST0529"/>
    <s v="Female"/>
    <n v="64"/>
    <n v="18"/>
    <x v="0"/>
    <s v="Electronic Check"/>
    <s v="Senior"/>
    <n v="36.72"/>
    <n v="668.1"/>
    <x v="0"/>
    <x v="0"/>
    <n v="0"/>
  </r>
  <r>
    <s v="CUST0530"/>
    <s v="Female"/>
    <n v="26"/>
    <n v="19"/>
    <x v="0"/>
    <s v="Electronic Check"/>
    <s v="Young"/>
    <n v="94.6"/>
    <n v="1724.77"/>
    <x v="1"/>
    <x v="0"/>
    <n v="1"/>
  </r>
  <r>
    <s v="CUST0531"/>
    <s v="Male"/>
    <n v="70"/>
    <n v="36"/>
    <x v="0"/>
    <s v="Credit Card"/>
    <s v="Senior"/>
    <n v="27.92"/>
    <n v="996.09"/>
    <x v="0"/>
    <x v="2"/>
    <n v="0"/>
  </r>
  <r>
    <s v="CUST0532"/>
    <s v="Female"/>
    <n v="26"/>
    <n v="55"/>
    <x v="0"/>
    <s v="Credit Card"/>
    <s v="Young"/>
    <n v="24.02"/>
    <n v="1232.2"/>
    <x v="1"/>
    <x v="1"/>
    <n v="1"/>
  </r>
  <r>
    <s v="CUST0533"/>
    <s v="Male"/>
    <n v="27"/>
    <n v="69"/>
    <x v="1"/>
    <s v="Bank Transfer"/>
    <s v="Young"/>
    <n v="112.87"/>
    <n v="7482.93"/>
    <x v="1"/>
    <x v="1"/>
    <n v="1"/>
  </r>
  <r>
    <s v="CUST0534"/>
    <s v="Male"/>
    <n v="69"/>
    <n v="47"/>
    <x v="0"/>
    <s v="UPI"/>
    <s v="Senior"/>
    <n v="67.010000000000005"/>
    <n v="3225.75"/>
    <x v="0"/>
    <x v="2"/>
    <n v="0"/>
  </r>
  <r>
    <s v="CUST0535"/>
    <s v="Male"/>
    <n v="70"/>
    <n v="49"/>
    <x v="2"/>
    <s v="Electronic Check"/>
    <s v="Senior"/>
    <n v="36.299999999999997"/>
    <n v="1708.19"/>
    <x v="0"/>
    <x v="1"/>
    <n v="0"/>
  </r>
  <r>
    <s v="CUST0536"/>
    <s v="Female"/>
    <n v="43"/>
    <n v="33"/>
    <x v="2"/>
    <s v="Credit Card"/>
    <s v="Adult"/>
    <n v="52.97"/>
    <n v="1887.76"/>
    <x v="0"/>
    <x v="2"/>
    <n v="0"/>
  </r>
  <r>
    <s v="CUST0537"/>
    <s v="Female"/>
    <n v="58"/>
    <n v="21"/>
    <x v="1"/>
    <s v="Bank Transfer"/>
    <s v="Senior"/>
    <n v="103.47"/>
    <n v="2228.67"/>
    <x v="0"/>
    <x v="0"/>
    <n v="0"/>
  </r>
  <r>
    <s v="CUST0538"/>
    <s v="Male"/>
    <n v="52"/>
    <n v="22"/>
    <x v="0"/>
    <s v="Credit Card"/>
    <s v="Senior"/>
    <n v="55.82"/>
    <n v="1212.97"/>
    <x v="0"/>
    <x v="0"/>
    <n v="0"/>
  </r>
  <r>
    <s v="CUST0539"/>
    <s v="Male"/>
    <n v="69"/>
    <n v="48"/>
    <x v="1"/>
    <s v="Electronic Check"/>
    <s v="Senior"/>
    <n v="84.29"/>
    <n v="3672.69"/>
    <x v="0"/>
    <x v="2"/>
    <n v="0"/>
  </r>
  <r>
    <s v="CUST0540"/>
    <s v="Female"/>
    <n v="42"/>
    <n v="37"/>
    <x v="0"/>
    <s v="Credit Card"/>
    <s v="Adult"/>
    <n v="35.82"/>
    <n v="1325.22"/>
    <x v="0"/>
    <x v="2"/>
    <n v="0"/>
  </r>
  <r>
    <s v="CUST0541"/>
    <s v="Male"/>
    <n v="43"/>
    <n v="15"/>
    <x v="2"/>
    <s v="Electronic Check"/>
    <s v="Adult"/>
    <n v="96.45"/>
    <n v="1523.36"/>
    <x v="0"/>
    <x v="0"/>
    <n v="0"/>
  </r>
  <r>
    <s v="CUST0542"/>
    <s v="Female"/>
    <n v="28"/>
    <n v="35"/>
    <x v="2"/>
    <s v="UPI"/>
    <s v="Young"/>
    <n v="61.09"/>
    <n v="2037.9"/>
    <x v="0"/>
    <x v="2"/>
    <n v="0"/>
  </r>
  <r>
    <s v="CUST0543"/>
    <s v="Male"/>
    <n v="55"/>
    <n v="71"/>
    <x v="1"/>
    <s v="Electronic Check"/>
    <s v="Senior"/>
    <n v="101.51"/>
    <n v="7649.41"/>
    <x v="0"/>
    <x v="1"/>
    <n v="0"/>
  </r>
  <r>
    <s v="CUST0544"/>
    <s v="Female"/>
    <n v="19"/>
    <n v="32"/>
    <x v="0"/>
    <s v="Credit Card"/>
    <s v="Young"/>
    <n v="125.09"/>
    <n v="3804.18"/>
    <x v="0"/>
    <x v="2"/>
    <n v="0"/>
  </r>
  <r>
    <s v="CUST0545"/>
    <s v="Male"/>
    <n v="24"/>
    <n v="11"/>
    <x v="2"/>
    <s v="Credit Card"/>
    <s v="Young"/>
    <n v="99.51"/>
    <n v="1165.49"/>
    <x v="0"/>
    <x v="3"/>
    <n v="0"/>
  </r>
  <r>
    <s v="CUST0546"/>
    <s v="Female"/>
    <n v="35"/>
    <n v="10"/>
    <x v="0"/>
    <s v="UPI"/>
    <s v="Adult"/>
    <n v="58.45"/>
    <n v="536.02"/>
    <x v="0"/>
    <x v="3"/>
    <n v="0"/>
  </r>
  <r>
    <s v="CUST0547"/>
    <s v="Male"/>
    <n v="44"/>
    <n v="57"/>
    <x v="2"/>
    <s v="Electronic Check"/>
    <s v="Adult"/>
    <n v="53.25"/>
    <n v="3257.54"/>
    <x v="1"/>
    <x v="1"/>
    <n v="1"/>
  </r>
  <r>
    <s v="CUST0548"/>
    <s v="Female"/>
    <n v="51"/>
    <n v="25"/>
    <x v="1"/>
    <s v="Electronic Check"/>
    <s v="Senior"/>
    <n v="62.56"/>
    <n v="1563.75"/>
    <x v="0"/>
    <x v="2"/>
    <n v="0"/>
  </r>
  <r>
    <s v="CUST0549"/>
    <s v="Female"/>
    <n v="44"/>
    <n v="2"/>
    <x v="0"/>
    <s v="Electronic Check"/>
    <s v="Adult"/>
    <n v="41.4"/>
    <n v="79.430000000000007"/>
    <x v="0"/>
    <x v="3"/>
    <n v="0"/>
  </r>
  <r>
    <s v="CUST0550"/>
    <s v="Male"/>
    <n v="34"/>
    <n v="64"/>
    <x v="1"/>
    <s v="Electronic Check"/>
    <s v="Adult"/>
    <n v="43.55"/>
    <n v="2656.26"/>
    <x v="0"/>
    <x v="1"/>
    <n v="0"/>
  </r>
  <r>
    <s v="CUST0551"/>
    <s v="Male"/>
    <n v="60"/>
    <n v="35"/>
    <x v="0"/>
    <s v="Electronic Check"/>
    <s v="Senior"/>
    <n v="122.79"/>
    <n v="4239.21"/>
    <x v="1"/>
    <x v="2"/>
    <n v="1"/>
  </r>
  <r>
    <s v="CUST0552"/>
    <s v="Female"/>
    <n v="61"/>
    <n v="7"/>
    <x v="0"/>
    <s v="Bank Transfer"/>
    <s v="Senior"/>
    <n v="70.02"/>
    <n v="539.05999999999995"/>
    <x v="1"/>
    <x v="3"/>
    <n v="1"/>
  </r>
  <r>
    <s v="CUST0553"/>
    <s v="Male"/>
    <n v="68"/>
    <n v="18"/>
    <x v="0"/>
    <s v="Electronic Check"/>
    <s v="Senior"/>
    <n v="76.680000000000007"/>
    <n v="1303.04"/>
    <x v="1"/>
    <x v="0"/>
    <n v="1"/>
  </r>
  <r>
    <s v="CUST0554"/>
    <s v="Female"/>
    <n v="41"/>
    <n v="67"/>
    <x v="0"/>
    <s v="Electronic Check"/>
    <s v="Adult"/>
    <n v="97.23"/>
    <n v="5997.45"/>
    <x v="0"/>
    <x v="1"/>
    <n v="0"/>
  </r>
  <r>
    <s v="CUST0555"/>
    <s v="Male"/>
    <n v="42"/>
    <n v="42"/>
    <x v="2"/>
    <s v="UPI"/>
    <s v="Adult"/>
    <n v="96.65"/>
    <n v="4128.34"/>
    <x v="0"/>
    <x v="2"/>
    <n v="0"/>
  </r>
  <r>
    <s v="CUST0556"/>
    <s v="Female"/>
    <n v="24"/>
    <n v="39"/>
    <x v="0"/>
    <s v="Credit Card"/>
    <s v="Young"/>
    <n v="28.76"/>
    <n v="1119.07"/>
    <x v="0"/>
    <x v="2"/>
    <n v="0"/>
  </r>
  <r>
    <s v="CUST0557"/>
    <s v="Female"/>
    <n v="69"/>
    <n v="41"/>
    <x v="0"/>
    <s v="Credit Card"/>
    <s v="Senior"/>
    <n v="128.1"/>
    <n v="5277.52"/>
    <x v="1"/>
    <x v="2"/>
    <n v="1"/>
  </r>
  <r>
    <s v="CUST0558"/>
    <s v="Female"/>
    <n v="23"/>
    <n v="24"/>
    <x v="1"/>
    <s v="Electronic Check"/>
    <s v="Young"/>
    <n v="43.05"/>
    <n v="1067.7"/>
    <x v="0"/>
    <x v="0"/>
    <n v="0"/>
  </r>
  <r>
    <s v="CUST0559"/>
    <s v="Female"/>
    <n v="70"/>
    <n v="60"/>
    <x v="1"/>
    <s v="UPI"/>
    <s v="Senior"/>
    <n v="114"/>
    <n v="6521.45"/>
    <x v="0"/>
    <x v="1"/>
    <n v="0"/>
  </r>
  <r>
    <s v="CUST0560"/>
    <s v="Female"/>
    <n v="41"/>
    <n v="46"/>
    <x v="1"/>
    <s v="Electronic Check"/>
    <s v="Adult"/>
    <n v="120.45"/>
    <n v="5995.77"/>
    <x v="0"/>
    <x v="2"/>
    <n v="0"/>
  </r>
  <r>
    <s v="CUST0561"/>
    <s v="Female"/>
    <n v="50"/>
    <n v="19"/>
    <x v="1"/>
    <s v="UPI"/>
    <s v="Senior"/>
    <n v="112.94"/>
    <n v="2118.25"/>
    <x v="0"/>
    <x v="0"/>
    <n v="0"/>
  </r>
  <r>
    <s v="CUST0562"/>
    <s v="Male"/>
    <n v="66"/>
    <n v="68"/>
    <x v="2"/>
    <s v="Bank Transfer"/>
    <s v="Senior"/>
    <n v="95.27"/>
    <n v="5997.78"/>
    <x v="0"/>
    <x v="1"/>
    <n v="0"/>
  </r>
  <r>
    <s v="CUST0563"/>
    <s v="Male"/>
    <n v="46"/>
    <n v="42"/>
    <x v="0"/>
    <s v="Electronic Check"/>
    <s v="Adult"/>
    <n v="21.9"/>
    <n v="964.37"/>
    <x v="0"/>
    <x v="2"/>
    <n v="0"/>
  </r>
  <r>
    <s v="CUST0564"/>
    <s v="Male"/>
    <n v="60"/>
    <n v="32"/>
    <x v="0"/>
    <s v="UPI"/>
    <s v="Senior"/>
    <n v="66.849999999999994"/>
    <n v="2200.4299999999998"/>
    <x v="0"/>
    <x v="2"/>
    <n v="0"/>
  </r>
  <r>
    <s v="CUST0565"/>
    <s v="Female"/>
    <n v="39"/>
    <n v="39"/>
    <x v="2"/>
    <s v="Electronic Check"/>
    <s v="Adult"/>
    <n v="98.63"/>
    <n v="3704.82"/>
    <x v="0"/>
    <x v="2"/>
    <n v="0"/>
  </r>
  <r>
    <s v="CUST0566"/>
    <s v="Female"/>
    <n v="43"/>
    <n v="36"/>
    <x v="0"/>
    <s v="Electronic Check"/>
    <s v="Adult"/>
    <n v="70.37"/>
    <n v="2594.89"/>
    <x v="0"/>
    <x v="2"/>
    <n v="0"/>
  </r>
  <r>
    <s v="CUST0567"/>
    <s v="Female"/>
    <n v="45"/>
    <n v="36"/>
    <x v="2"/>
    <s v="UPI"/>
    <s v="Adult"/>
    <n v="132.25"/>
    <n v="4494.25"/>
    <x v="0"/>
    <x v="2"/>
    <n v="0"/>
  </r>
  <r>
    <s v="CUST0568"/>
    <s v="Female"/>
    <n v="67"/>
    <n v="3"/>
    <x v="0"/>
    <s v="Bank Transfer"/>
    <s v="Senior"/>
    <n v="60.14"/>
    <n v="178.43"/>
    <x v="0"/>
    <x v="3"/>
    <n v="0"/>
  </r>
  <r>
    <s v="CUST0569"/>
    <s v="Male"/>
    <n v="38"/>
    <n v="8"/>
    <x v="0"/>
    <s v="Bank Transfer"/>
    <s v="Adult"/>
    <n v="58.16"/>
    <n v="502.45"/>
    <x v="0"/>
    <x v="3"/>
    <n v="0"/>
  </r>
  <r>
    <s v="CUST0570"/>
    <s v="Male"/>
    <n v="66"/>
    <n v="70"/>
    <x v="0"/>
    <s v="Electronic Check"/>
    <s v="Senior"/>
    <n v="54.58"/>
    <n v="3540.58"/>
    <x v="1"/>
    <x v="1"/>
    <n v="1"/>
  </r>
  <r>
    <s v="CUST0571"/>
    <s v="Female"/>
    <n v="24"/>
    <n v="41"/>
    <x v="2"/>
    <s v="Credit Card"/>
    <s v="Young"/>
    <n v="63.26"/>
    <n v="2534.89"/>
    <x v="0"/>
    <x v="2"/>
    <n v="0"/>
  </r>
  <r>
    <s v="CUST0572"/>
    <s v="Male"/>
    <n v="34"/>
    <n v="68"/>
    <x v="2"/>
    <s v="Bank Transfer"/>
    <s v="Adult"/>
    <n v="92.46"/>
    <n v="6691.1"/>
    <x v="0"/>
    <x v="1"/>
    <n v="0"/>
  </r>
  <r>
    <s v="CUST0573"/>
    <s v="Male"/>
    <n v="37"/>
    <n v="13"/>
    <x v="2"/>
    <s v="Electronic Check"/>
    <s v="Adult"/>
    <n v="111.91"/>
    <n v="1591.44"/>
    <x v="0"/>
    <x v="0"/>
    <n v="0"/>
  </r>
  <r>
    <s v="CUST0574"/>
    <s v="Female"/>
    <n v="58"/>
    <n v="49"/>
    <x v="0"/>
    <s v="Electronic Check"/>
    <s v="Senior"/>
    <n v="106.13"/>
    <n v="5152.45"/>
    <x v="1"/>
    <x v="1"/>
    <n v="1"/>
  </r>
  <r>
    <s v="CUST0575"/>
    <s v="Male"/>
    <n v="66"/>
    <n v="60"/>
    <x v="0"/>
    <s v="Electronic Check"/>
    <s v="Senior"/>
    <n v="125"/>
    <n v="7510.5"/>
    <x v="1"/>
    <x v="1"/>
    <n v="1"/>
  </r>
  <r>
    <s v="CUST0576"/>
    <s v="Female"/>
    <n v="37"/>
    <n v="2"/>
    <x v="1"/>
    <s v="Electronic Check"/>
    <s v="Adult"/>
    <n v="135.16999999999999"/>
    <n v="274.24"/>
    <x v="0"/>
    <x v="3"/>
    <n v="0"/>
  </r>
  <r>
    <s v="CUST0577"/>
    <s v="Male"/>
    <n v="39"/>
    <n v="60"/>
    <x v="2"/>
    <s v="UPI"/>
    <s v="Adult"/>
    <n v="126.09"/>
    <n v="8219.58"/>
    <x v="1"/>
    <x v="1"/>
    <n v="1"/>
  </r>
  <r>
    <s v="CUST0578"/>
    <s v="Female"/>
    <n v="45"/>
    <n v="5"/>
    <x v="0"/>
    <s v="Credit Card"/>
    <s v="Adult"/>
    <n v="22.46"/>
    <n v="120.35"/>
    <x v="1"/>
    <x v="3"/>
    <n v="1"/>
  </r>
  <r>
    <s v="CUST0579"/>
    <s v="Female"/>
    <n v="57"/>
    <n v="44"/>
    <x v="1"/>
    <s v="UPI"/>
    <s v="Senior"/>
    <n v="115.67"/>
    <n v="4754.1899999999996"/>
    <x v="0"/>
    <x v="2"/>
    <n v="0"/>
  </r>
  <r>
    <s v="CUST0580"/>
    <s v="Female"/>
    <n v="66"/>
    <n v="27"/>
    <x v="0"/>
    <s v="Credit Card"/>
    <s v="Senior"/>
    <n v="47.09"/>
    <n v="1255.3499999999999"/>
    <x v="0"/>
    <x v="2"/>
    <n v="0"/>
  </r>
  <r>
    <s v="CUST0581"/>
    <s v="Female"/>
    <n v="24"/>
    <n v="32"/>
    <x v="0"/>
    <s v="Bank Transfer"/>
    <s v="Young"/>
    <n v="83.07"/>
    <n v="1184.3699999999999"/>
    <x v="0"/>
    <x v="2"/>
    <n v="0"/>
  </r>
  <r>
    <s v="CUST0582"/>
    <s v="Male"/>
    <n v="18"/>
    <n v="21"/>
    <x v="0"/>
    <s v="Electronic Check"/>
    <s v="Young"/>
    <n v="103"/>
    <n v="2288.06"/>
    <x v="0"/>
    <x v="0"/>
    <n v="0"/>
  </r>
  <r>
    <s v="CUST0583"/>
    <s v="Female"/>
    <n v="49"/>
    <n v="8"/>
    <x v="2"/>
    <s v="Credit Card"/>
    <s v="Adult"/>
    <n v="61.57"/>
    <n v="502.7"/>
    <x v="0"/>
    <x v="3"/>
    <n v="0"/>
  </r>
  <r>
    <s v="CUST0584"/>
    <s v="Female"/>
    <n v="30"/>
    <n v="72"/>
    <x v="2"/>
    <s v="Electronic Check"/>
    <s v="Adult"/>
    <n v="27.43"/>
    <n v="2035.88"/>
    <x v="0"/>
    <x v="1"/>
    <n v="0"/>
  </r>
  <r>
    <s v="CUST0585"/>
    <s v="Female"/>
    <n v="47"/>
    <n v="50"/>
    <x v="0"/>
    <s v="Electronic Check"/>
    <s v="Adult"/>
    <n v="37.89"/>
    <n v="2083.27"/>
    <x v="0"/>
    <x v="1"/>
    <n v="0"/>
  </r>
  <r>
    <s v="CUST0586"/>
    <s v="Male"/>
    <n v="40"/>
    <n v="67"/>
    <x v="1"/>
    <s v="Credit Card"/>
    <s v="Adult"/>
    <n v="20.12"/>
    <n v="1233.45"/>
    <x v="0"/>
    <x v="1"/>
    <n v="0"/>
  </r>
  <r>
    <s v="CUST0587"/>
    <s v="Female"/>
    <n v="68"/>
    <n v="44"/>
    <x v="0"/>
    <s v="UPI"/>
    <s v="Senior"/>
    <n v="137.41999999999999"/>
    <n v="5711.52"/>
    <x v="0"/>
    <x v="2"/>
    <n v="0"/>
  </r>
  <r>
    <s v="CUST0588"/>
    <s v="Male"/>
    <n v="36"/>
    <n v="58"/>
    <x v="0"/>
    <s v="Bank Transfer"/>
    <s v="Adult"/>
    <n v="23.2"/>
    <n v="1320.81"/>
    <x v="0"/>
    <x v="1"/>
    <n v="0"/>
  </r>
  <r>
    <s v="CUST0589"/>
    <s v="Female"/>
    <n v="49"/>
    <n v="3"/>
    <x v="0"/>
    <s v="Electronic Check"/>
    <s v="Adult"/>
    <n v="47.23"/>
    <n v="137.38"/>
    <x v="0"/>
    <x v="3"/>
    <n v="0"/>
  </r>
  <r>
    <s v="CUST0590"/>
    <s v="Male"/>
    <n v="47"/>
    <n v="70"/>
    <x v="0"/>
    <s v="Electronic Check"/>
    <s v="Adult"/>
    <n v="74.11"/>
    <n v="4691.3900000000003"/>
    <x v="0"/>
    <x v="1"/>
    <n v="0"/>
  </r>
  <r>
    <s v="CUST0591"/>
    <s v="Male"/>
    <n v="46"/>
    <n v="2"/>
    <x v="0"/>
    <s v="Electronic Check"/>
    <s v="Adult"/>
    <n v="66.349999999999994"/>
    <n v="121.87"/>
    <x v="1"/>
    <x v="3"/>
    <n v="1"/>
  </r>
  <r>
    <s v="CUST0592"/>
    <s v="Female"/>
    <n v="66"/>
    <n v="44"/>
    <x v="2"/>
    <s v="Credit Card"/>
    <s v="Senior"/>
    <n v="138.52000000000001"/>
    <n v="6315.46"/>
    <x v="1"/>
    <x v="2"/>
    <n v="1"/>
  </r>
  <r>
    <s v="CUST0593"/>
    <s v="Male"/>
    <n v="62"/>
    <n v="2"/>
    <x v="1"/>
    <s v="Bank Transfer"/>
    <s v="Senior"/>
    <n v="25.24"/>
    <n v="54.31"/>
    <x v="0"/>
    <x v="3"/>
    <n v="0"/>
  </r>
  <r>
    <s v="CUST0594"/>
    <s v="Female"/>
    <n v="46"/>
    <n v="35"/>
    <x v="0"/>
    <s v="UPI"/>
    <s v="Adult"/>
    <n v="86.59"/>
    <n v="3039.27"/>
    <x v="0"/>
    <x v="2"/>
    <n v="0"/>
  </r>
  <r>
    <s v="CUST0595"/>
    <s v="Female"/>
    <n v="47"/>
    <n v="30"/>
    <x v="0"/>
    <s v="Electronic Check"/>
    <s v="Adult"/>
    <n v="108.46"/>
    <n v="3279.3"/>
    <x v="0"/>
    <x v="2"/>
    <n v="0"/>
  </r>
  <r>
    <s v="CUST0596"/>
    <s v="Female"/>
    <n v="33"/>
    <n v="8"/>
    <x v="0"/>
    <s v="Credit Card"/>
    <s v="Adult"/>
    <n v="141.12"/>
    <n v="1073.6600000000001"/>
    <x v="1"/>
    <x v="3"/>
    <n v="1"/>
  </r>
  <r>
    <s v="CUST0597"/>
    <s v="Male"/>
    <n v="57"/>
    <n v="22"/>
    <x v="0"/>
    <s v="Credit Card"/>
    <s v="Senior"/>
    <n v="100.65"/>
    <n v="2332.9299999999998"/>
    <x v="0"/>
    <x v="0"/>
    <n v="0"/>
  </r>
  <r>
    <s v="CUST0598"/>
    <s v="Male"/>
    <n v="36"/>
    <n v="44"/>
    <x v="0"/>
    <s v="Bank Transfer"/>
    <s v="Adult"/>
    <n v="124.49"/>
    <n v="5753.4"/>
    <x v="0"/>
    <x v="2"/>
    <n v="0"/>
  </r>
  <r>
    <s v="CUST0599"/>
    <s v="Female"/>
    <n v="35"/>
    <n v="58"/>
    <x v="2"/>
    <s v="Credit Card"/>
    <s v="Adult"/>
    <n v="30.88"/>
    <n v="1822.69"/>
    <x v="0"/>
    <x v="1"/>
    <n v="0"/>
  </r>
  <r>
    <s v="CUST0600"/>
    <s v="Female"/>
    <n v="18"/>
    <n v="36"/>
    <x v="0"/>
    <s v="Bank Transfer"/>
    <s v="Young"/>
    <n v="70.17"/>
    <n v="2380.9499999999998"/>
    <x v="0"/>
    <x v="2"/>
    <n v="0"/>
  </r>
  <r>
    <s v="CUST0601"/>
    <s v="Male"/>
    <n v="31"/>
    <n v="69"/>
    <x v="2"/>
    <s v="Bank Transfer"/>
    <s v="Adult"/>
    <n v="68.61"/>
    <n v="4352.54"/>
    <x v="0"/>
    <x v="1"/>
    <n v="0"/>
  </r>
  <r>
    <s v="CUST0602"/>
    <s v="Female"/>
    <n v="68"/>
    <n v="31"/>
    <x v="1"/>
    <s v="Electronic Check"/>
    <s v="Senior"/>
    <n v="135.22"/>
    <n v="3826.49"/>
    <x v="0"/>
    <x v="2"/>
    <n v="0"/>
  </r>
  <r>
    <s v="CUST0603"/>
    <s v="Female"/>
    <n v="64"/>
    <n v="47"/>
    <x v="0"/>
    <s v="Bank Transfer"/>
    <s v="Senior"/>
    <n v="39.68"/>
    <n v="1899.53"/>
    <x v="0"/>
    <x v="2"/>
    <n v="0"/>
  </r>
  <r>
    <s v="CUST0604"/>
    <s v="Female"/>
    <n v="67"/>
    <n v="55"/>
    <x v="1"/>
    <s v="Electronic Check"/>
    <s v="Senior"/>
    <n v="39.75"/>
    <n v="2328.37"/>
    <x v="0"/>
    <x v="1"/>
    <n v="0"/>
  </r>
  <r>
    <s v="CUST0605"/>
    <s v="Male"/>
    <n v="19"/>
    <n v="62"/>
    <x v="2"/>
    <s v="Bank Transfer"/>
    <s v="Young"/>
    <n v="62.71"/>
    <n v="4166.66"/>
    <x v="0"/>
    <x v="1"/>
    <n v="0"/>
  </r>
  <r>
    <s v="CUST0606"/>
    <s v="Male"/>
    <n v="45"/>
    <n v="30"/>
    <x v="2"/>
    <s v="Credit Card"/>
    <s v="Adult"/>
    <n v="27.08"/>
    <n v="806.49"/>
    <x v="0"/>
    <x v="2"/>
    <n v="0"/>
  </r>
  <r>
    <s v="CUST0607"/>
    <s v="Male"/>
    <n v="66"/>
    <n v="55"/>
    <x v="0"/>
    <s v="Credit Card"/>
    <s v="Senior"/>
    <n v="43.72"/>
    <n v="2541.31"/>
    <x v="0"/>
    <x v="1"/>
    <n v="0"/>
  </r>
  <r>
    <s v="CUST0608"/>
    <s v="Female"/>
    <n v="67"/>
    <n v="16"/>
    <x v="0"/>
    <s v="UPI"/>
    <s v="Senior"/>
    <n v="145.47999999999999"/>
    <n v="2535.7199999999998"/>
    <x v="1"/>
    <x v="0"/>
    <n v="1"/>
  </r>
  <r>
    <s v="CUST0609"/>
    <s v="Female"/>
    <n v="47"/>
    <n v="12"/>
    <x v="0"/>
    <s v="UPI"/>
    <s v="Adult"/>
    <n v="75.66"/>
    <n v="867.09"/>
    <x v="1"/>
    <x v="3"/>
    <n v="1"/>
  </r>
  <r>
    <s v="CUST0610"/>
    <s v="Female"/>
    <n v="55"/>
    <n v="17"/>
    <x v="0"/>
    <s v="UPI"/>
    <s v="Senior"/>
    <n v="102.16"/>
    <n v="1701.28"/>
    <x v="1"/>
    <x v="0"/>
    <n v="1"/>
  </r>
  <r>
    <s v="CUST0611"/>
    <s v="Male"/>
    <n v="68"/>
    <n v="16"/>
    <x v="0"/>
    <s v="Credit Card"/>
    <s v="Senior"/>
    <n v="114.39"/>
    <n v="1988.18"/>
    <x v="0"/>
    <x v="0"/>
    <n v="0"/>
  </r>
  <r>
    <s v="CUST0612"/>
    <s v="Female"/>
    <n v="21"/>
    <n v="12"/>
    <x v="2"/>
    <s v="Bank Transfer"/>
    <s v="Young"/>
    <n v="67.7"/>
    <n v="786.12"/>
    <x v="0"/>
    <x v="3"/>
    <n v="0"/>
  </r>
  <r>
    <s v="CUST0613"/>
    <s v="Female"/>
    <n v="18"/>
    <n v="8"/>
    <x v="0"/>
    <s v="Credit Card"/>
    <s v="Young"/>
    <n v="39.14"/>
    <n v="339.04"/>
    <x v="0"/>
    <x v="3"/>
    <n v="0"/>
  </r>
  <r>
    <s v="CUST0614"/>
    <s v="Female"/>
    <n v="25"/>
    <n v="3"/>
    <x v="1"/>
    <s v="UPI"/>
    <s v="Young"/>
    <n v="46.86"/>
    <n v="154.11000000000001"/>
    <x v="0"/>
    <x v="3"/>
    <n v="0"/>
  </r>
  <r>
    <s v="CUST0615"/>
    <s v="Female"/>
    <n v="46"/>
    <n v="16"/>
    <x v="2"/>
    <s v="Credit Card"/>
    <s v="Adult"/>
    <n v="60.72"/>
    <n v="1002.96"/>
    <x v="0"/>
    <x v="0"/>
    <n v="0"/>
  </r>
  <r>
    <s v="CUST0616"/>
    <s v="Male"/>
    <n v="56"/>
    <n v="30"/>
    <x v="0"/>
    <s v="UPI"/>
    <s v="Senior"/>
    <n v="102.69"/>
    <n v="3275.95"/>
    <x v="1"/>
    <x v="2"/>
    <n v="1"/>
  </r>
  <r>
    <s v="CUST0617"/>
    <s v="Male"/>
    <n v="20"/>
    <n v="23"/>
    <x v="0"/>
    <s v="UPI"/>
    <s v="Young"/>
    <n v="71.78"/>
    <n v="1733.34"/>
    <x v="0"/>
    <x v="0"/>
    <n v="0"/>
  </r>
  <r>
    <s v="CUST0618"/>
    <s v="Female"/>
    <n v="49"/>
    <n v="5"/>
    <x v="1"/>
    <s v="Bank Transfer"/>
    <s v="Adult"/>
    <n v="20.89"/>
    <n v="108.62"/>
    <x v="0"/>
    <x v="3"/>
    <n v="0"/>
  </r>
  <r>
    <s v="CUST0619"/>
    <s v="Male"/>
    <n v="27"/>
    <n v="65"/>
    <x v="1"/>
    <s v="Electronic Check"/>
    <s v="Young"/>
    <n v="88.04"/>
    <n v="5501.63"/>
    <x v="0"/>
    <x v="1"/>
    <n v="0"/>
  </r>
  <r>
    <s v="CUST0620"/>
    <s v="Male"/>
    <n v="27"/>
    <n v="30"/>
    <x v="2"/>
    <s v="Electronic Check"/>
    <s v="Young"/>
    <n v="139.80000000000001"/>
    <n v="3822.49"/>
    <x v="0"/>
    <x v="2"/>
    <n v="0"/>
  </r>
  <r>
    <s v="CUST0621"/>
    <s v="Female"/>
    <n v="36"/>
    <n v="21"/>
    <x v="0"/>
    <s v="UPI"/>
    <s v="Adult"/>
    <n v="125.57"/>
    <n v="2554.1999999999998"/>
    <x v="0"/>
    <x v="0"/>
    <n v="0"/>
  </r>
  <r>
    <s v="CUST0622"/>
    <s v="Female"/>
    <n v="63"/>
    <n v="70"/>
    <x v="0"/>
    <s v="Electronic Check"/>
    <s v="Senior"/>
    <n v="127.28"/>
    <n v="9207.07"/>
    <x v="1"/>
    <x v="1"/>
    <n v="1"/>
  </r>
  <r>
    <s v="CUST0623"/>
    <s v="Male"/>
    <n v="51"/>
    <n v="22"/>
    <x v="0"/>
    <s v="UPI"/>
    <s v="Senior"/>
    <n v="123.36"/>
    <n v="2498.1799999999998"/>
    <x v="0"/>
    <x v="0"/>
    <n v="0"/>
  </r>
  <r>
    <s v="CUST0624"/>
    <s v="Female"/>
    <n v="50"/>
    <n v="72"/>
    <x v="0"/>
    <s v="Credit Card"/>
    <s v="Senior"/>
    <n v="62.09"/>
    <n v="4034.09"/>
    <x v="0"/>
    <x v="1"/>
    <n v="0"/>
  </r>
  <r>
    <s v="CUST0625"/>
    <s v="Male"/>
    <n v="40"/>
    <n v="32"/>
    <x v="2"/>
    <s v="Credit Card"/>
    <s v="Adult"/>
    <n v="119.48"/>
    <n v="3547.84"/>
    <x v="0"/>
    <x v="2"/>
    <n v="0"/>
  </r>
  <r>
    <s v="CUST0626"/>
    <s v="Female"/>
    <n v="45"/>
    <n v="33"/>
    <x v="2"/>
    <s v="UPI"/>
    <s v="Adult"/>
    <n v="38.61"/>
    <n v="1329.11"/>
    <x v="0"/>
    <x v="2"/>
    <n v="0"/>
  </r>
  <r>
    <s v="CUST0627"/>
    <s v="Male"/>
    <n v="49"/>
    <n v="16"/>
    <x v="2"/>
    <s v="Bank Transfer"/>
    <s v="Adult"/>
    <n v="105.5"/>
    <n v="1847.62"/>
    <x v="0"/>
    <x v="0"/>
    <n v="0"/>
  </r>
  <r>
    <s v="CUST0628"/>
    <s v="Female"/>
    <n v="67"/>
    <n v="38"/>
    <x v="1"/>
    <s v="Credit Card"/>
    <s v="Senior"/>
    <n v="103.4"/>
    <n v="4308.8100000000004"/>
    <x v="0"/>
    <x v="2"/>
    <n v="0"/>
  </r>
  <r>
    <s v="CUST0629"/>
    <s v="Male"/>
    <n v="24"/>
    <n v="14"/>
    <x v="2"/>
    <s v="Credit Card"/>
    <s v="Young"/>
    <n v="23.32"/>
    <n v="326.08999999999997"/>
    <x v="0"/>
    <x v="0"/>
    <n v="0"/>
  </r>
  <r>
    <s v="CUST0630"/>
    <s v="Male"/>
    <n v="46"/>
    <n v="36"/>
    <x v="0"/>
    <s v="Credit Card"/>
    <s v="Adult"/>
    <n v="122.44"/>
    <n v="4733.45"/>
    <x v="1"/>
    <x v="2"/>
    <n v="1"/>
  </r>
  <r>
    <s v="CUST0631"/>
    <s v="Male"/>
    <n v="25"/>
    <n v="23"/>
    <x v="0"/>
    <s v="Bank Transfer"/>
    <s v="Young"/>
    <n v="137.41999999999999"/>
    <n v="3310.37"/>
    <x v="0"/>
    <x v="0"/>
    <n v="0"/>
  </r>
  <r>
    <s v="CUST0632"/>
    <s v="Female"/>
    <n v="18"/>
    <n v="66"/>
    <x v="1"/>
    <s v="Electronic Check"/>
    <s v="Young"/>
    <n v="54.76"/>
    <n v="3614.91"/>
    <x v="1"/>
    <x v="1"/>
    <n v="1"/>
  </r>
  <r>
    <s v="CUST0633"/>
    <s v="Male"/>
    <n v="20"/>
    <n v="2"/>
    <x v="0"/>
    <s v="UPI"/>
    <s v="Young"/>
    <n v="125.61"/>
    <n v="254.88"/>
    <x v="0"/>
    <x v="3"/>
    <n v="0"/>
  </r>
  <r>
    <s v="CUST0634"/>
    <s v="Male"/>
    <n v="41"/>
    <n v="65"/>
    <x v="1"/>
    <s v="UPI"/>
    <s v="Adult"/>
    <n v="30.71"/>
    <n v="1851.32"/>
    <x v="0"/>
    <x v="1"/>
    <n v="0"/>
  </r>
  <r>
    <s v="CUST0635"/>
    <s v="Female"/>
    <n v="40"/>
    <n v="67"/>
    <x v="1"/>
    <s v="Electronic Check"/>
    <s v="Adult"/>
    <n v="98"/>
    <n v="7140.74"/>
    <x v="0"/>
    <x v="1"/>
    <n v="0"/>
  </r>
  <r>
    <s v="CUST0636"/>
    <s v="Female"/>
    <n v="25"/>
    <n v="52"/>
    <x v="0"/>
    <s v="Bank Transfer"/>
    <s v="Young"/>
    <n v="83.13"/>
    <n v="4194.75"/>
    <x v="0"/>
    <x v="1"/>
    <n v="0"/>
  </r>
  <r>
    <s v="CUST0637"/>
    <s v="Male"/>
    <n v="64"/>
    <n v="62"/>
    <x v="2"/>
    <s v="Credit Card"/>
    <s v="Senior"/>
    <n v="90.97"/>
    <n v="5579.39"/>
    <x v="0"/>
    <x v="1"/>
    <n v="0"/>
  </r>
  <r>
    <s v="CUST0638"/>
    <s v="Male"/>
    <n v="54"/>
    <n v="23"/>
    <x v="1"/>
    <s v="Electronic Check"/>
    <s v="Senior"/>
    <n v="140.41"/>
    <n v="3340.3"/>
    <x v="1"/>
    <x v="0"/>
    <n v="1"/>
  </r>
  <r>
    <s v="CUST0639"/>
    <s v="Female"/>
    <n v="20"/>
    <n v="26"/>
    <x v="2"/>
    <s v="UPI"/>
    <s v="Young"/>
    <n v="133.27000000000001"/>
    <n v="3349.91"/>
    <x v="0"/>
    <x v="2"/>
    <n v="0"/>
  </r>
  <r>
    <s v="CUST0640"/>
    <s v="Female"/>
    <n v="68"/>
    <n v="68"/>
    <x v="1"/>
    <s v="Electronic Check"/>
    <s v="Senior"/>
    <n v="122.06"/>
    <n v="7892.15"/>
    <x v="0"/>
    <x v="1"/>
    <n v="0"/>
  </r>
  <r>
    <s v="CUST0641"/>
    <s v="Female"/>
    <n v="50"/>
    <n v="55"/>
    <x v="1"/>
    <s v="Electronic Check"/>
    <s v="Senior"/>
    <n v="55.58"/>
    <n v="3137.02"/>
    <x v="0"/>
    <x v="1"/>
    <n v="0"/>
  </r>
  <r>
    <s v="CUST0642"/>
    <s v="Female"/>
    <n v="45"/>
    <n v="6"/>
    <x v="0"/>
    <s v="Credit Card"/>
    <s v="Adult"/>
    <n v="138.54"/>
    <n v="752.27"/>
    <x v="0"/>
    <x v="3"/>
    <n v="0"/>
  </r>
  <r>
    <s v="CUST0643"/>
    <s v="Female"/>
    <n v="64"/>
    <n v="35"/>
    <x v="0"/>
    <s v="Credit Card"/>
    <s v="Senior"/>
    <n v="32.68"/>
    <n v="1194.29"/>
    <x v="0"/>
    <x v="2"/>
    <n v="0"/>
  </r>
  <r>
    <s v="CUST0644"/>
    <s v="Male"/>
    <n v="25"/>
    <n v="22"/>
    <x v="1"/>
    <s v="Credit Card"/>
    <s v="Young"/>
    <n v="130.93"/>
    <n v="2888.54"/>
    <x v="0"/>
    <x v="0"/>
    <n v="0"/>
  </r>
  <r>
    <s v="CUST0645"/>
    <s v="Female"/>
    <n v="51"/>
    <n v="43"/>
    <x v="2"/>
    <s v="Bank Transfer"/>
    <s v="Senior"/>
    <n v="62.66"/>
    <n v="2751.37"/>
    <x v="0"/>
    <x v="2"/>
    <n v="0"/>
  </r>
  <r>
    <s v="CUST0646"/>
    <s v="Male"/>
    <n v="52"/>
    <n v="15"/>
    <x v="0"/>
    <s v="Bank Transfer"/>
    <s v="Senior"/>
    <n v="26.99"/>
    <n v="415.53"/>
    <x v="1"/>
    <x v="0"/>
    <n v="1"/>
  </r>
  <r>
    <s v="CUST0647"/>
    <s v="Male"/>
    <n v="49"/>
    <n v="60"/>
    <x v="0"/>
    <s v="Bank Transfer"/>
    <s v="Adult"/>
    <n v="107.02"/>
    <n v="6455.94"/>
    <x v="0"/>
    <x v="1"/>
    <n v="0"/>
  </r>
  <r>
    <s v="CUST0648"/>
    <s v="Male"/>
    <n v="41"/>
    <n v="12"/>
    <x v="2"/>
    <s v="Electronic Check"/>
    <s v="Adult"/>
    <n v="50.07"/>
    <n v="610.76"/>
    <x v="0"/>
    <x v="3"/>
    <n v="0"/>
  </r>
  <r>
    <s v="CUST0649"/>
    <s v="Female"/>
    <n v="31"/>
    <n v="49"/>
    <x v="1"/>
    <s v="Credit Card"/>
    <s v="Adult"/>
    <n v="51.66"/>
    <n v="2624.39"/>
    <x v="0"/>
    <x v="1"/>
    <n v="0"/>
  </r>
  <r>
    <s v="CUST0650"/>
    <s v="Male"/>
    <n v="49"/>
    <n v="42"/>
    <x v="1"/>
    <s v="Electronic Check"/>
    <s v="Adult"/>
    <n v="59.79"/>
    <n v="2638.31"/>
    <x v="0"/>
    <x v="2"/>
    <n v="0"/>
  </r>
  <r>
    <s v="CUST0651"/>
    <s v="Male"/>
    <n v="63"/>
    <n v="38"/>
    <x v="2"/>
    <s v="Electronic Check"/>
    <s v="Senior"/>
    <n v="28.28"/>
    <n v="1123.53"/>
    <x v="0"/>
    <x v="2"/>
    <n v="0"/>
  </r>
  <r>
    <s v="CUST0652"/>
    <s v="Female"/>
    <n v="60"/>
    <n v="45"/>
    <x v="0"/>
    <s v="Credit Card"/>
    <s v="Senior"/>
    <n v="43.03"/>
    <n v="2079.4899999999998"/>
    <x v="0"/>
    <x v="2"/>
    <n v="0"/>
  </r>
  <r>
    <s v="CUST0653"/>
    <s v="Male"/>
    <n v="33"/>
    <n v="35"/>
    <x v="0"/>
    <s v="Electronic Check"/>
    <s v="Adult"/>
    <n v="20.67"/>
    <n v="678.52"/>
    <x v="0"/>
    <x v="2"/>
    <n v="0"/>
  </r>
  <r>
    <s v="CUST0654"/>
    <s v="Male"/>
    <n v="21"/>
    <n v="30"/>
    <x v="1"/>
    <s v="Electronic Check"/>
    <s v="Young"/>
    <n v="77.900000000000006"/>
    <n v="2290.8000000000002"/>
    <x v="1"/>
    <x v="2"/>
    <n v="1"/>
  </r>
  <r>
    <s v="CUST0655"/>
    <s v="Female"/>
    <n v="69"/>
    <n v="30"/>
    <x v="0"/>
    <s v="Electronic Check"/>
    <s v="Senior"/>
    <n v="30.95"/>
    <n v="1011.66"/>
    <x v="0"/>
    <x v="2"/>
    <n v="0"/>
  </r>
  <r>
    <s v="CUST0656"/>
    <s v="Male"/>
    <n v="54"/>
    <n v="6"/>
    <x v="0"/>
    <s v="UPI"/>
    <s v="Senior"/>
    <n v="108.74"/>
    <n v="638.95000000000005"/>
    <x v="0"/>
    <x v="3"/>
    <n v="0"/>
  </r>
  <r>
    <s v="CUST0657"/>
    <s v="Male"/>
    <n v="38"/>
    <n v="67"/>
    <x v="0"/>
    <s v="UPI"/>
    <s v="Adult"/>
    <n v="50.63"/>
    <n v="3137.71"/>
    <x v="0"/>
    <x v="1"/>
    <n v="0"/>
  </r>
  <r>
    <s v="CUST0658"/>
    <s v="Male"/>
    <n v="31"/>
    <n v="7"/>
    <x v="2"/>
    <s v="Bank Transfer"/>
    <s v="Adult"/>
    <n v="142.66"/>
    <n v="1003.7"/>
    <x v="0"/>
    <x v="3"/>
    <n v="0"/>
  </r>
  <r>
    <s v="CUST0659"/>
    <s v="Female"/>
    <n v="48"/>
    <n v="52"/>
    <x v="1"/>
    <s v="UPI"/>
    <s v="Adult"/>
    <n v="133.26"/>
    <n v="6388.31"/>
    <x v="0"/>
    <x v="1"/>
    <n v="0"/>
  </r>
  <r>
    <s v="CUST0660"/>
    <s v="Female"/>
    <n v="65"/>
    <n v="14"/>
    <x v="0"/>
    <s v="Bank Transfer"/>
    <s v="Senior"/>
    <n v="57.63"/>
    <n v="758.87"/>
    <x v="1"/>
    <x v="0"/>
    <n v="1"/>
  </r>
  <r>
    <s v="CUST0661"/>
    <s v="Female"/>
    <n v="35"/>
    <n v="15"/>
    <x v="0"/>
    <s v="Credit Card"/>
    <s v="Adult"/>
    <n v="121.82"/>
    <n v="2009.42"/>
    <x v="0"/>
    <x v="0"/>
    <n v="0"/>
  </r>
  <r>
    <s v="CUST0662"/>
    <s v="Male"/>
    <n v="24"/>
    <n v="21"/>
    <x v="2"/>
    <s v="Electronic Check"/>
    <s v="Young"/>
    <n v="124.42"/>
    <n v="2634.43"/>
    <x v="0"/>
    <x v="0"/>
    <n v="0"/>
  </r>
  <r>
    <s v="CUST0663"/>
    <s v="Male"/>
    <n v="27"/>
    <n v="35"/>
    <x v="1"/>
    <s v="Bank Transfer"/>
    <s v="Young"/>
    <n v="148.25"/>
    <n v="4964.66"/>
    <x v="1"/>
    <x v="2"/>
    <n v="1"/>
  </r>
  <r>
    <s v="CUST0664"/>
    <s v="Female"/>
    <n v="24"/>
    <n v="66"/>
    <x v="0"/>
    <s v="Bank Transfer"/>
    <s v="Young"/>
    <n v="97.72"/>
    <n v="7087.73"/>
    <x v="0"/>
    <x v="1"/>
    <n v="0"/>
  </r>
  <r>
    <s v="CUST0665"/>
    <s v="Male"/>
    <n v="50"/>
    <n v="2"/>
    <x v="0"/>
    <s v="Bank Transfer"/>
    <s v="Senior"/>
    <n v="30.66"/>
    <n v="67.040000000000006"/>
    <x v="1"/>
    <x v="3"/>
    <n v="1"/>
  </r>
  <r>
    <s v="CUST0666"/>
    <s v="Male"/>
    <n v="40"/>
    <n v="35"/>
    <x v="0"/>
    <s v="Bank Transfer"/>
    <s v="Adult"/>
    <n v="104.09"/>
    <n v="3599.97"/>
    <x v="0"/>
    <x v="2"/>
    <n v="0"/>
  </r>
  <r>
    <s v="CUST0667"/>
    <s v="Female"/>
    <n v="38"/>
    <n v="20"/>
    <x v="1"/>
    <s v="Credit Card"/>
    <s v="Adult"/>
    <n v="101.25"/>
    <n v="1927.96"/>
    <x v="0"/>
    <x v="0"/>
    <n v="0"/>
  </r>
  <r>
    <s v="CUST0668"/>
    <s v="Female"/>
    <n v="36"/>
    <n v="10"/>
    <x v="0"/>
    <s v="Bank Transfer"/>
    <s v="Adult"/>
    <n v="102.99"/>
    <n v="1099.5999999999999"/>
    <x v="0"/>
    <x v="3"/>
    <n v="0"/>
  </r>
  <r>
    <s v="CUST0669"/>
    <s v="Male"/>
    <n v="65"/>
    <n v="25"/>
    <x v="0"/>
    <s v="UPI"/>
    <s v="Senior"/>
    <n v="59.93"/>
    <n v="1562.86"/>
    <x v="0"/>
    <x v="2"/>
    <n v="0"/>
  </r>
  <r>
    <s v="CUST0670"/>
    <s v="Male"/>
    <n v="36"/>
    <n v="66"/>
    <x v="2"/>
    <s v="Credit Card"/>
    <s v="Adult"/>
    <n v="131.76"/>
    <n v="9021.2900000000009"/>
    <x v="0"/>
    <x v="1"/>
    <n v="0"/>
  </r>
  <r>
    <s v="CUST0671"/>
    <s v="Male"/>
    <n v="53"/>
    <n v="25"/>
    <x v="2"/>
    <s v="Bank Transfer"/>
    <s v="Senior"/>
    <n v="144.72999999999999"/>
    <n v="3902.73"/>
    <x v="0"/>
    <x v="2"/>
    <n v="0"/>
  </r>
  <r>
    <s v="CUST0672"/>
    <s v="Female"/>
    <n v="46"/>
    <n v="54"/>
    <x v="0"/>
    <s v="Credit Card"/>
    <s v="Adult"/>
    <n v="48.3"/>
    <n v="2707.01"/>
    <x v="0"/>
    <x v="1"/>
    <n v="0"/>
  </r>
  <r>
    <s v="CUST0673"/>
    <s v="Female"/>
    <n v="35"/>
    <n v="33"/>
    <x v="1"/>
    <s v="Bank Transfer"/>
    <s v="Adult"/>
    <n v="31.46"/>
    <n v="993.29"/>
    <x v="0"/>
    <x v="2"/>
    <n v="0"/>
  </r>
  <r>
    <s v="CUST0674"/>
    <s v="Female"/>
    <n v="19"/>
    <n v="36"/>
    <x v="0"/>
    <s v="Bank Transfer"/>
    <s v="Young"/>
    <n v="45.29"/>
    <n v="1693.66"/>
    <x v="0"/>
    <x v="2"/>
    <n v="0"/>
  </r>
  <r>
    <s v="CUST0675"/>
    <s v="Female"/>
    <n v="18"/>
    <n v="14"/>
    <x v="2"/>
    <s v="Electronic Check"/>
    <s v="Young"/>
    <n v="126.67"/>
    <n v="1704.51"/>
    <x v="0"/>
    <x v="0"/>
    <n v="0"/>
  </r>
  <r>
    <s v="CUST0676"/>
    <s v="Male"/>
    <n v="64"/>
    <n v="65"/>
    <x v="0"/>
    <s v="Bank Transfer"/>
    <s v="Senior"/>
    <n v="107.96"/>
    <n v="7381.24"/>
    <x v="1"/>
    <x v="1"/>
    <n v="1"/>
  </r>
  <r>
    <s v="CUST0677"/>
    <s v="Female"/>
    <n v="22"/>
    <n v="54"/>
    <x v="2"/>
    <s v="Electronic Check"/>
    <s v="Young"/>
    <n v="102.69"/>
    <n v="5678.07"/>
    <x v="1"/>
    <x v="1"/>
    <n v="1"/>
  </r>
  <r>
    <s v="CUST0678"/>
    <s v="Female"/>
    <n v="37"/>
    <n v="52"/>
    <x v="0"/>
    <s v="Bank Transfer"/>
    <s v="Adult"/>
    <n v="72.23"/>
    <n v="3438.51"/>
    <x v="0"/>
    <x v="1"/>
    <n v="0"/>
  </r>
  <r>
    <s v="CUST0679"/>
    <s v="Female"/>
    <n v="28"/>
    <n v="3"/>
    <x v="1"/>
    <s v="Credit Card"/>
    <s v="Young"/>
    <n v="95.12"/>
    <n v="286.08999999999997"/>
    <x v="0"/>
    <x v="3"/>
    <n v="0"/>
  </r>
  <r>
    <s v="CUST0680"/>
    <s v="Female"/>
    <n v="59"/>
    <n v="41"/>
    <x v="2"/>
    <s v="Bank Transfer"/>
    <s v="Senior"/>
    <n v="60.02"/>
    <n v="2383.6999999999998"/>
    <x v="0"/>
    <x v="2"/>
    <n v="0"/>
  </r>
  <r>
    <s v="CUST0681"/>
    <s v="Female"/>
    <n v="19"/>
    <n v="6"/>
    <x v="2"/>
    <s v="Electronic Check"/>
    <s v="Young"/>
    <n v="82.04"/>
    <n v="475.36"/>
    <x v="0"/>
    <x v="3"/>
    <n v="0"/>
  </r>
  <r>
    <s v="CUST0682"/>
    <s v="Male"/>
    <n v="20"/>
    <n v="25"/>
    <x v="2"/>
    <s v="Bank Transfer"/>
    <s v="Young"/>
    <n v="123.1"/>
    <n v="3140.44"/>
    <x v="0"/>
    <x v="2"/>
    <n v="0"/>
  </r>
  <r>
    <s v="CUST0683"/>
    <s v="Male"/>
    <n v="40"/>
    <n v="13"/>
    <x v="2"/>
    <s v="Electronic Check"/>
    <s v="Adult"/>
    <n v="147.56"/>
    <n v="1850.11"/>
    <x v="0"/>
    <x v="0"/>
    <n v="0"/>
  </r>
  <r>
    <s v="CUST0684"/>
    <s v="Female"/>
    <n v="29"/>
    <n v="8"/>
    <x v="0"/>
    <s v="UPI"/>
    <s v="Young"/>
    <n v="141.22"/>
    <n v="1192.32"/>
    <x v="1"/>
    <x v="3"/>
    <n v="1"/>
  </r>
  <r>
    <s v="CUST0685"/>
    <s v="Male"/>
    <n v="37"/>
    <n v="21"/>
    <x v="0"/>
    <s v="UPI"/>
    <s v="Adult"/>
    <n v="141.4"/>
    <n v="2714.5"/>
    <x v="1"/>
    <x v="0"/>
    <n v="1"/>
  </r>
  <r>
    <s v="CUST0686"/>
    <s v="Female"/>
    <n v="22"/>
    <n v="68"/>
    <x v="1"/>
    <s v="UPI"/>
    <s v="Young"/>
    <n v="72.290000000000006"/>
    <n v="5073.3999999999996"/>
    <x v="0"/>
    <x v="1"/>
    <n v="0"/>
  </r>
  <r>
    <s v="CUST0687"/>
    <s v="Female"/>
    <n v="54"/>
    <n v="25"/>
    <x v="0"/>
    <s v="Bank Transfer"/>
    <s v="Senior"/>
    <n v="80.94"/>
    <n v="2148.63"/>
    <x v="0"/>
    <x v="2"/>
    <n v="0"/>
  </r>
  <r>
    <s v="CUST0688"/>
    <s v="Male"/>
    <n v="55"/>
    <n v="68"/>
    <x v="2"/>
    <s v="Bank Transfer"/>
    <s v="Senior"/>
    <n v="111.73"/>
    <n v="7860.26"/>
    <x v="0"/>
    <x v="1"/>
    <n v="0"/>
  </r>
  <r>
    <s v="CUST0689"/>
    <s v="Male"/>
    <n v="47"/>
    <n v="45"/>
    <x v="1"/>
    <s v="Electronic Check"/>
    <s v="Adult"/>
    <n v="139.88"/>
    <n v="6291.11"/>
    <x v="0"/>
    <x v="2"/>
    <n v="0"/>
  </r>
  <r>
    <s v="CUST0690"/>
    <s v="Female"/>
    <n v="26"/>
    <n v="60"/>
    <x v="0"/>
    <s v="Electronic Check"/>
    <s v="Young"/>
    <n v="38.46"/>
    <n v="2515.4299999999998"/>
    <x v="0"/>
    <x v="1"/>
    <n v="0"/>
  </r>
  <r>
    <s v="CUST0691"/>
    <s v="Female"/>
    <n v="51"/>
    <n v="12"/>
    <x v="2"/>
    <s v="Credit Card"/>
    <s v="Senior"/>
    <n v="59.55"/>
    <n v="686.01"/>
    <x v="0"/>
    <x v="3"/>
    <n v="0"/>
  </r>
  <r>
    <s v="CUST0692"/>
    <s v="Female"/>
    <n v="70"/>
    <n v="32"/>
    <x v="0"/>
    <s v="Bank Transfer"/>
    <s v="Senior"/>
    <n v="38.1"/>
    <n v="1101.95"/>
    <x v="1"/>
    <x v="2"/>
    <n v="1"/>
  </r>
  <r>
    <s v="CUST0693"/>
    <s v="Male"/>
    <n v="61"/>
    <n v="13"/>
    <x v="2"/>
    <s v="UPI"/>
    <s v="Senior"/>
    <n v="99.56"/>
    <n v="1276.68"/>
    <x v="0"/>
    <x v="0"/>
    <n v="0"/>
  </r>
  <r>
    <s v="CUST0694"/>
    <s v="Female"/>
    <n v="52"/>
    <n v="31"/>
    <x v="0"/>
    <s v="Electronic Check"/>
    <s v="Senior"/>
    <n v="59.82"/>
    <n v="1681.22"/>
    <x v="0"/>
    <x v="2"/>
    <n v="0"/>
  </r>
  <r>
    <s v="CUST0695"/>
    <s v="Female"/>
    <n v="69"/>
    <n v="20"/>
    <x v="0"/>
    <s v="UPI"/>
    <s v="Senior"/>
    <n v="62.39"/>
    <n v="1361.08"/>
    <x v="0"/>
    <x v="0"/>
    <n v="0"/>
  </r>
  <r>
    <s v="CUST0696"/>
    <s v="Female"/>
    <n v="39"/>
    <n v="18"/>
    <x v="2"/>
    <s v="Bank Transfer"/>
    <s v="Adult"/>
    <n v="29.22"/>
    <n v="495.45"/>
    <x v="0"/>
    <x v="0"/>
    <n v="0"/>
  </r>
  <r>
    <s v="CUST0697"/>
    <s v="Male"/>
    <n v="61"/>
    <n v="60"/>
    <x v="1"/>
    <s v="Bank Transfer"/>
    <s v="Senior"/>
    <n v="65.47"/>
    <n v="4155.1899999999996"/>
    <x v="0"/>
    <x v="1"/>
    <n v="0"/>
  </r>
  <r>
    <s v="CUST0698"/>
    <s v="Female"/>
    <n v="41"/>
    <n v="63"/>
    <x v="2"/>
    <s v="Electronic Check"/>
    <s v="Adult"/>
    <n v="132.12"/>
    <n v="8780.64"/>
    <x v="1"/>
    <x v="1"/>
    <n v="1"/>
  </r>
  <r>
    <s v="CUST0699"/>
    <s v="Female"/>
    <n v="34"/>
    <n v="6"/>
    <x v="0"/>
    <s v="Electronic Check"/>
    <s v="Adult"/>
    <n v="50.3"/>
    <n v="284.76"/>
    <x v="1"/>
    <x v="3"/>
    <n v="1"/>
  </r>
  <r>
    <s v="CUST0700"/>
    <s v="Male"/>
    <n v="27"/>
    <n v="32"/>
    <x v="0"/>
    <s v="Credit Card"/>
    <s v="Young"/>
    <n v="110.37"/>
    <n v="3617.47"/>
    <x v="0"/>
    <x v="2"/>
    <n v="0"/>
  </r>
  <r>
    <s v="CUST0701"/>
    <s v="Female"/>
    <n v="47"/>
    <n v="43"/>
    <x v="2"/>
    <s v="Bank Transfer"/>
    <s v="Adult"/>
    <n v="101.85"/>
    <n v="3983.71"/>
    <x v="0"/>
    <x v="2"/>
    <n v="0"/>
  </r>
  <r>
    <s v="CUST0702"/>
    <s v="Female"/>
    <n v="63"/>
    <n v="2"/>
    <x v="0"/>
    <s v="Electronic Check"/>
    <s v="Senior"/>
    <n v="132.25"/>
    <n v="263.63"/>
    <x v="1"/>
    <x v="3"/>
    <n v="1"/>
  </r>
  <r>
    <s v="CUST0703"/>
    <s v="Male"/>
    <n v="40"/>
    <n v="60"/>
    <x v="1"/>
    <s v="Credit Card"/>
    <s v="Adult"/>
    <n v="37.200000000000003"/>
    <n v="2015.34"/>
    <x v="0"/>
    <x v="1"/>
    <n v="0"/>
  </r>
  <r>
    <s v="CUST0704"/>
    <s v="Female"/>
    <n v="49"/>
    <n v="23"/>
    <x v="1"/>
    <s v="UPI"/>
    <s v="Adult"/>
    <n v="147.09"/>
    <n v="3668.02"/>
    <x v="0"/>
    <x v="0"/>
    <n v="0"/>
  </r>
  <r>
    <s v="CUST0705"/>
    <s v="Male"/>
    <n v="34"/>
    <n v="31"/>
    <x v="2"/>
    <s v="UPI"/>
    <s v="Adult"/>
    <n v="95.74"/>
    <n v="3250.54"/>
    <x v="0"/>
    <x v="2"/>
    <n v="0"/>
  </r>
  <r>
    <s v="CUST0706"/>
    <s v="Male"/>
    <n v="67"/>
    <n v="5"/>
    <x v="1"/>
    <s v="UPI"/>
    <s v="Senior"/>
    <n v="149.41"/>
    <n v="705.56"/>
    <x v="1"/>
    <x v="3"/>
    <n v="1"/>
  </r>
  <r>
    <s v="CUST0707"/>
    <s v="Female"/>
    <n v="68"/>
    <n v="34"/>
    <x v="0"/>
    <s v="Credit Card"/>
    <s v="Senior"/>
    <n v="138.5"/>
    <n v="4434.09"/>
    <x v="0"/>
    <x v="2"/>
    <n v="0"/>
  </r>
  <r>
    <s v="CUST0708"/>
    <s v="Female"/>
    <n v="34"/>
    <n v="10"/>
    <x v="2"/>
    <s v="Electronic Check"/>
    <s v="Adult"/>
    <n v="48.8"/>
    <n v="512.76"/>
    <x v="1"/>
    <x v="3"/>
    <n v="1"/>
  </r>
  <r>
    <s v="CUST0709"/>
    <s v="Female"/>
    <n v="31"/>
    <n v="2"/>
    <x v="0"/>
    <s v="Bank Transfer"/>
    <s v="Adult"/>
    <n v="27.3"/>
    <n v="51.91"/>
    <x v="0"/>
    <x v="3"/>
    <n v="0"/>
  </r>
  <r>
    <s v="CUST0710"/>
    <s v="Female"/>
    <n v="26"/>
    <n v="11"/>
    <x v="1"/>
    <s v="Credit Card"/>
    <s v="Young"/>
    <n v="53.23"/>
    <n v="631.79999999999995"/>
    <x v="0"/>
    <x v="3"/>
    <n v="0"/>
  </r>
  <r>
    <s v="CUST0711"/>
    <s v="Male"/>
    <n v="57"/>
    <n v="50"/>
    <x v="0"/>
    <s v="Electronic Check"/>
    <s v="Senior"/>
    <n v="88.58"/>
    <n v="4494.49"/>
    <x v="0"/>
    <x v="1"/>
    <n v="0"/>
  </r>
  <r>
    <s v="CUST0712"/>
    <s v="Female"/>
    <n v="19"/>
    <n v="31"/>
    <x v="2"/>
    <s v="Electronic Check"/>
    <s v="Young"/>
    <n v="42.31"/>
    <n v="1272.47"/>
    <x v="0"/>
    <x v="2"/>
    <n v="0"/>
  </r>
  <r>
    <s v="CUST0713"/>
    <s v="Male"/>
    <n v="62"/>
    <n v="56"/>
    <x v="1"/>
    <s v="Credit Card"/>
    <s v="Senior"/>
    <n v="41.77"/>
    <n v="2494.7600000000002"/>
    <x v="0"/>
    <x v="1"/>
    <n v="0"/>
  </r>
  <r>
    <s v="CUST0714"/>
    <s v="Female"/>
    <n v="42"/>
    <n v="9"/>
    <x v="0"/>
    <s v="Electronic Check"/>
    <s v="Adult"/>
    <n v="80.14"/>
    <n v="720.31"/>
    <x v="1"/>
    <x v="3"/>
    <n v="1"/>
  </r>
  <r>
    <s v="CUST0715"/>
    <s v="Female"/>
    <n v="56"/>
    <n v="21"/>
    <x v="0"/>
    <s v="Electronic Check"/>
    <s v="Senior"/>
    <n v="24.32"/>
    <n v="552.77"/>
    <x v="0"/>
    <x v="0"/>
    <n v="0"/>
  </r>
  <r>
    <s v="CUST0716"/>
    <s v="Female"/>
    <n v="26"/>
    <n v="28"/>
    <x v="2"/>
    <s v="Electronic Check"/>
    <s v="Young"/>
    <n v="35.85"/>
    <n v="1089.73"/>
    <x v="0"/>
    <x v="2"/>
    <n v="0"/>
  </r>
  <r>
    <s v="CUST0717"/>
    <s v="Male"/>
    <n v="39"/>
    <n v="62"/>
    <x v="0"/>
    <s v="Electronic Check"/>
    <s v="Adult"/>
    <n v="74.06"/>
    <n v="4284.46"/>
    <x v="0"/>
    <x v="1"/>
    <n v="0"/>
  </r>
  <r>
    <s v="CUST0718"/>
    <s v="Female"/>
    <n v="60"/>
    <n v="7"/>
    <x v="0"/>
    <s v="Bank Transfer"/>
    <s v="Senior"/>
    <n v="28.21"/>
    <n v="177.81"/>
    <x v="1"/>
    <x v="3"/>
    <n v="1"/>
  </r>
  <r>
    <s v="CUST0719"/>
    <s v="Female"/>
    <n v="63"/>
    <n v="16"/>
    <x v="0"/>
    <s v="Credit Card"/>
    <s v="Senior"/>
    <n v="71.58"/>
    <n v="1256.1300000000001"/>
    <x v="0"/>
    <x v="0"/>
    <n v="0"/>
  </r>
  <r>
    <s v="CUST0720"/>
    <s v="Female"/>
    <n v="21"/>
    <n v="4"/>
    <x v="0"/>
    <s v="Bank Transfer"/>
    <s v="Young"/>
    <n v="81.62"/>
    <n v="353"/>
    <x v="1"/>
    <x v="3"/>
    <n v="1"/>
  </r>
  <r>
    <s v="CUST0721"/>
    <s v="Female"/>
    <n v="43"/>
    <n v="4"/>
    <x v="1"/>
    <s v="Electronic Check"/>
    <s v="Adult"/>
    <n v="78.66"/>
    <n v="286.67"/>
    <x v="1"/>
    <x v="3"/>
    <n v="1"/>
  </r>
  <r>
    <s v="CUST0722"/>
    <s v="Male"/>
    <n v="46"/>
    <n v="40"/>
    <x v="2"/>
    <s v="Electronic Check"/>
    <s v="Adult"/>
    <n v="132.99"/>
    <n v="5673.92"/>
    <x v="1"/>
    <x v="2"/>
    <n v="1"/>
  </r>
  <r>
    <s v="CUST0723"/>
    <s v="Female"/>
    <n v="62"/>
    <n v="17"/>
    <x v="0"/>
    <s v="Bank Transfer"/>
    <s v="Senior"/>
    <n v="88.91"/>
    <n v="1498.71"/>
    <x v="0"/>
    <x v="0"/>
    <n v="0"/>
  </r>
  <r>
    <s v="CUST0724"/>
    <s v="Male"/>
    <n v="51"/>
    <n v="52"/>
    <x v="0"/>
    <s v="Credit Card"/>
    <s v="Senior"/>
    <n v="80.84"/>
    <n v="4001.03"/>
    <x v="0"/>
    <x v="1"/>
    <n v="0"/>
  </r>
  <r>
    <s v="CUST0725"/>
    <s v="Male"/>
    <n v="40"/>
    <n v="52"/>
    <x v="0"/>
    <s v="Credit Card"/>
    <s v="Adult"/>
    <n v="73.39"/>
    <n v="4105.3599999999997"/>
    <x v="0"/>
    <x v="1"/>
    <n v="0"/>
  </r>
  <r>
    <s v="CUST0726"/>
    <s v="Male"/>
    <n v="54"/>
    <n v="36"/>
    <x v="0"/>
    <s v="Credit Card"/>
    <s v="Senior"/>
    <n v="126.29"/>
    <n v="4270.62"/>
    <x v="1"/>
    <x v="2"/>
    <n v="1"/>
  </r>
  <r>
    <s v="CUST0727"/>
    <s v="Male"/>
    <n v="28"/>
    <n v="38"/>
    <x v="0"/>
    <s v="UPI"/>
    <s v="Young"/>
    <n v="136.36000000000001"/>
    <n v="5645.23"/>
    <x v="1"/>
    <x v="2"/>
    <n v="1"/>
  </r>
  <r>
    <s v="CUST0728"/>
    <s v="Male"/>
    <n v="23"/>
    <n v="50"/>
    <x v="0"/>
    <s v="Electronic Check"/>
    <s v="Young"/>
    <n v="130.91999999999999"/>
    <n v="6160.6"/>
    <x v="1"/>
    <x v="1"/>
    <n v="1"/>
  </r>
  <r>
    <s v="CUST0729"/>
    <s v="Male"/>
    <n v="35"/>
    <n v="63"/>
    <x v="0"/>
    <s v="Credit Card"/>
    <s v="Adult"/>
    <n v="107.56"/>
    <n v="6930.35"/>
    <x v="0"/>
    <x v="1"/>
    <n v="0"/>
  </r>
  <r>
    <s v="CUST0730"/>
    <s v="Female"/>
    <n v="38"/>
    <n v="63"/>
    <x v="2"/>
    <s v="Bank Transfer"/>
    <s v="Adult"/>
    <n v="37.86"/>
    <n v="2253.08"/>
    <x v="0"/>
    <x v="1"/>
    <n v="0"/>
  </r>
  <r>
    <s v="CUST0731"/>
    <s v="Male"/>
    <n v="59"/>
    <n v="62"/>
    <x v="0"/>
    <s v="Credit Card"/>
    <s v="Senior"/>
    <n v="55.99"/>
    <n v="3503.09"/>
    <x v="0"/>
    <x v="1"/>
    <n v="0"/>
  </r>
  <r>
    <s v="CUST0732"/>
    <s v="Male"/>
    <n v="53"/>
    <n v="7"/>
    <x v="2"/>
    <s v="Electronic Check"/>
    <s v="Senior"/>
    <n v="25.99"/>
    <n v="188.62"/>
    <x v="1"/>
    <x v="3"/>
    <n v="1"/>
  </r>
  <r>
    <s v="CUST0733"/>
    <s v="Male"/>
    <n v="58"/>
    <n v="27"/>
    <x v="2"/>
    <s v="Credit Card"/>
    <s v="Senior"/>
    <n v="141.01"/>
    <n v="3571.39"/>
    <x v="1"/>
    <x v="2"/>
    <n v="1"/>
  </r>
  <r>
    <s v="CUST0734"/>
    <s v="Female"/>
    <n v="55"/>
    <n v="14"/>
    <x v="2"/>
    <s v="Bank Transfer"/>
    <s v="Senior"/>
    <n v="105.9"/>
    <n v="1488.79"/>
    <x v="1"/>
    <x v="0"/>
    <n v="1"/>
  </r>
  <r>
    <s v="CUST0735"/>
    <s v="Female"/>
    <n v="51"/>
    <n v="71"/>
    <x v="2"/>
    <s v="Electronic Check"/>
    <s v="Senior"/>
    <n v="117.03"/>
    <n v="8257.7099999999991"/>
    <x v="1"/>
    <x v="1"/>
    <n v="1"/>
  </r>
  <r>
    <s v="CUST0736"/>
    <s v="Male"/>
    <n v="34"/>
    <n v="5"/>
    <x v="0"/>
    <s v="Electronic Check"/>
    <s v="Adult"/>
    <n v="60.5"/>
    <n v="276.55"/>
    <x v="0"/>
    <x v="3"/>
    <n v="0"/>
  </r>
  <r>
    <s v="CUST0737"/>
    <s v="Female"/>
    <n v="54"/>
    <n v="55"/>
    <x v="1"/>
    <s v="Electronic Check"/>
    <s v="Senior"/>
    <n v="129.93"/>
    <n v="7601.09"/>
    <x v="1"/>
    <x v="1"/>
    <n v="1"/>
  </r>
  <r>
    <s v="CUST0738"/>
    <s v="Male"/>
    <n v="42"/>
    <n v="2"/>
    <x v="2"/>
    <s v="UPI"/>
    <s v="Adult"/>
    <n v="53.75"/>
    <n v="103.97"/>
    <x v="0"/>
    <x v="3"/>
    <n v="0"/>
  </r>
  <r>
    <s v="CUST0739"/>
    <s v="Male"/>
    <n v="55"/>
    <n v="62"/>
    <x v="0"/>
    <s v="Electronic Check"/>
    <s v="Senior"/>
    <n v="20.21"/>
    <n v="1271.71"/>
    <x v="0"/>
    <x v="1"/>
    <n v="0"/>
  </r>
  <r>
    <s v="CUST0740"/>
    <s v="Female"/>
    <n v="29"/>
    <n v="21"/>
    <x v="1"/>
    <s v="UPI"/>
    <s v="Young"/>
    <n v="68.930000000000007"/>
    <n v="1451.81"/>
    <x v="0"/>
    <x v="0"/>
    <n v="0"/>
  </r>
  <r>
    <s v="CUST0741"/>
    <s v="Male"/>
    <n v="40"/>
    <n v="21"/>
    <x v="2"/>
    <s v="Credit Card"/>
    <s v="Adult"/>
    <n v="94.2"/>
    <n v="1983.45"/>
    <x v="0"/>
    <x v="0"/>
    <n v="0"/>
  </r>
  <r>
    <s v="CUST0742"/>
    <s v="Female"/>
    <n v="70"/>
    <n v="10"/>
    <x v="0"/>
    <s v="UPI"/>
    <s v="Senior"/>
    <n v="82.23"/>
    <n v="757.7"/>
    <x v="0"/>
    <x v="3"/>
    <n v="0"/>
  </r>
  <r>
    <s v="CUST0743"/>
    <s v="Female"/>
    <n v="59"/>
    <n v="58"/>
    <x v="0"/>
    <s v="UPI"/>
    <s v="Senior"/>
    <n v="132.07"/>
    <n v="7542.83"/>
    <x v="1"/>
    <x v="1"/>
    <n v="1"/>
  </r>
  <r>
    <s v="CUST0744"/>
    <s v="Male"/>
    <n v="39"/>
    <n v="39"/>
    <x v="0"/>
    <s v="Credit Card"/>
    <s v="Adult"/>
    <n v="33.700000000000003"/>
    <n v="1301.78"/>
    <x v="0"/>
    <x v="2"/>
    <n v="0"/>
  </r>
  <r>
    <s v="CUST0745"/>
    <s v="Male"/>
    <n v="38"/>
    <n v="5"/>
    <x v="1"/>
    <s v="Electronic Check"/>
    <s v="Adult"/>
    <n v="92"/>
    <n v="481.5"/>
    <x v="0"/>
    <x v="3"/>
    <n v="0"/>
  </r>
  <r>
    <s v="CUST0746"/>
    <s v="Female"/>
    <n v="44"/>
    <n v="65"/>
    <x v="2"/>
    <s v="Electronic Check"/>
    <s v="Adult"/>
    <n v="86.69"/>
    <n v="6018.04"/>
    <x v="1"/>
    <x v="1"/>
    <n v="1"/>
  </r>
  <r>
    <s v="CUST0747"/>
    <s v="Male"/>
    <n v="48"/>
    <n v="13"/>
    <x v="1"/>
    <s v="Electronic Check"/>
    <s v="Adult"/>
    <n v="56.58"/>
    <n v="742.16"/>
    <x v="0"/>
    <x v="0"/>
    <n v="0"/>
  </r>
  <r>
    <s v="CUST0748"/>
    <s v="Male"/>
    <n v="23"/>
    <n v="53"/>
    <x v="2"/>
    <s v="Bank Transfer"/>
    <s v="Young"/>
    <n v="126.89"/>
    <n v="6169.38"/>
    <x v="0"/>
    <x v="1"/>
    <n v="0"/>
  </r>
  <r>
    <s v="CUST0749"/>
    <s v="Male"/>
    <n v="44"/>
    <n v="45"/>
    <x v="0"/>
    <s v="Electronic Check"/>
    <s v="Adult"/>
    <n v="117.87"/>
    <n v="5024.99"/>
    <x v="0"/>
    <x v="2"/>
    <n v="0"/>
  </r>
  <r>
    <s v="CUST0750"/>
    <s v="Female"/>
    <n v="57"/>
    <n v="32"/>
    <x v="0"/>
    <s v="Electronic Check"/>
    <s v="Senior"/>
    <n v="115.27"/>
    <n v="3441.45"/>
    <x v="1"/>
    <x v="2"/>
    <n v="1"/>
  </r>
  <r>
    <s v="CUST0751"/>
    <s v="Female"/>
    <n v="51"/>
    <n v="36"/>
    <x v="2"/>
    <s v="Credit Card"/>
    <s v="Senior"/>
    <n v="133.91"/>
    <n v="4458.83"/>
    <x v="1"/>
    <x v="2"/>
    <n v="1"/>
  </r>
  <r>
    <s v="CUST0752"/>
    <s v="Male"/>
    <n v="29"/>
    <n v="60"/>
    <x v="2"/>
    <s v="UPI"/>
    <s v="Young"/>
    <n v="113.96"/>
    <n v="6654.21"/>
    <x v="0"/>
    <x v="1"/>
    <n v="0"/>
  </r>
  <r>
    <s v="CUST0753"/>
    <s v="Female"/>
    <n v="62"/>
    <n v="11"/>
    <x v="1"/>
    <s v="Electronic Check"/>
    <s v="Senior"/>
    <n v="50.14"/>
    <n v="521.69000000000005"/>
    <x v="1"/>
    <x v="3"/>
    <n v="1"/>
  </r>
  <r>
    <s v="CUST0754"/>
    <s v="Female"/>
    <n v="70"/>
    <n v="63"/>
    <x v="0"/>
    <s v="Electronic Check"/>
    <s v="Senior"/>
    <n v="111.72"/>
    <n v="6641.82"/>
    <x v="0"/>
    <x v="1"/>
    <n v="0"/>
  </r>
  <r>
    <s v="CUST0755"/>
    <s v="Female"/>
    <n v="24"/>
    <n v="21"/>
    <x v="0"/>
    <s v="Electronic Check"/>
    <s v="Young"/>
    <n v="60"/>
    <n v="1147.78"/>
    <x v="0"/>
    <x v="0"/>
    <n v="0"/>
  </r>
  <r>
    <s v="CUST0756"/>
    <s v="Female"/>
    <n v="27"/>
    <n v="52"/>
    <x v="2"/>
    <s v="UPI"/>
    <s v="Young"/>
    <n v="51.48"/>
    <n v="2418.7199999999998"/>
    <x v="0"/>
    <x v="1"/>
    <n v="0"/>
  </r>
  <r>
    <s v="CUST0757"/>
    <s v="Female"/>
    <n v="62"/>
    <n v="55"/>
    <x v="2"/>
    <s v="Bank Transfer"/>
    <s v="Senior"/>
    <n v="29.49"/>
    <n v="1493.09"/>
    <x v="0"/>
    <x v="1"/>
    <n v="0"/>
  </r>
  <r>
    <s v="CUST0758"/>
    <s v="Male"/>
    <n v="34"/>
    <n v="26"/>
    <x v="2"/>
    <s v="Electronic Check"/>
    <s v="Adult"/>
    <n v="116.72"/>
    <n v="2835.76"/>
    <x v="0"/>
    <x v="2"/>
    <n v="0"/>
  </r>
  <r>
    <s v="CUST0759"/>
    <s v="Male"/>
    <n v="43"/>
    <n v="68"/>
    <x v="2"/>
    <s v="Electronic Check"/>
    <s v="Adult"/>
    <n v="112.43"/>
    <n v="7539.71"/>
    <x v="1"/>
    <x v="1"/>
    <n v="1"/>
  </r>
  <r>
    <s v="CUST0760"/>
    <s v="Male"/>
    <n v="38"/>
    <n v="34"/>
    <x v="0"/>
    <s v="Electronic Check"/>
    <s v="Adult"/>
    <n v="50.48"/>
    <n v="1719.93"/>
    <x v="0"/>
    <x v="2"/>
    <n v="0"/>
  </r>
  <r>
    <s v="CUST0761"/>
    <s v="Female"/>
    <n v="45"/>
    <n v="52"/>
    <x v="2"/>
    <s v="Electronic Check"/>
    <s v="Adult"/>
    <n v="117.42"/>
    <n v="5666.94"/>
    <x v="0"/>
    <x v="1"/>
    <n v="0"/>
  </r>
  <r>
    <s v="CUST0762"/>
    <s v="Female"/>
    <n v="63"/>
    <n v="52"/>
    <x v="2"/>
    <s v="UPI"/>
    <s v="Senior"/>
    <n v="139.32"/>
    <n v="7135.66"/>
    <x v="0"/>
    <x v="1"/>
    <n v="0"/>
  </r>
  <r>
    <s v="CUST0763"/>
    <s v="Male"/>
    <n v="19"/>
    <n v="29"/>
    <x v="1"/>
    <s v="Bank Transfer"/>
    <s v="Young"/>
    <n v="34.04"/>
    <n v="955.92"/>
    <x v="0"/>
    <x v="2"/>
    <n v="0"/>
  </r>
  <r>
    <s v="CUST0764"/>
    <s v="Female"/>
    <n v="60"/>
    <n v="38"/>
    <x v="1"/>
    <s v="Credit Card"/>
    <s v="Senior"/>
    <n v="50.24"/>
    <n v="1788.24"/>
    <x v="0"/>
    <x v="2"/>
    <n v="0"/>
  </r>
  <r>
    <s v="CUST0765"/>
    <s v="Male"/>
    <n v="18"/>
    <n v="42"/>
    <x v="0"/>
    <s v="UPI"/>
    <s v="Young"/>
    <n v="117.53"/>
    <n v="4449.3900000000003"/>
    <x v="0"/>
    <x v="2"/>
    <n v="0"/>
  </r>
  <r>
    <s v="CUST0766"/>
    <s v="Male"/>
    <n v="68"/>
    <n v="21"/>
    <x v="0"/>
    <s v="Electronic Check"/>
    <s v="Senior"/>
    <n v="55.69"/>
    <n v="1161.78"/>
    <x v="0"/>
    <x v="0"/>
    <n v="0"/>
  </r>
  <r>
    <s v="CUST0767"/>
    <s v="Male"/>
    <n v="70"/>
    <n v="42"/>
    <x v="1"/>
    <s v="Bank Transfer"/>
    <s v="Senior"/>
    <n v="101.21"/>
    <n v="4408.6499999999996"/>
    <x v="0"/>
    <x v="2"/>
    <n v="0"/>
  </r>
  <r>
    <s v="CUST0768"/>
    <s v="Female"/>
    <n v="53"/>
    <n v="13"/>
    <x v="0"/>
    <s v="UPI"/>
    <s v="Senior"/>
    <n v="30.55"/>
    <n v="375.41"/>
    <x v="0"/>
    <x v="0"/>
    <n v="0"/>
  </r>
  <r>
    <s v="CUST0769"/>
    <s v="Female"/>
    <n v="68"/>
    <n v="64"/>
    <x v="1"/>
    <s v="Credit Card"/>
    <s v="Senior"/>
    <n v="78.790000000000006"/>
    <n v="4671.2299999999996"/>
    <x v="0"/>
    <x v="1"/>
    <n v="0"/>
  </r>
  <r>
    <s v="CUST0770"/>
    <s v="Male"/>
    <n v="43"/>
    <n v="17"/>
    <x v="0"/>
    <s v="Bank Transfer"/>
    <s v="Adult"/>
    <n v="116.08"/>
    <n v="2126.11"/>
    <x v="1"/>
    <x v="0"/>
    <n v="1"/>
  </r>
  <r>
    <s v="CUST0771"/>
    <s v="Male"/>
    <n v="46"/>
    <n v="9"/>
    <x v="2"/>
    <s v="Electronic Check"/>
    <s v="Adult"/>
    <n v="109.25"/>
    <n v="939.01"/>
    <x v="0"/>
    <x v="3"/>
    <n v="0"/>
  </r>
  <r>
    <s v="CUST0772"/>
    <s v="Male"/>
    <n v="38"/>
    <n v="41"/>
    <x v="1"/>
    <s v="Electronic Check"/>
    <s v="Adult"/>
    <n v="125.96"/>
    <n v="4878.8900000000003"/>
    <x v="0"/>
    <x v="2"/>
    <n v="0"/>
  </r>
  <r>
    <s v="CUST0773"/>
    <s v="Male"/>
    <n v="28"/>
    <n v="1"/>
    <x v="1"/>
    <s v="Electronic Check"/>
    <s v="Young"/>
    <n v="134.07"/>
    <n v="143.65"/>
    <x v="1"/>
    <x v="3"/>
    <n v="1"/>
  </r>
  <r>
    <s v="CUST0774"/>
    <s v="Female"/>
    <n v="57"/>
    <n v="2"/>
    <x v="0"/>
    <s v="Credit Card"/>
    <s v="Senior"/>
    <n v="120.51"/>
    <n v="256.31"/>
    <x v="0"/>
    <x v="3"/>
    <n v="0"/>
  </r>
  <r>
    <s v="CUST0775"/>
    <s v="Female"/>
    <n v="28"/>
    <n v="60"/>
    <x v="2"/>
    <s v="Bank Transfer"/>
    <s v="Young"/>
    <n v="107.31"/>
    <n v="6372.08"/>
    <x v="0"/>
    <x v="1"/>
    <n v="0"/>
  </r>
  <r>
    <s v="CUST0776"/>
    <s v="Male"/>
    <n v="53"/>
    <n v="48"/>
    <x v="0"/>
    <s v="UPI"/>
    <s v="Senior"/>
    <n v="24.12"/>
    <n v="1155.27"/>
    <x v="1"/>
    <x v="2"/>
    <n v="1"/>
  </r>
  <r>
    <s v="CUST0777"/>
    <s v="Male"/>
    <n v="66"/>
    <n v="29"/>
    <x v="0"/>
    <s v="Bank Transfer"/>
    <s v="Senior"/>
    <n v="89.55"/>
    <n v="2450.35"/>
    <x v="0"/>
    <x v="2"/>
    <n v="0"/>
  </r>
  <r>
    <s v="CUST0778"/>
    <s v="Female"/>
    <n v="56"/>
    <n v="10"/>
    <x v="2"/>
    <s v="UPI"/>
    <s v="Senior"/>
    <n v="24.9"/>
    <n v="228"/>
    <x v="0"/>
    <x v="3"/>
    <n v="0"/>
  </r>
  <r>
    <s v="CUST0779"/>
    <s v="Female"/>
    <n v="57"/>
    <n v="58"/>
    <x v="2"/>
    <s v="UPI"/>
    <s v="Senior"/>
    <n v="125.05"/>
    <n v="7359.42"/>
    <x v="1"/>
    <x v="1"/>
    <n v="1"/>
  </r>
  <r>
    <s v="CUST0780"/>
    <s v="Male"/>
    <n v="52"/>
    <n v="60"/>
    <x v="1"/>
    <s v="Electronic Check"/>
    <s v="Senior"/>
    <n v="61.69"/>
    <n v="3404.06"/>
    <x v="0"/>
    <x v="1"/>
    <n v="0"/>
  </r>
  <r>
    <s v="CUST0781"/>
    <s v="Male"/>
    <n v="51"/>
    <n v="21"/>
    <x v="0"/>
    <s v="Credit Card"/>
    <s v="Senior"/>
    <n v="93.12"/>
    <n v="1935.68"/>
    <x v="0"/>
    <x v="0"/>
    <n v="0"/>
  </r>
  <r>
    <s v="CUST0782"/>
    <s v="Male"/>
    <n v="64"/>
    <n v="28"/>
    <x v="0"/>
    <s v="Electronic Check"/>
    <s v="Senior"/>
    <n v="56.33"/>
    <n v="1716.19"/>
    <x v="1"/>
    <x v="2"/>
    <n v="1"/>
  </r>
  <r>
    <s v="CUST0783"/>
    <s v="Female"/>
    <n v="41"/>
    <n v="34"/>
    <x v="0"/>
    <s v="Bank Transfer"/>
    <s v="Adult"/>
    <n v="121.73"/>
    <n v="4513.66"/>
    <x v="0"/>
    <x v="2"/>
    <n v="0"/>
  </r>
  <r>
    <s v="CUST0784"/>
    <s v="Female"/>
    <n v="39"/>
    <n v="8"/>
    <x v="0"/>
    <s v="UPI"/>
    <s v="Adult"/>
    <n v="135.25"/>
    <n v="1025.5899999999999"/>
    <x v="0"/>
    <x v="3"/>
    <n v="0"/>
  </r>
  <r>
    <s v="CUST0785"/>
    <s v="Female"/>
    <n v="22"/>
    <n v="59"/>
    <x v="0"/>
    <s v="Electronic Check"/>
    <s v="Young"/>
    <n v="71.819999999999993"/>
    <n v="4342.5600000000004"/>
    <x v="0"/>
    <x v="1"/>
    <n v="0"/>
  </r>
  <r>
    <s v="CUST0786"/>
    <s v="Male"/>
    <n v="50"/>
    <n v="72"/>
    <x v="2"/>
    <s v="Bank Transfer"/>
    <s v="Senior"/>
    <n v="132.18"/>
    <n v="9467.6200000000008"/>
    <x v="0"/>
    <x v="1"/>
    <n v="0"/>
  </r>
  <r>
    <s v="CUST0787"/>
    <s v="Male"/>
    <n v="53"/>
    <n v="49"/>
    <x v="0"/>
    <s v="Bank Transfer"/>
    <s v="Senior"/>
    <n v="54.72"/>
    <n v="2882.74"/>
    <x v="0"/>
    <x v="1"/>
    <n v="0"/>
  </r>
  <r>
    <s v="CUST0788"/>
    <s v="Female"/>
    <n v="64"/>
    <n v="17"/>
    <x v="1"/>
    <s v="Credit Card"/>
    <s v="Senior"/>
    <n v="89.51"/>
    <n v="1452.11"/>
    <x v="0"/>
    <x v="0"/>
    <n v="0"/>
  </r>
  <r>
    <s v="CUST0789"/>
    <s v="Female"/>
    <n v="37"/>
    <n v="60"/>
    <x v="1"/>
    <s v="Credit Card"/>
    <s v="Adult"/>
    <n v="131.63999999999999"/>
    <n v="7114.41"/>
    <x v="0"/>
    <x v="1"/>
    <n v="0"/>
  </r>
  <r>
    <s v="CUST0790"/>
    <s v="Male"/>
    <n v="36"/>
    <n v="45"/>
    <x v="2"/>
    <s v="Credit Card"/>
    <s v="Adult"/>
    <n v="62.36"/>
    <n v="2616.8200000000002"/>
    <x v="0"/>
    <x v="2"/>
    <n v="0"/>
  </r>
  <r>
    <s v="CUST0791"/>
    <s v="Female"/>
    <n v="52"/>
    <n v="69"/>
    <x v="1"/>
    <s v="Electronic Check"/>
    <s v="Senior"/>
    <n v="144.03"/>
    <n v="9638.98"/>
    <x v="0"/>
    <x v="1"/>
    <n v="0"/>
  </r>
  <r>
    <s v="CUST0792"/>
    <s v="Female"/>
    <n v="69"/>
    <n v="32"/>
    <x v="2"/>
    <s v="Electronic Check"/>
    <s v="Senior"/>
    <n v="35.840000000000003"/>
    <n v="1104.6099999999999"/>
    <x v="1"/>
    <x v="2"/>
    <n v="1"/>
  </r>
  <r>
    <s v="CUST0793"/>
    <s v="Male"/>
    <n v="60"/>
    <n v="44"/>
    <x v="0"/>
    <s v="Electronic Check"/>
    <s v="Senior"/>
    <n v="22.38"/>
    <n v="1042.0999999999999"/>
    <x v="0"/>
    <x v="2"/>
    <n v="0"/>
  </r>
  <r>
    <s v="CUST0794"/>
    <s v="Female"/>
    <n v="34"/>
    <n v="65"/>
    <x v="0"/>
    <s v="Credit Card"/>
    <s v="Adult"/>
    <n v="137.54"/>
    <n v="9262.9500000000007"/>
    <x v="0"/>
    <x v="1"/>
    <n v="0"/>
  </r>
  <r>
    <s v="CUST0795"/>
    <s v="Male"/>
    <n v="62"/>
    <n v="8"/>
    <x v="0"/>
    <s v="Electronic Check"/>
    <s v="Senior"/>
    <n v="28.92"/>
    <n v="222.09"/>
    <x v="1"/>
    <x v="3"/>
    <n v="1"/>
  </r>
  <r>
    <s v="CUST0796"/>
    <s v="Male"/>
    <n v="60"/>
    <n v="72"/>
    <x v="2"/>
    <s v="UPI"/>
    <s v="Senior"/>
    <n v="148.94999999999999"/>
    <n v="10633.77"/>
    <x v="1"/>
    <x v="1"/>
    <n v="1"/>
  </r>
  <r>
    <s v="CUST0797"/>
    <s v="Male"/>
    <n v="51"/>
    <n v="43"/>
    <x v="1"/>
    <s v="Credit Card"/>
    <s v="Senior"/>
    <n v="143.68"/>
    <n v="5678.49"/>
    <x v="0"/>
    <x v="2"/>
    <n v="0"/>
  </r>
  <r>
    <s v="CUST0798"/>
    <s v="Male"/>
    <n v="26"/>
    <n v="1"/>
    <x v="0"/>
    <s v="Bank Transfer"/>
    <s v="Young"/>
    <n v="37.81"/>
    <n v="40.82"/>
    <x v="0"/>
    <x v="3"/>
    <n v="0"/>
  </r>
  <r>
    <s v="CUST0799"/>
    <s v="Male"/>
    <n v="43"/>
    <n v="51"/>
    <x v="1"/>
    <s v="Credit Card"/>
    <s v="Adult"/>
    <n v="89.89"/>
    <n v="4983.62"/>
    <x v="0"/>
    <x v="1"/>
    <n v="0"/>
  </r>
  <r>
    <s v="CUST0800"/>
    <s v="Male"/>
    <n v="19"/>
    <n v="24"/>
    <x v="2"/>
    <s v="Credit Card"/>
    <s v="Young"/>
    <n v="44.04"/>
    <n v="1158.3900000000001"/>
    <x v="0"/>
    <x v="0"/>
    <n v="0"/>
  </r>
  <r>
    <s v="CUST0801"/>
    <s v="Male"/>
    <n v="70"/>
    <n v="24"/>
    <x v="0"/>
    <s v="UPI"/>
    <s v="Senior"/>
    <n v="75.66"/>
    <n v="1949.69"/>
    <x v="0"/>
    <x v="0"/>
    <n v="0"/>
  </r>
  <r>
    <s v="CUST0802"/>
    <s v="Female"/>
    <n v="26"/>
    <n v="17"/>
    <x v="1"/>
    <s v="Electronic Check"/>
    <s v="Young"/>
    <n v="27.99"/>
    <n v="444.8"/>
    <x v="0"/>
    <x v="0"/>
    <n v="0"/>
  </r>
  <r>
    <s v="CUST0803"/>
    <s v="Male"/>
    <n v="26"/>
    <n v="5"/>
    <x v="0"/>
    <s v="Electronic Check"/>
    <s v="Young"/>
    <n v="49.11"/>
    <n v="223.26"/>
    <x v="1"/>
    <x v="3"/>
    <n v="1"/>
  </r>
  <r>
    <s v="CUST0804"/>
    <s v="Male"/>
    <n v="57"/>
    <n v="20"/>
    <x v="0"/>
    <s v="Bank Transfer"/>
    <s v="Senior"/>
    <n v="67.23"/>
    <n v="1366.01"/>
    <x v="0"/>
    <x v="0"/>
    <n v="0"/>
  </r>
  <r>
    <s v="CUST0805"/>
    <s v="Female"/>
    <n v="34"/>
    <n v="21"/>
    <x v="2"/>
    <s v="Electronic Check"/>
    <s v="Adult"/>
    <n v="77.02"/>
    <n v="1750.89"/>
    <x v="0"/>
    <x v="0"/>
    <n v="0"/>
  </r>
  <r>
    <s v="CUST0806"/>
    <s v="Female"/>
    <n v="18"/>
    <n v="58"/>
    <x v="0"/>
    <s v="Electronic Check"/>
    <s v="Young"/>
    <n v="147.07"/>
    <n v="7979.62"/>
    <x v="0"/>
    <x v="1"/>
    <n v="0"/>
  </r>
  <r>
    <s v="CUST0807"/>
    <s v="Female"/>
    <n v="42"/>
    <n v="31"/>
    <x v="2"/>
    <s v="Credit Card"/>
    <s v="Adult"/>
    <n v="125.02"/>
    <n v="3493.52"/>
    <x v="0"/>
    <x v="2"/>
    <n v="0"/>
  </r>
  <r>
    <s v="CUST0808"/>
    <s v="Male"/>
    <n v="60"/>
    <n v="11"/>
    <x v="0"/>
    <s v="Electronic Check"/>
    <s v="Senior"/>
    <n v="115.86"/>
    <n v="1352.33"/>
    <x v="1"/>
    <x v="3"/>
    <n v="1"/>
  </r>
  <r>
    <s v="CUST0809"/>
    <s v="Female"/>
    <n v="57"/>
    <n v="52"/>
    <x v="0"/>
    <s v="Unknown"/>
    <s v="Senior"/>
    <n v="89.82"/>
    <n v="4275.3100000000004"/>
    <x v="0"/>
    <x v="1"/>
    <n v="0"/>
  </r>
  <r>
    <s v="CUST0810"/>
    <s v="Male"/>
    <n v="59"/>
    <n v="15"/>
    <x v="1"/>
    <s v="Electronic Check"/>
    <s v="Senior"/>
    <n v="129.19999999999999"/>
    <n v="1904.55"/>
    <x v="0"/>
    <x v="0"/>
    <n v="0"/>
  </r>
  <r>
    <s v="CUST0811"/>
    <s v="Male"/>
    <n v="42"/>
    <n v="7"/>
    <x v="0"/>
    <s v="UPI"/>
    <s v="Adult"/>
    <n v="64.11"/>
    <n v="464.83"/>
    <x v="1"/>
    <x v="3"/>
    <n v="1"/>
  </r>
  <r>
    <s v="CUST0812"/>
    <s v="Male"/>
    <n v="56"/>
    <n v="28"/>
    <x v="0"/>
    <s v="Bank Transfer"/>
    <s v="Senior"/>
    <n v="112.16"/>
    <n v="2975.16"/>
    <x v="1"/>
    <x v="2"/>
    <n v="1"/>
  </r>
  <r>
    <s v="CUST0813"/>
    <s v="Male"/>
    <n v="52"/>
    <n v="51"/>
    <x v="0"/>
    <s v="Bank Transfer"/>
    <s v="Senior"/>
    <n v="149.19"/>
    <n v="6975.59"/>
    <x v="0"/>
    <x v="1"/>
    <n v="0"/>
  </r>
  <r>
    <s v="CUST0814"/>
    <s v="Female"/>
    <n v="20"/>
    <n v="58"/>
    <x v="1"/>
    <s v="Bank Transfer"/>
    <s v="Young"/>
    <n v="60.9"/>
    <n v="3722.95"/>
    <x v="0"/>
    <x v="1"/>
    <n v="0"/>
  </r>
  <r>
    <s v="CUST0815"/>
    <s v="Female"/>
    <n v="67"/>
    <n v="5"/>
    <x v="0"/>
    <s v="UPI"/>
    <s v="Senior"/>
    <n v="107.62"/>
    <n v="552.11"/>
    <x v="1"/>
    <x v="3"/>
    <n v="1"/>
  </r>
  <r>
    <s v="CUST0816"/>
    <s v="Male"/>
    <n v="54"/>
    <n v="5"/>
    <x v="0"/>
    <s v="Electronic Check"/>
    <s v="Senior"/>
    <n v="129.76"/>
    <n v="712.19"/>
    <x v="0"/>
    <x v="3"/>
    <n v="0"/>
  </r>
  <r>
    <s v="CUST0817"/>
    <s v="Male"/>
    <n v="61"/>
    <n v="8"/>
    <x v="0"/>
    <s v="UPI"/>
    <s v="Senior"/>
    <n v="139.05000000000001"/>
    <n v="1077.76"/>
    <x v="1"/>
    <x v="3"/>
    <n v="1"/>
  </r>
  <r>
    <s v="CUST0818"/>
    <s v="Male"/>
    <n v="61"/>
    <n v="64"/>
    <x v="0"/>
    <s v="Bank Transfer"/>
    <s v="Senior"/>
    <n v="113.33"/>
    <n v="6617.4"/>
    <x v="1"/>
    <x v="1"/>
    <n v="1"/>
  </r>
  <r>
    <s v="CUST0819"/>
    <s v="Female"/>
    <n v="68"/>
    <n v="10"/>
    <x v="1"/>
    <s v="Bank Transfer"/>
    <s v="Senior"/>
    <n v="56.87"/>
    <n v="595.35"/>
    <x v="1"/>
    <x v="3"/>
    <n v="1"/>
  </r>
  <r>
    <s v="CUST0820"/>
    <s v="Male"/>
    <n v="47"/>
    <n v="38"/>
    <x v="2"/>
    <s v="Credit Card"/>
    <s v="Adult"/>
    <n v="62.42"/>
    <n v="2382.27"/>
    <x v="0"/>
    <x v="2"/>
    <n v="0"/>
  </r>
  <r>
    <s v="CUST0821"/>
    <s v="Male"/>
    <n v="55"/>
    <n v="8"/>
    <x v="0"/>
    <s v="Electronic Check"/>
    <s v="Senior"/>
    <n v="22.7"/>
    <n v="171.18"/>
    <x v="0"/>
    <x v="3"/>
    <n v="0"/>
  </r>
  <r>
    <s v="CUST0822"/>
    <s v="Female"/>
    <n v="51"/>
    <n v="25"/>
    <x v="2"/>
    <s v="Credit Card"/>
    <s v="Senior"/>
    <n v="118.92"/>
    <n v="3140.52"/>
    <x v="0"/>
    <x v="2"/>
    <n v="0"/>
  </r>
  <r>
    <s v="CUST0823"/>
    <s v="Female"/>
    <n v="29"/>
    <n v="66"/>
    <x v="0"/>
    <s v="Bank Transfer"/>
    <s v="Young"/>
    <n v="25.56"/>
    <n v="1587.01"/>
    <x v="0"/>
    <x v="1"/>
    <n v="0"/>
  </r>
  <r>
    <s v="CUST0824"/>
    <s v="Male"/>
    <n v="36"/>
    <n v="50"/>
    <x v="1"/>
    <s v="Electronic Check"/>
    <s v="Adult"/>
    <n v="132.4"/>
    <n v="6303.12"/>
    <x v="0"/>
    <x v="1"/>
    <n v="0"/>
  </r>
  <r>
    <s v="CUST0825"/>
    <s v="Female"/>
    <n v="54"/>
    <n v="67"/>
    <x v="1"/>
    <s v="Bank Transfer"/>
    <s v="Senior"/>
    <n v="35.43"/>
    <n v="2180.36"/>
    <x v="0"/>
    <x v="1"/>
    <n v="0"/>
  </r>
  <r>
    <s v="CUST0826"/>
    <s v="Female"/>
    <n v="61"/>
    <n v="49"/>
    <x v="0"/>
    <s v="Electronic Check"/>
    <s v="Senior"/>
    <n v="42.34"/>
    <n v="2032.93"/>
    <x v="0"/>
    <x v="1"/>
    <n v="0"/>
  </r>
  <r>
    <s v="CUST0827"/>
    <s v="Male"/>
    <n v="66"/>
    <n v="36"/>
    <x v="1"/>
    <s v="Electronic Check"/>
    <s v="Senior"/>
    <n v="81.95"/>
    <n v="2902.36"/>
    <x v="0"/>
    <x v="2"/>
    <n v="0"/>
  </r>
  <r>
    <s v="CUST0828"/>
    <s v="Female"/>
    <n v="34"/>
    <n v="68"/>
    <x v="2"/>
    <s v="Electronic Check"/>
    <s v="Adult"/>
    <n v="115.92"/>
    <n v="7905.52"/>
    <x v="0"/>
    <x v="1"/>
    <n v="0"/>
  </r>
  <r>
    <s v="CUST0829"/>
    <s v="Male"/>
    <n v="27"/>
    <n v="41"/>
    <x v="0"/>
    <s v="Electronic Check"/>
    <s v="Young"/>
    <n v="38.07"/>
    <n v="1626.1"/>
    <x v="1"/>
    <x v="2"/>
    <n v="1"/>
  </r>
  <r>
    <s v="CUST0830"/>
    <s v="Female"/>
    <n v="66"/>
    <n v="62"/>
    <x v="0"/>
    <s v="Credit Card"/>
    <s v="Senior"/>
    <n v="77.209999999999994"/>
    <n v="5175.82"/>
    <x v="1"/>
    <x v="1"/>
    <n v="1"/>
  </r>
  <r>
    <s v="CUST0831"/>
    <s v="Male"/>
    <n v="64"/>
    <n v="10"/>
    <x v="0"/>
    <s v="Electronic Check"/>
    <s v="Senior"/>
    <n v="82.77"/>
    <n v="767.73"/>
    <x v="1"/>
    <x v="3"/>
    <n v="1"/>
  </r>
  <r>
    <s v="CUST0832"/>
    <s v="Male"/>
    <n v="29"/>
    <n v="21"/>
    <x v="2"/>
    <s v="UPI"/>
    <s v="Young"/>
    <n v="47.6"/>
    <n v="910.51"/>
    <x v="0"/>
    <x v="0"/>
    <n v="0"/>
  </r>
  <r>
    <s v="CUST0833"/>
    <s v="Male"/>
    <n v="33"/>
    <n v="36"/>
    <x v="1"/>
    <s v="Credit Card"/>
    <s v="Adult"/>
    <n v="35.020000000000003"/>
    <n v="1139.32"/>
    <x v="0"/>
    <x v="2"/>
    <n v="0"/>
  </r>
  <r>
    <s v="CUST0834"/>
    <s v="Female"/>
    <n v="41"/>
    <n v="12"/>
    <x v="2"/>
    <s v="Electronic Check"/>
    <s v="Adult"/>
    <n v="128.72999999999999"/>
    <n v="1434.66"/>
    <x v="0"/>
    <x v="3"/>
    <n v="0"/>
  </r>
  <r>
    <s v="CUST0835"/>
    <s v="Male"/>
    <n v="36"/>
    <n v="2"/>
    <x v="1"/>
    <s v="Bank Transfer"/>
    <s v="Adult"/>
    <n v="85.32"/>
    <n v="176.03"/>
    <x v="1"/>
    <x v="3"/>
    <n v="1"/>
  </r>
  <r>
    <s v="CUST0836"/>
    <s v="Female"/>
    <n v="25"/>
    <n v="13"/>
    <x v="2"/>
    <s v="UPI"/>
    <s v="Young"/>
    <n v="21.87"/>
    <n v="297.24"/>
    <x v="0"/>
    <x v="0"/>
    <n v="0"/>
  </r>
  <r>
    <s v="CUST0837"/>
    <s v="Male"/>
    <n v="48"/>
    <n v="53"/>
    <x v="1"/>
    <s v="Bank Transfer"/>
    <s v="Adult"/>
    <n v="124.39"/>
    <n v="6970.44"/>
    <x v="0"/>
    <x v="1"/>
    <n v="0"/>
  </r>
  <r>
    <s v="CUST0838"/>
    <s v="Male"/>
    <n v="38"/>
    <n v="32"/>
    <x v="2"/>
    <s v="Electronic Check"/>
    <s v="Adult"/>
    <n v="147.5"/>
    <n v="4478.0600000000004"/>
    <x v="0"/>
    <x v="2"/>
    <n v="0"/>
  </r>
  <r>
    <s v="CUST0839"/>
    <s v="Female"/>
    <n v="34"/>
    <n v="16"/>
    <x v="0"/>
    <s v="UPI"/>
    <s v="Adult"/>
    <n v="98.77"/>
    <n v="1518.97"/>
    <x v="0"/>
    <x v="0"/>
    <n v="0"/>
  </r>
  <r>
    <s v="CUST0840"/>
    <s v="Male"/>
    <n v="40"/>
    <n v="32"/>
    <x v="2"/>
    <s v="Bank Transfer"/>
    <s v="Adult"/>
    <n v="85.48"/>
    <n v="2726.13"/>
    <x v="0"/>
    <x v="2"/>
    <n v="0"/>
  </r>
  <r>
    <s v="CUST0841"/>
    <s v="Male"/>
    <n v="54"/>
    <n v="32"/>
    <x v="1"/>
    <s v="Electronic Check"/>
    <s v="Senior"/>
    <n v="134.19"/>
    <n v="3918.93"/>
    <x v="0"/>
    <x v="2"/>
    <n v="0"/>
  </r>
  <r>
    <s v="CUST0842"/>
    <s v="Female"/>
    <n v="33"/>
    <n v="11"/>
    <x v="0"/>
    <s v="Electronic Check"/>
    <s v="Adult"/>
    <n v="143.83000000000001"/>
    <n v="1617.3"/>
    <x v="0"/>
    <x v="3"/>
    <n v="0"/>
  </r>
  <r>
    <s v="CUST0843"/>
    <s v="Male"/>
    <n v="23"/>
    <n v="10"/>
    <x v="1"/>
    <s v="Credit Card"/>
    <s v="Young"/>
    <n v="118.09"/>
    <n v="1295.1500000000001"/>
    <x v="0"/>
    <x v="3"/>
    <n v="0"/>
  </r>
  <r>
    <s v="CUST0844"/>
    <s v="Male"/>
    <n v="25"/>
    <n v="15"/>
    <x v="0"/>
    <s v="Electronic Check"/>
    <s v="Young"/>
    <n v="77.91"/>
    <n v="1136.1199999999999"/>
    <x v="1"/>
    <x v="0"/>
    <n v="1"/>
  </r>
  <r>
    <s v="CUST0845"/>
    <s v="Male"/>
    <n v="42"/>
    <n v="17"/>
    <x v="0"/>
    <s v="UPI"/>
    <s v="Adult"/>
    <n v="96.99"/>
    <n v="1732.21"/>
    <x v="1"/>
    <x v="0"/>
    <n v="1"/>
  </r>
  <r>
    <s v="CUST0846"/>
    <s v="Male"/>
    <n v="35"/>
    <n v="40"/>
    <x v="1"/>
    <s v="Credit Card"/>
    <s v="Adult"/>
    <n v="111.12"/>
    <n v="4444.83"/>
    <x v="0"/>
    <x v="2"/>
    <n v="0"/>
  </r>
  <r>
    <s v="CUST0847"/>
    <s v="Female"/>
    <n v="42"/>
    <n v="18"/>
    <x v="0"/>
    <s v="UPI"/>
    <s v="Adult"/>
    <n v="45.26"/>
    <n v="754.04"/>
    <x v="1"/>
    <x v="0"/>
    <n v="1"/>
  </r>
  <r>
    <s v="CUST0848"/>
    <s v="Female"/>
    <n v="29"/>
    <n v="55"/>
    <x v="0"/>
    <s v="Credit Card"/>
    <s v="Young"/>
    <n v="83.07"/>
    <n v="4368.3900000000003"/>
    <x v="0"/>
    <x v="1"/>
    <n v="0"/>
  </r>
  <r>
    <s v="CUST0849"/>
    <s v="Male"/>
    <n v="32"/>
    <n v="25"/>
    <x v="0"/>
    <s v="Electronic Check"/>
    <s v="Adult"/>
    <n v="127.88"/>
    <n v="3069.04"/>
    <x v="1"/>
    <x v="2"/>
    <n v="1"/>
  </r>
  <r>
    <s v="CUST0850"/>
    <s v="Female"/>
    <n v="43"/>
    <n v="59"/>
    <x v="1"/>
    <s v="Electronic Check"/>
    <s v="Adult"/>
    <n v="105.11"/>
    <n v="5624.01"/>
    <x v="0"/>
    <x v="1"/>
    <n v="0"/>
  </r>
  <r>
    <s v="CUST0851"/>
    <s v="Male"/>
    <n v="58"/>
    <n v="22"/>
    <x v="0"/>
    <s v="Credit Card"/>
    <s v="Senior"/>
    <n v="73.459999999999994"/>
    <n v="1659.73"/>
    <x v="0"/>
    <x v="0"/>
    <n v="0"/>
  </r>
  <r>
    <s v="CUST0852"/>
    <s v="Female"/>
    <n v="62"/>
    <n v="30"/>
    <x v="1"/>
    <s v="Bank Transfer"/>
    <s v="Senior"/>
    <n v="106.24"/>
    <n v="3416"/>
    <x v="0"/>
    <x v="2"/>
    <n v="0"/>
  </r>
  <r>
    <s v="CUST0853"/>
    <s v="Male"/>
    <n v="43"/>
    <n v="44"/>
    <x v="0"/>
    <s v="Bank Transfer"/>
    <s v="Adult"/>
    <n v="35.369999999999997"/>
    <n v="1507.96"/>
    <x v="0"/>
    <x v="2"/>
    <n v="0"/>
  </r>
  <r>
    <s v="CUST0854"/>
    <s v="Male"/>
    <n v="64"/>
    <n v="32"/>
    <x v="1"/>
    <s v="Electronic Check"/>
    <s v="Senior"/>
    <n v="72.19"/>
    <n v="2259.39"/>
    <x v="0"/>
    <x v="2"/>
    <n v="0"/>
  </r>
  <r>
    <s v="CUST0855"/>
    <s v="Male"/>
    <n v="49"/>
    <n v="51"/>
    <x v="1"/>
    <s v="Electronic Check"/>
    <s v="Adult"/>
    <n v="123.11"/>
    <n v="6769.62"/>
    <x v="0"/>
    <x v="1"/>
    <n v="0"/>
  </r>
  <r>
    <s v="CUST0856"/>
    <s v="Male"/>
    <n v="27"/>
    <n v="46"/>
    <x v="0"/>
    <s v="Electronic Check"/>
    <s v="Young"/>
    <n v="48.67"/>
    <n v="2379.2399999999998"/>
    <x v="1"/>
    <x v="2"/>
    <n v="1"/>
  </r>
  <r>
    <s v="CUST0857"/>
    <s v="Male"/>
    <n v="33"/>
    <n v="21"/>
    <x v="0"/>
    <s v="Bank Transfer"/>
    <s v="Adult"/>
    <n v="44.17"/>
    <n v="967.45"/>
    <x v="0"/>
    <x v="0"/>
    <n v="0"/>
  </r>
  <r>
    <s v="CUST0858"/>
    <s v="Male"/>
    <n v="24"/>
    <n v="32"/>
    <x v="0"/>
    <s v="Electronic Check"/>
    <s v="Young"/>
    <n v="143.61000000000001"/>
    <n v="4364.6400000000003"/>
    <x v="1"/>
    <x v="2"/>
    <n v="1"/>
  </r>
  <r>
    <s v="CUST0859"/>
    <s v="Female"/>
    <n v="34"/>
    <n v="39"/>
    <x v="2"/>
    <s v="Credit Card"/>
    <s v="Adult"/>
    <n v="47.29"/>
    <n v="1995.62"/>
    <x v="0"/>
    <x v="2"/>
    <n v="0"/>
  </r>
  <r>
    <s v="CUST0860"/>
    <s v="Male"/>
    <n v="40"/>
    <n v="12"/>
    <x v="0"/>
    <s v="Bank Transfer"/>
    <s v="Adult"/>
    <n v="53.92"/>
    <n v="602.32000000000005"/>
    <x v="0"/>
    <x v="3"/>
    <n v="0"/>
  </r>
  <r>
    <s v="CUST0861"/>
    <s v="Female"/>
    <n v="43"/>
    <n v="47"/>
    <x v="0"/>
    <s v="UPI"/>
    <s v="Adult"/>
    <n v="146.05000000000001"/>
    <n v="7038.39"/>
    <x v="0"/>
    <x v="2"/>
    <n v="0"/>
  </r>
  <r>
    <s v="CUST0862"/>
    <s v="Male"/>
    <n v="38"/>
    <n v="18"/>
    <x v="0"/>
    <s v="Electronic Check"/>
    <s v="Adult"/>
    <n v="115.51"/>
    <n v="1883.24"/>
    <x v="0"/>
    <x v="0"/>
    <n v="0"/>
  </r>
  <r>
    <s v="CUST0863"/>
    <s v="Female"/>
    <n v="39"/>
    <n v="21"/>
    <x v="0"/>
    <s v="Electronic Check"/>
    <s v="Adult"/>
    <n v="110.95"/>
    <n v="2396.92"/>
    <x v="0"/>
    <x v="0"/>
    <n v="0"/>
  </r>
  <r>
    <s v="CUST0864"/>
    <s v="Female"/>
    <n v="24"/>
    <n v="13"/>
    <x v="0"/>
    <s v="Bank Transfer"/>
    <s v="Young"/>
    <n v="130.88"/>
    <n v="1625.6"/>
    <x v="0"/>
    <x v="0"/>
    <n v="0"/>
  </r>
  <r>
    <s v="CUST0865"/>
    <s v="Female"/>
    <n v="31"/>
    <n v="21"/>
    <x v="2"/>
    <s v="Bank Transfer"/>
    <s v="Adult"/>
    <n v="35.06"/>
    <n v="728.85"/>
    <x v="0"/>
    <x v="0"/>
    <n v="0"/>
  </r>
  <r>
    <s v="CUST0866"/>
    <s v="Male"/>
    <n v="32"/>
    <n v="8"/>
    <x v="1"/>
    <s v="Electronic Check"/>
    <s v="Adult"/>
    <n v="111.77"/>
    <n v="866.49"/>
    <x v="1"/>
    <x v="3"/>
    <n v="1"/>
  </r>
  <r>
    <s v="CUST0867"/>
    <s v="Male"/>
    <n v="70"/>
    <n v="46"/>
    <x v="0"/>
    <s v="UPI"/>
    <s v="Senior"/>
    <n v="85.48"/>
    <n v="3674.73"/>
    <x v="0"/>
    <x v="2"/>
    <n v="0"/>
  </r>
  <r>
    <s v="CUST0868"/>
    <s v="Female"/>
    <n v="24"/>
    <n v="7"/>
    <x v="2"/>
    <s v="UPI"/>
    <s v="Young"/>
    <n v="127.79"/>
    <n v="916.35"/>
    <x v="0"/>
    <x v="3"/>
    <n v="0"/>
  </r>
  <r>
    <s v="CUST0869"/>
    <s v="Male"/>
    <n v="26"/>
    <n v="23"/>
    <x v="0"/>
    <s v="Electronic Check"/>
    <s v="Young"/>
    <n v="86.06"/>
    <n v="2130.59"/>
    <x v="0"/>
    <x v="0"/>
    <n v="0"/>
  </r>
  <r>
    <s v="CUST0870"/>
    <s v="Female"/>
    <n v="68"/>
    <n v="22"/>
    <x v="1"/>
    <s v="Electronic Check"/>
    <s v="Senior"/>
    <n v="100.63"/>
    <n v="2417.13"/>
    <x v="0"/>
    <x v="0"/>
    <n v="0"/>
  </r>
  <r>
    <s v="CUST0871"/>
    <s v="Male"/>
    <n v="65"/>
    <n v="22"/>
    <x v="1"/>
    <s v="Credit Card"/>
    <s v="Senior"/>
    <n v="82.11"/>
    <n v="1695.27"/>
    <x v="0"/>
    <x v="0"/>
    <n v="0"/>
  </r>
  <r>
    <s v="CUST0872"/>
    <s v="Female"/>
    <n v="25"/>
    <n v="29"/>
    <x v="1"/>
    <s v="Bank Transfer"/>
    <s v="Young"/>
    <n v="82.16"/>
    <n v="2486.2199999999998"/>
    <x v="0"/>
    <x v="2"/>
    <n v="0"/>
  </r>
  <r>
    <s v="CUST0873"/>
    <s v="Female"/>
    <n v="67"/>
    <n v="13"/>
    <x v="1"/>
    <s v="Electronic Check"/>
    <s v="Senior"/>
    <n v="119.84"/>
    <n v="1609.13"/>
    <x v="0"/>
    <x v="0"/>
    <n v="0"/>
  </r>
  <r>
    <s v="CUST0874"/>
    <s v="Male"/>
    <n v="40"/>
    <n v="2"/>
    <x v="0"/>
    <s v="Bank Transfer"/>
    <s v="Adult"/>
    <n v="101.71"/>
    <n v="197.05"/>
    <x v="1"/>
    <x v="3"/>
    <n v="1"/>
  </r>
  <r>
    <s v="CUST0875"/>
    <s v="Female"/>
    <n v="46"/>
    <n v="29"/>
    <x v="1"/>
    <s v="Bank Transfer"/>
    <s v="Adult"/>
    <n v="102.32"/>
    <n v="2681.89"/>
    <x v="0"/>
    <x v="2"/>
    <n v="0"/>
  </r>
  <r>
    <s v="CUST0876"/>
    <s v="Male"/>
    <n v="35"/>
    <n v="52"/>
    <x v="2"/>
    <s v="Electronic Check"/>
    <s v="Adult"/>
    <n v="78.540000000000006"/>
    <n v="4239.1000000000004"/>
    <x v="0"/>
    <x v="1"/>
    <n v="0"/>
  </r>
  <r>
    <s v="CUST0877"/>
    <s v="Female"/>
    <n v="48"/>
    <n v="27"/>
    <x v="0"/>
    <s v="Bank Transfer"/>
    <s v="Adult"/>
    <n v="89.04"/>
    <n v="2618.2800000000002"/>
    <x v="0"/>
    <x v="2"/>
    <n v="0"/>
  </r>
  <r>
    <s v="CUST0878"/>
    <s v="Female"/>
    <n v="47"/>
    <n v="50"/>
    <x v="1"/>
    <s v="UPI"/>
    <s v="Adult"/>
    <n v="116.94"/>
    <n v="6001.5"/>
    <x v="0"/>
    <x v="1"/>
    <n v="0"/>
  </r>
  <r>
    <s v="CUST0879"/>
    <s v="Male"/>
    <n v="69"/>
    <n v="23"/>
    <x v="0"/>
    <s v="Electronic Check"/>
    <s v="Senior"/>
    <n v="127.37"/>
    <n v="2891.6"/>
    <x v="1"/>
    <x v="0"/>
    <n v="1"/>
  </r>
  <r>
    <s v="CUST0880"/>
    <s v="Male"/>
    <n v="56"/>
    <n v="44"/>
    <x v="2"/>
    <s v="Electronic Check"/>
    <s v="Senior"/>
    <n v="110.55"/>
    <n v="4888.67"/>
    <x v="1"/>
    <x v="2"/>
    <n v="1"/>
  </r>
  <r>
    <s v="CUST0881"/>
    <s v="Male"/>
    <n v="52"/>
    <n v="22"/>
    <x v="0"/>
    <s v="Credit Card"/>
    <s v="Senior"/>
    <n v="140.13"/>
    <n v="2897.66"/>
    <x v="0"/>
    <x v="0"/>
    <n v="0"/>
  </r>
  <r>
    <s v="CUST0882"/>
    <s v="Female"/>
    <n v="35"/>
    <n v="43"/>
    <x v="0"/>
    <s v="UPI"/>
    <s v="Adult"/>
    <n v="126.64"/>
    <n v="5718.39"/>
    <x v="0"/>
    <x v="2"/>
    <n v="0"/>
  </r>
  <r>
    <s v="CUST0883"/>
    <s v="Male"/>
    <n v="59"/>
    <n v="37"/>
    <x v="2"/>
    <s v="UPI"/>
    <s v="Senior"/>
    <n v="93.04"/>
    <n v="3612.14"/>
    <x v="0"/>
    <x v="2"/>
    <n v="0"/>
  </r>
  <r>
    <s v="CUST0884"/>
    <s v="Female"/>
    <n v="56"/>
    <n v="61"/>
    <x v="2"/>
    <s v="Credit Card"/>
    <s v="Senior"/>
    <n v="107.28"/>
    <n v="6080.13"/>
    <x v="0"/>
    <x v="1"/>
    <n v="0"/>
  </r>
  <r>
    <s v="CUST0885"/>
    <s v="Female"/>
    <n v="34"/>
    <n v="56"/>
    <x v="0"/>
    <s v="Bank Transfer"/>
    <s v="Adult"/>
    <n v="140.41999999999999"/>
    <n v="8457.9699999999993"/>
    <x v="0"/>
    <x v="1"/>
    <n v="0"/>
  </r>
  <r>
    <s v="CUST0886"/>
    <s v="Male"/>
    <n v="31"/>
    <n v="3"/>
    <x v="0"/>
    <s v="Credit Card"/>
    <s v="Adult"/>
    <n v="100.49"/>
    <n v="287.55"/>
    <x v="1"/>
    <x v="3"/>
    <n v="1"/>
  </r>
  <r>
    <s v="CUST0887"/>
    <s v="Male"/>
    <n v="48"/>
    <n v="63"/>
    <x v="1"/>
    <s v="Credit Card"/>
    <s v="Adult"/>
    <n v="127.22"/>
    <n v="8787.9"/>
    <x v="0"/>
    <x v="1"/>
    <n v="0"/>
  </r>
  <r>
    <s v="CUST0888"/>
    <s v="Female"/>
    <n v="41"/>
    <n v="19"/>
    <x v="0"/>
    <s v="Electronic Check"/>
    <s v="Adult"/>
    <n v="109.55"/>
    <n v="2032.7"/>
    <x v="1"/>
    <x v="0"/>
    <n v="1"/>
  </r>
  <r>
    <s v="CUST0889"/>
    <s v="Female"/>
    <n v="52"/>
    <n v="23"/>
    <x v="0"/>
    <s v="Electronic Check"/>
    <s v="Senior"/>
    <n v="91.75"/>
    <n v="1974.3"/>
    <x v="1"/>
    <x v="0"/>
    <n v="1"/>
  </r>
  <r>
    <s v="CUST0890"/>
    <s v="Male"/>
    <n v="61"/>
    <n v="29"/>
    <x v="1"/>
    <s v="Electronic Check"/>
    <s v="Senior"/>
    <n v="51.44"/>
    <n v="1447.52"/>
    <x v="0"/>
    <x v="2"/>
    <n v="0"/>
  </r>
  <r>
    <s v="CUST0891"/>
    <s v="Male"/>
    <n v="62"/>
    <n v="30"/>
    <x v="1"/>
    <s v="Credit Card"/>
    <s v="Senior"/>
    <n v="75.38"/>
    <n v="2234.34"/>
    <x v="0"/>
    <x v="2"/>
    <n v="0"/>
  </r>
  <r>
    <s v="CUST0892"/>
    <s v="Male"/>
    <n v="51"/>
    <n v="39"/>
    <x v="0"/>
    <s v="Electronic Check"/>
    <s v="Senior"/>
    <n v="145.81"/>
    <n v="5196.76"/>
    <x v="1"/>
    <x v="2"/>
    <n v="1"/>
  </r>
  <r>
    <s v="CUST0893"/>
    <s v="Male"/>
    <n v="20"/>
    <n v="25"/>
    <x v="2"/>
    <s v="UPI"/>
    <s v="Young"/>
    <n v="105.51"/>
    <n v="2679.01"/>
    <x v="0"/>
    <x v="2"/>
    <n v="0"/>
  </r>
  <r>
    <s v="CUST0894"/>
    <s v="Male"/>
    <n v="54"/>
    <n v="8"/>
    <x v="1"/>
    <s v="Electronic Check"/>
    <s v="Senior"/>
    <n v="93.37"/>
    <n v="761.55"/>
    <x v="1"/>
    <x v="3"/>
    <n v="1"/>
  </r>
  <r>
    <s v="CUST0895"/>
    <s v="Female"/>
    <n v="60"/>
    <n v="58"/>
    <x v="1"/>
    <s v="Electronic Check"/>
    <s v="Senior"/>
    <n v="141.28"/>
    <n v="8585.81"/>
    <x v="0"/>
    <x v="1"/>
    <n v="0"/>
  </r>
  <r>
    <s v="CUST0896"/>
    <s v="Female"/>
    <n v="57"/>
    <n v="16"/>
    <x v="0"/>
    <s v="Credit Card"/>
    <s v="Senior"/>
    <n v="96.25"/>
    <n v="1394.98"/>
    <x v="1"/>
    <x v="0"/>
    <n v="1"/>
  </r>
  <r>
    <s v="CUST0897"/>
    <s v="Female"/>
    <n v="43"/>
    <n v="72"/>
    <x v="0"/>
    <s v="Unknown"/>
    <s v="Adult"/>
    <n v="88.39"/>
    <n v="6416.57"/>
    <x v="0"/>
    <x v="1"/>
    <n v="0"/>
  </r>
  <r>
    <s v="CUST0898"/>
    <s v="Female"/>
    <n v="40"/>
    <n v="1"/>
    <x v="0"/>
    <s v="Electronic Check"/>
    <s v="Adult"/>
    <n v="118.71"/>
    <n v="108.1"/>
    <x v="0"/>
    <x v="3"/>
    <n v="0"/>
  </r>
  <r>
    <s v="CUST0899"/>
    <s v="Male"/>
    <n v="61"/>
    <n v="5"/>
    <x v="0"/>
    <s v="Electronic Check"/>
    <s v="Senior"/>
    <n v="112.65"/>
    <n v="585.91"/>
    <x v="1"/>
    <x v="3"/>
    <n v="1"/>
  </r>
  <r>
    <s v="CUST0900"/>
    <s v="Male"/>
    <n v="56"/>
    <n v="3"/>
    <x v="2"/>
    <s v="UPI"/>
    <s v="Senior"/>
    <n v="45.11"/>
    <n v="123.31"/>
    <x v="1"/>
    <x v="3"/>
    <n v="1"/>
  </r>
  <r>
    <s v="CUST0901"/>
    <s v="Male"/>
    <n v="32"/>
    <n v="65"/>
    <x v="0"/>
    <s v="Electronic Check"/>
    <s v="Adult"/>
    <n v="81.27"/>
    <n v="5717.54"/>
    <x v="1"/>
    <x v="1"/>
    <n v="1"/>
  </r>
  <r>
    <s v="CUST0902"/>
    <s v="Female"/>
    <n v="66"/>
    <n v="4"/>
    <x v="2"/>
    <s v="Electronic Check"/>
    <s v="Senior"/>
    <n v="81.430000000000007"/>
    <n v="338.88"/>
    <x v="0"/>
    <x v="3"/>
    <n v="0"/>
  </r>
  <r>
    <s v="CUST0903"/>
    <s v="Female"/>
    <n v="21"/>
    <n v="64"/>
    <x v="0"/>
    <s v="UPI"/>
    <s v="Young"/>
    <n v="69.17"/>
    <n v="4433.42"/>
    <x v="0"/>
    <x v="1"/>
    <n v="0"/>
  </r>
  <r>
    <s v="CUST0904"/>
    <s v="Male"/>
    <n v="46"/>
    <n v="10"/>
    <x v="0"/>
    <s v="Electronic Check"/>
    <s v="Adult"/>
    <n v="87.25"/>
    <n v="862.29"/>
    <x v="1"/>
    <x v="3"/>
    <n v="1"/>
  </r>
  <r>
    <s v="CUST0905"/>
    <s v="Male"/>
    <n v="39"/>
    <n v="21"/>
    <x v="1"/>
    <s v="Credit Card"/>
    <s v="Adult"/>
    <n v="73.7"/>
    <n v="1433.38"/>
    <x v="0"/>
    <x v="0"/>
    <n v="0"/>
  </r>
  <r>
    <s v="CUST0906"/>
    <s v="Female"/>
    <n v="42"/>
    <n v="46"/>
    <x v="0"/>
    <s v="Credit Card"/>
    <s v="Adult"/>
    <n v="45.91"/>
    <n v="2023.58"/>
    <x v="1"/>
    <x v="2"/>
    <n v="1"/>
  </r>
  <r>
    <s v="CUST0907"/>
    <s v="Female"/>
    <n v="30"/>
    <n v="27"/>
    <x v="0"/>
    <s v="Electronic Check"/>
    <s v="Adult"/>
    <n v="73.61"/>
    <n v="2134.13"/>
    <x v="0"/>
    <x v="2"/>
    <n v="0"/>
  </r>
  <r>
    <s v="CUST0908"/>
    <s v="Male"/>
    <n v="35"/>
    <n v="66"/>
    <x v="1"/>
    <s v="Electronic Check"/>
    <s v="Adult"/>
    <n v="29.4"/>
    <n v="2097.36"/>
    <x v="0"/>
    <x v="1"/>
    <n v="0"/>
  </r>
  <r>
    <s v="CUST0909"/>
    <s v="Male"/>
    <n v="50"/>
    <n v="41"/>
    <x v="0"/>
    <s v="Electronic Check"/>
    <s v="Senior"/>
    <n v="94.85"/>
    <n v="3500.55"/>
    <x v="0"/>
    <x v="2"/>
    <n v="0"/>
  </r>
  <r>
    <s v="CUST0910"/>
    <s v="Female"/>
    <n v="33"/>
    <n v="13"/>
    <x v="2"/>
    <s v="Electronic Check"/>
    <s v="Adult"/>
    <n v="130.97999999999999"/>
    <n v="1734.8"/>
    <x v="0"/>
    <x v="0"/>
    <n v="0"/>
  </r>
  <r>
    <s v="CUST0911"/>
    <s v="Male"/>
    <n v="62"/>
    <n v="9"/>
    <x v="2"/>
    <s v="Electronic Check"/>
    <s v="Senior"/>
    <n v="114.29"/>
    <n v="1073.72"/>
    <x v="0"/>
    <x v="3"/>
    <n v="0"/>
  </r>
  <r>
    <s v="CUST0912"/>
    <s v="Male"/>
    <n v="59"/>
    <n v="36"/>
    <x v="0"/>
    <s v="Bank Transfer"/>
    <s v="Senior"/>
    <n v="66.849999999999994"/>
    <n v="2463.7600000000002"/>
    <x v="0"/>
    <x v="2"/>
    <n v="0"/>
  </r>
  <r>
    <s v="CUST0913"/>
    <s v="Male"/>
    <n v="61"/>
    <n v="58"/>
    <x v="1"/>
    <s v="Credit Card"/>
    <s v="Senior"/>
    <n v="31.32"/>
    <n v="1664.58"/>
    <x v="0"/>
    <x v="1"/>
    <n v="0"/>
  </r>
  <r>
    <s v="CUST0914"/>
    <s v="Female"/>
    <n v="19"/>
    <n v="54"/>
    <x v="0"/>
    <s v="Credit Card"/>
    <s v="Young"/>
    <n v="46.28"/>
    <n v="2358.0300000000002"/>
    <x v="0"/>
    <x v="1"/>
    <n v="0"/>
  </r>
  <r>
    <s v="CUST0915"/>
    <s v="Female"/>
    <n v="52"/>
    <n v="12"/>
    <x v="0"/>
    <s v="UPI"/>
    <s v="Senior"/>
    <n v="90.91"/>
    <n v="1036.45"/>
    <x v="1"/>
    <x v="3"/>
    <n v="1"/>
  </r>
  <r>
    <s v="CUST0916"/>
    <s v="Female"/>
    <n v="59"/>
    <n v="14"/>
    <x v="0"/>
    <s v="Bank Transfer"/>
    <s v="Senior"/>
    <n v="46.92"/>
    <n v="700.46"/>
    <x v="1"/>
    <x v="0"/>
    <n v="1"/>
  </r>
  <r>
    <s v="CUST0917"/>
    <s v="Female"/>
    <n v="51"/>
    <n v="34"/>
    <x v="0"/>
    <s v="Electronic Check"/>
    <s v="Senior"/>
    <n v="90.72"/>
    <n v="3061.78"/>
    <x v="0"/>
    <x v="2"/>
    <n v="0"/>
  </r>
  <r>
    <s v="CUST0918"/>
    <s v="Female"/>
    <n v="47"/>
    <n v="53"/>
    <x v="1"/>
    <s v="UPI"/>
    <s v="Adult"/>
    <n v="50.11"/>
    <n v="2648.83"/>
    <x v="0"/>
    <x v="1"/>
    <n v="0"/>
  </r>
  <r>
    <s v="CUST0919"/>
    <s v="Female"/>
    <n v="30"/>
    <n v="20"/>
    <x v="0"/>
    <s v="Electronic Check"/>
    <s v="Adult"/>
    <n v="130.36000000000001"/>
    <n v="2833.97"/>
    <x v="0"/>
    <x v="0"/>
    <n v="0"/>
  </r>
  <r>
    <s v="CUST0920"/>
    <s v="Female"/>
    <n v="30"/>
    <n v="16"/>
    <x v="0"/>
    <s v="Electronic Check"/>
    <s v="Adult"/>
    <n v="71.650000000000006"/>
    <n v="1177.83"/>
    <x v="0"/>
    <x v="0"/>
    <n v="0"/>
  </r>
  <r>
    <s v="CUST0921"/>
    <s v="Male"/>
    <n v="35"/>
    <n v="70"/>
    <x v="0"/>
    <s v="Bank Transfer"/>
    <s v="Adult"/>
    <n v="51.92"/>
    <n v="3924.18"/>
    <x v="0"/>
    <x v="1"/>
    <n v="0"/>
  </r>
  <r>
    <s v="CUST0922"/>
    <s v="Male"/>
    <n v="49"/>
    <n v="56"/>
    <x v="2"/>
    <s v="Credit Card"/>
    <s v="Adult"/>
    <n v="125.6"/>
    <n v="6972.42"/>
    <x v="0"/>
    <x v="1"/>
    <n v="0"/>
  </r>
  <r>
    <s v="CUST0923"/>
    <s v="Male"/>
    <n v="49"/>
    <n v="58"/>
    <x v="0"/>
    <s v="Credit Card"/>
    <s v="Adult"/>
    <n v="64.569999999999993"/>
    <n v="3482.48"/>
    <x v="0"/>
    <x v="1"/>
    <n v="0"/>
  </r>
  <r>
    <s v="CUST0924"/>
    <s v="Male"/>
    <n v="52"/>
    <n v="4"/>
    <x v="0"/>
    <s v="Electronic Check"/>
    <s v="Senior"/>
    <n v="34.49"/>
    <n v="149.82"/>
    <x v="0"/>
    <x v="3"/>
    <n v="0"/>
  </r>
  <r>
    <s v="CUST0925"/>
    <s v="Male"/>
    <n v="56"/>
    <n v="4"/>
    <x v="2"/>
    <s v="Credit Card"/>
    <s v="Senior"/>
    <n v="94.15"/>
    <n v="373.49"/>
    <x v="0"/>
    <x v="3"/>
    <n v="0"/>
  </r>
  <r>
    <s v="CUST0926"/>
    <s v="Male"/>
    <n v="63"/>
    <n v="20"/>
    <x v="0"/>
    <s v="Electronic Check"/>
    <s v="Senior"/>
    <n v="95.6"/>
    <n v="1790.26"/>
    <x v="1"/>
    <x v="0"/>
    <n v="1"/>
  </r>
  <r>
    <s v="CUST0927"/>
    <s v="Male"/>
    <n v="69"/>
    <n v="10"/>
    <x v="0"/>
    <s v="UPI"/>
    <s v="Senior"/>
    <n v="112.91"/>
    <n v="1084.48"/>
    <x v="0"/>
    <x v="3"/>
    <n v="0"/>
  </r>
  <r>
    <s v="CUST0928"/>
    <s v="Female"/>
    <n v="46"/>
    <n v="24"/>
    <x v="0"/>
    <s v="Electronic Check"/>
    <s v="Adult"/>
    <n v="51.23"/>
    <n v="1119.06"/>
    <x v="0"/>
    <x v="0"/>
    <n v="0"/>
  </r>
  <r>
    <s v="CUST0929"/>
    <s v="Female"/>
    <n v="66"/>
    <n v="26"/>
    <x v="0"/>
    <s v="UPI"/>
    <s v="Senior"/>
    <n v="77.69"/>
    <n v="2007.13"/>
    <x v="0"/>
    <x v="2"/>
    <n v="0"/>
  </r>
  <r>
    <s v="CUST0930"/>
    <s v="Male"/>
    <n v="46"/>
    <n v="37"/>
    <x v="1"/>
    <s v="Credit Card"/>
    <s v="Adult"/>
    <n v="56.71"/>
    <n v="2246.46"/>
    <x v="1"/>
    <x v="2"/>
    <n v="1"/>
  </r>
  <r>
    <s v="CUST0931"/>
    <s v="Male"/>
    <n v="70"/>
    <n v="54"/>
    <x v="0"/>
    <s v="UPI"/>
    <s v="Senior"/>
    <n v="30.52"/>
    <n v="1791"/>
    <x v="1"/>
    <x v="1"/>
    <n v="1"/>
  </r>
  <r>
    <s v="CUST0932"/>
    <s v="Female"/>
    <n v="61"/>
    <n v="21"/>
    <x v="0"/>
    <s v="Bank Transfer"/>
    <s v="Senior"/>
    <n v="133.96"/>
    <n v="3056.56"/>
    <x v="0"/>
    <x v="0"/>
    <n v="0"/>
  </r>
  <r>
    <s v="CUST0933"/>
    <s v="Male"/>
    <n v="33"/>
    <n v="38"/>
    <x v="0"/>
    <s v="Bank Transfer"/>
    <s v="Adult"/>
    <n v="114.75"/>
    <n v="4033.66"/>
    <x v="0"/>
    <x v="2"/>
    <n v="0"/>
  </r>
  <r>
    <s v="CUST0934"/>
    <s v="Male"/>
    <n v="61"/>
    <n v="46"/>
    <x v="2"/>
    <s v="Electronic Check"/>
    <s v="Senior"/>
    <n v="59.19"/>
    <n v="2658.51"/>
    <x v="0"/>
    <x v="2"/>
    <n v="0"/>
  </r>
  <r>
    <s v="CUST0935"/>
    <s v="Female"/>
    <n v="64"/>
    <n v="4"/>
    <x v="2"/>
    <s v="Electronic Check"/>
    <s v="Senior"/>
    <n v="97.92"/>
    <n v="354.72"/>
    <x v="0"/>
    <x v="3"/>
    <n v="0"/>
  </r>
  <r>
    <s v="CUST0936"/>
    <s v="Male"/>
    <n v="27"/>
    <n v="60"/>
    <x v="0"/>
    <s v="Electronic Check"/>
    <s v="Young"/>
    <n v="46.16"/>
    <n v="2966.33"/>
    <x v="0"/>
    <x v="1"/>
    <n v="0"/>
  </r>
  <r>
    <s v="CUST0937"/>
    <s v="Female"/>
    <n v="47"/>
    <n v="57"/>
    <x v="2"/>
    <s v="UPI"/>
    <s v="Adult"/>
    <n v="135.72999999999999"/>
    <n v="7518.06"/>
    <x v="0"/>
    <x v="1"/>
    <n v="0"/>
  </r>
  <r>
    <s v="CUST0938"/>
    <s v="Male"/>
    <n v="42"/>
    <n v="45"/>
    <x v="2"/>
    <s v="UPI"/>
    <s v="Adult"/>
    <n v="34.94"/>
    <n v="1613.53"/>
    <x v="1"/>
    <x v="2"/>
    <n v="1"/>
  </r>
  <r>
    <s v="CUST0939"/>
    <s v="Female"/>
    <n v="56"/>
    <n v="20"/>
    <x v="1"/>
    <s v="Credit Card"/>
    <s v="Senior"/>
    <n v="20.5"/>
    <n v="427.62"/>
    <x v="0"/>
    <x v="0"/>
    <n v="0"/>
  </r>
  <r>
    <s v="CUST0940"/>
    <s v="Female"/>
    <n v="37"/>
    <n v="17"/>
    <x v="1"/>
    <s v="Electronic Check"/>
    <s v="Adult"/>
    <n v="85.26"/>
    <n v="1429.08"/>
    <x v="0"/>
    <x v="0"/>
    <n v="0"/>
  </r>
  <r>
    <s v="CUST0941"/>
    <s v="Female"/>
    <n v="22"/>
    <n v="71"/>
    <x v="0"/>
    <s v="Credit Card"/>
    <s v="Young"/>
    <n v="95.81"/>
    <n v="6539.17"/>
    <x v="1"/>
    <x v="1"/>
    <n v="1"/>
  </r>
  <r>
    <s v="CUST0942"/>
    <s v="Male"/>
    <n v="18"/>
    <n v="4"/>
    <x v="0"/>
    <s v="Bank Transfer"/>
    <s v="Young"/>
    <n v="95.27"/>
    <n v="416.31"/>
    <x v="0"/>
    <x v="3"/>
    <n v="0"/>
  </r>
  <r>
    <s v="CUST0943"/>
    <s v="Female"/>
    <n v="47"/>
    <n v="14"/>
    <x v="0"/>
    <s v="Credit Card"/>
    <s v="Adult"/>
    <n v="27.09"/>
    <n v="414.49"/>
    <x v="0"/>
    <x v="0"/>
    <n v="0"/>
  </r>
  <r>
    <s v="CUST0944"/>
    <s v="Male"/>
    <n v="66"/>
    <n v="3"/>
    <x v="0"/>
    <s v="Bank Transfer"/>
    <s v="Senior"/>
    <n v="60.83"/>
    <n v="174.8"/>
    <x v="0"/>
    <x v="3"/>
    <n v="0"/>
  </r>
  <r>
    <s v="CUST0945"/>
    <s v="Male"/>
    <n v="20"/>
    <n v="58"/>
    <x v="1"/>
    <s v="UPI"/>
    <s v="Young"/>
    <n v="84.9"/>
    <n v="4904.13"/>
    <x v="0"/>
    <x v="1"/>
    <n v="0"/>
  </r>
  <r>
    <s v="CUST0946"/>
    <s v="Male"/>
    <n v="62"/>
    <n v="55"/>
    <x v="0"/>
    <s v="Electronic Check"/>
    <s v="Senior"/>
    <n v="48.16"/>
    <n v="2899.29"/>
    <x v="0"/>
    <x v="1"/>
    <n v="0"/>
  </r>
  <r>
    <s v="CUST0947"/>
    <s v="Male"/>
    <n v="31"/>
    <n v="4"/>
    <x v="0"/>
    <s v="Credit Card"/>
    <s v="Adult"/>
    <n v="133.44"/>
    <n v="480.9"/>
    <x v="1"/>
    <x v="3"/>
    <n v="1"/>
  </r>
  <r>
    <s v="CUST0948"/>
    <s v="Female"/>
    <n v="47"/>
    <n v="24"/>
    <x v="2"/>
    <s v="Credit Card"/>
    <s v="Adult"/>
    <n v="31.32"/>
    <n v="738.55"/>
    <x v="0"/>
    <x v="0"/>
    <n v="0"/>
  </r>
  <r>
    <s v="CUST0949"/>
    <s v="Female"/>
    <n v="67"/>
    <n v="34"/>
    <x v="0"/>
    <s v="Electronic Check"/>
    <s v="Senior"/>
    <n v="83.36"/>
    <n v="2607.7600000000002"/>
    <x v="0"/>
    <x v="2"/>
    <n v="0"/>
  </r>
  <r>
    <s v="CUST0950"/>
    <s v="Male"/>
    <n v="21"/>
    <n v="30"/>
    <x v="0"/>
    <s v="Electronic Check"/>
    <s v="Young"/>
    <n v="109.88"/>
    <n v="3302.44"/>
    <x v="0"/>
    <x v="2"/>
    <n v="0"/>
  </r>
  <r>
    <s v="CUST0951"/>
    <s v="Male"/>
    <n v="35"/>
    <n v="19"/>
    <x v="0"/>
    <s v="Electronic Check"/>
    <s v="Adult"/>
    <n v="54.03"/>
    <n v="928.98"/>
    <x v="0"/>
    <x v="0"/>
    <n v="0"/>
  </r>
  <r>
    <s v="CUST0952"/>
    <s v="Female"/>
    <n v="54"/>
    <n v="31"/>
    <x v="0"/>
    <s v="UPI"/>
    <s v="Senior"/>
    <n v="101.15"/>
    <n v="3077.26"/>
    <x v="1"/>
    <x v="2"/>
    <n v="1"/>
  </r>
  <r>
    <s v="CUST0953"/>
    <s v="Male"/>
    <n v="42"/>
    <n v="60"/>
    <x v="2"/>
    <s v="Credit Card"/>
    <s v="Adult"/>
    <n v="127.82"/>
    <n v="7240.8"/>
    <x v="1"/>
    <x v="1"/>
    <n v="1"/>
  </r>
  <r>
    <s v="CUST0954"/>
    <s v="Female"/>
    <n v="65"/>
    <n v="60"/>
    <x v="0"/>
    <s v="Credit Card"/>
    <s v="Senior"/>
    <n v="44.74"/>
    <n v="2702.28"/>
    <x v="0"/>
    <x v="1"/>
    <n v="0"/>
  </r>
  <r>
    <s v="CUST0955"/>
    <s v="Male"/>
    <n v="18"/>
    <n v="19"/>
    <x v="0"/>
    <s v="UPI"/>
    <s v="Young"/>
    <n v="139.24"/>
    <n v="2908"/>
    <x v="1"/>
    <x v="0"/>
    <n v="1"/>
  </r>
  <r>
    <s v="CUST0956"/>
    <s v="Male"/>
    <n v="70"/>
    <n v="49"/>
    <x v="0"/>
    <s v="Bank Transfer"/>
    <s v="Senior"/>
    <n v="91.96"/>
    <n v="4776.8900000000003"/>
    <x v="0"/>
    <x v="1"/>
    <n v="0"/>
  </r>
  <r>
    <s v="CUST0957"/>
    <s v="Female"/>
    <n v="63"/>
    <n v="63"/>
    <x v="0"/>
    <s v="Electronic Check"/>
    <s v="Senior"/>
    <n v="58.9"/>
    <n v="3967.21"/>
    <x v="0"/>
    <x v="1"/>
    <n v="0"/>
  </r>
  <r>
    <s v="CUST0958"/>
    <s v="Male"/>
    <n v="32"/>
    <n v="22"/>
    <x v="2"/>
    <s v="Credit Card"/>
    <s v="Adult"/>
    <n v="76.010000000000005"/>
    <n v="1717.46"/>
    <x v="0"/>
    <x v="0"/>
    <n v="0"/>
  </r>
  <r>
    <s v="CUST0959"/>
    <s v="Female"/>
    <n v="26"/>
    <n v="24"/>
    <x v="0"/>
    <s v="Credit Card"/>
    <s v="Young"/>
    <n v="60.58"/>
    <n v="1320.61"/>
    <x v="0"/>
    <x v="0"/>
    <n v="0"/>
  </r>
  <r>
    <s v="CUST0960"/>
    <s v="Male"/>
    <n v="32"/>
    <n v="30"/>
    <x v="0"/>
    <s v="Bank Transfer"/>
    <s v="Adult"/>
    <n v="114.26"/>
    <n v="3226.79"/>
    <x v="0"/>
    <x v="2"/>
    <n v="0"/>
  </r>
  <r>
    <s v="CUST0961"/>
    <s v="Male"/>
    <n v="66"/>
    <n v="58"/>
    <x v="1"/>
    <s v="Bank Transfer"/>
    <s v="Senior"/>
    <n v="123.52"/>
    <n v="7773.21"/>
    <x v="0"/>
    <x v="1"/>
    <n v="0"/>
  </r>
  <r>
    <s v="CUST0962"/>
    <s v="Male"/>
    <n v="41"/>
    <n v="31"/>
    <x v="2"/>
    <s v="Bank Transfer"/>
    <s v="Adult"/>
    <n v="128.28"/>
    <n v="3870.19"/>
    <x v="1"/>
    <x v="2"/>
    <n v="1"/>
  </r>
  <r>
    <s v="CUST0963"/>
    <s v="Female"/>
    <n v="21"/>
    <n v="64"/>
    <x v="0"/>
    <s v="Electronic Check"/>
    <s v="Young"/>
    <n v="148.15"/>
    <n v="8729.9699999999993"/>
    <x v="1"/>
    <x v="1"/>
    <n v="1"/>
  </r>
  <r>
    <s v="CUST0964"/>
    <s v="Male"/>
    <n v="29"/>
    <n v="19"/>
    <x v="2"/>
    <s v="UPI"/>
    <s v="Young"/>
    <n v="122.87"/>
    <n v="2429.0300000000002"/>
    <x v="0"/>
    <x v="0"/>
    <n v="0"/>
  </r>
  <r>
    <s v="CUST0965"/>
    <s v="Male"/>
    <n v="54"/>
    <n v="48"/>
    <x v="2"/>
    <s v="Electronic Check"/>
    <s v="Senior"/>
    <n v="98.18"/>
    <n v="4523.62"/>
    <x v="0"/>
    <x v="2"/>
    <n v="0"/>
  </r>
  <r>
    <s v="CUST0966"/>
    <s v="Male"/>
    <n v="54"/>
    <n v="45"/>
    <x v="2"/>
    <s v="Electronic Check"/>
    <s v="Senior"/>
    <n v="64.099999999999994"/>
    <n v="2751.15"/>
    <x v="1"/>
    <x v="2"/>
    <n v="1"/>
  </r>
  <r>
    <s v="CUST0967"/>
    <s v="Male"/>
    <n v="60"/>
    <n v="55"/>
    <x v="0"/>
    <s v="Electronic Check"/>
    <s v="Senior"/>
    <n v="90.8"/>
    <n v="5491.38"/>
    <x v="0"/>
    <x v="1"/>
    <n v="0"/>
  </r>
  <r>
    <s v="CUST0968"/>
    <s v="Female"/>
    <n v="23"/>
    <n v="55"/>
    <x v="1"/>
    <s v="Electronic Check"/>
    <s v="Young"/>
    <n v="25.34"/>
    <n v="1493.53"/>
    <x v="0"/>
    <x v="1"/>
    <n v="0"/>
  </r>
  <r>
    <s v="CUST0969"/>
    <s v="Female"/>
    <n v="56"/>
    <n v="18"/>
    <x v="0"/>
    <s v="Electronic Check"/>
    <s v="Senior"/>
    <n v="116.83"/>
    <n v="2064.2199999999998"/>
    <x v="0"/>
    <x v="0"/>
    <n v="0"/>
  </r>
  <r>
    <s v="CUST0970"/>
    <s v="Male"/>
    <n v="63"/>
    <n v="63"/>
    <x v="0"/>
    <s v="UPI"/>
    <s v="Senior"/>
    <n v="77.97"/>
    <n v="5383.93"/>
    <x v="1"/>
    <x v="1"/>
    <n v="1"/>
  </r>
  <r>
    <s v="CUST0971"/>
    <s v="Female"/>
    <n v="41"/>
    <n v="47"/>
    <x v="0"/>
    <s v="UPI"/>
    <s v="Adult"/>
    <n v="22.6"/>
    <n v="1094.0899999999999"/>
    <x v="0"/>
    <x v="2"/>
    <n v="0"/>
  </r>
  <r>
    <s v="CUST0972"/>
    <s v="Male"/>
    <n v="28"/>
    <n v="57"/>
    <x v="0"/>
    <s v="Electronic Check"/>
    <s v="Young"/>
    <n v="28.13"/>
    <n v="1681.02"/>
    <x v="1"/>
    <x v="1"/>
    <n v="1"/>
  </r>
  <r>
    <s v="CUST0973"/>
    <s v="Male"/>
    <n v="30"/>
    <n v="45"/>
    <x v="1"/>
    <s v="Electronic Check"/>
    <s v="Adult"/>
    <n v="70.37"/>
    <n v="2869.94"/>
    <x v="0"/>
    <x v="2"/>
    <n v="0"/>
  </r>
  <r>
    <s v="CUST0974"/>
    <s v="Male"/>
    <n v="51"/>
    <n v="33"/>
    <x v="0"/>
    <s v="Electronic Check"/>
    <s v="Senior"/>
    <n v="95.84"/>
    <n v="2923.37"/>
    <x v="0"/>
    <x v="2"/>
    <n v="0"/>
  </r>
  <r>
    <s v="CUST0975"/>
    <s v="Female"/>
    <n v="42"/>
    <n v="17"/>
    <x v="0"/>
    <s v="Electronic Check"/>
    <s v="Adult"/>
    <n v="80.349999999999994"/>
    <n v="1402.31"/>
    <x v="0"/>
    <x v="0"/>
    <n v="0"/>
  </r>
  <r>
    <s v="CUST0976"/>
    <s v="Female"/>
    <n v="24"/>
    <n v="70"/>
    <x v="1"/>
    <s v="Electronic Check"/>
    <s v="Young"/>
    <n v="100.5"/>
    <n v="7596.43"/>
    <x v="0"/>
    <x v="1"/>
    <n v="0"/>
  </r>
  <r>
    <s v="CUST0977"/>
    <s v="Female"/>
    <n v="69"/>
    <n v="4"/>
    <x v="0"/>
    <s v="UPI"/>
    <s v="Senior"/>
    <n v="82.44"/>
    <n v="337.92"/>
    <x v="1"/>
    <x v="3"/>
    <n v="1"/>
  </r>
  <r>
    <s v="CUST0978"/>
    <s v="Female"/>
    <n v="21"/>
    <n v="20"/>
    <x v="0"/>
    <s v="Electronic Check"/>
    <s v="Young"/>
    <n v="106.02"/>
    <n v="1965.2"/>
    <x v="1"/>
    <x v="0"/>
    <n v="1"/>
  </r>
  <r>
    <s v="CUST0979"/>
    <s v="Female"/>
    <n v="25"/>
    <n v="47"/>
    <x v="0"/>
    <s v="Credit Card"/>
    <s v="Young"/>
    <n v="48.49"/>
    <n v="2103.89"/>
    <x v="0"/>
    <x v="2"/>
    <n v="0"/>
  </r>
  <r>
    <s v="CUST0980"/>
    <s v="Female"/>
    <n v="37"/>
    <n v="15"/>
    <x v="0"/>
    <s v="Electronic Check"/>
    <s v="Adult"/>
    <n v="34.67"/>
    <n v="555.85"/>
    <x v="1"/>
    <x v="0"/>
    <n v="1"/>
  </r>
  <r>
    <s v="CUST0981"/>
    <s v="Female"/>
    <n v="46"/>
    <n v="70"/>
    <x v="0"/>
    <s v="UPI"/>
    <s v="Adult"/>
    <n v="97.54"/>
    <n v="6335.25"/>
    <x v="0"/>
    <x v="1"/>
    <n v="0"/>
  </r>
  <r>
    <s v="CUST0982"/>
    <s v="Female"/>
    <n v="70"/>
    <n v="47"/>
    <x v="2"/>
    <s v="Bank Transfer"/>
    <s v="Senior"/>
    <n v="83.01"/>
    <n v="3917.26"/>
    <x v="0"/>
    <x v="2"/>
    <n v="0"/>
  </r>
  <r>
    <s v="CUST0983"/>
    <s v="Female"/>
    <n v="68"/>
    <n v="9"/>
    <x v="0"/>
    <s v="UPI"/>
    <s v="Senior"/>
    <n v="23.49"/>
    <n v="191.84"/>
    <x v="0"/>
    <x v="3"/>
    <n v="0"/>
  </r>
  <r>
    <s v="CUST0984"/>
    <s v="Male"/>
    <n v="62"/>
    <n v="16"/>
    <x v="0"/>
    <s v="Bank Transfer"/>
    <s v="Senior"/>
    <n v="69.459999999999994"/>
    <n v="1018.15"/>
    <x v="0"/>
    <x v="0"/>
    <n v="0"/>
  </r>
  <r>
    <s v="CUST0985"/>
    <s v="Female"/>
    <n v="63"/>
    <n v="69"/>
    <x v="2"/>
    <s v="Electronic Check"/>
    <s v="Senior"/>
    <n v="33.799999999999997"/>
    <n v="2412.59"/>
    <x v="0"/>
    <x v="1"/>
    <n v="0"/>
  </r>
  <r>
    <s v="CUST0986"/>
    <s v="Female"/>
    <n v="27"/>
    <n v="61"/>
    <x v="2"/>
    <s v="Electronic Check"/>
    <s v="Young"/>
    <n v="89.08"/>
    <n v="5639.48"/>
    <x v="0"/>
    <x v="1"/>
    <n v="0"/>
  </r>
  <r>
    <s v="CUST0987"/>
    <s v="Female"/>
    <n v="60"/>
    <n v="10"/>
    <x v="0"/>
    <s v="Bank Transfer"/>
    <s v="Senior"/>
    <n v="71.45"/>
    <n v="691.85"/>
    <x v="0"/>
    <x v="3"/>
    <n v="0"/>
  </r>
  <r>
    <s v="CUST0988"/>
    <s v="Female"/>
    <n v="51"/>
    <n v="50"/>
    <x v="0"/>
    <s v="Credit Card"/>
    <s v="Senior"/>
    <n v="99.71"/>
    <n v="4701.93"/>
    <x v="0"/>
    <x v="1"/>
    <n v="0"/>
  </r>
  <r>
    <s v="CUST0989"/>
    <s v="Female"/>
    <n v="43"/>
    <n v="3"/>
    <x v="0"/>
    <s v="Credit Card"/>
    <s v="Adult"/>
    <n v="124.73"/>
    <n v="397.67"/>
    <x v="1"/>
    <x v="3"/>
    <n v="1"/>
  </r>
  <r>
    <s v="CUST0990"/>
    <s v="Female"/>
    <n v="58"/>
    <n v="70"/>
    <x v="0"/>
    <s v="Electronic Check"/>
    <s v="Senior"/>
    <n v="58.96"/>
    <n v="3893.69"/>
    <x v="1"/>
    <x v="1"/>
    <n v="1"/>
  </r>
  <r>
    <s v="CUST0991"/>
    <s v="Female"/>
    <n v="66"/>
    <n v="51"/>
    <x v="0"/>
    <s v="Electronic Check"/>
    <s v="Senior"/>
    <n v="145.07"/>
    <n v="7460.76"/>
    <x v="0"/>
    <x v="1"/>
    <n v="0"/>
  </r>
  <r>
    <s v="CUST0992"/>
    <s v="Female"/>
    <n v="20"/>
    <n v="19"/>
    <x v="0"/>
    <s v="Credit Card"/>
    <s v="Young"/>
    <n v="89.63"/>
    <n v="1862.44"/>
    <x v="0"/>
    <x v="0"/>
    <n v="0"/>
  </r>
  <r>
    <s v="CUST0993"/>
    <s v="Female"/>
    <n v="23"/>
    <n v="42"/>
    <x v="1"/>
    <s v="Credit Card"/>
    <s v="Young"/>
    <n v="100.38"/>
    <n v="3919.03"/>
    <x v="0"/>
    <x v="2"/>
    <n v="0"/>
  </r>
  <r>
    <s v="CUST0994"/>
    <s v="Female"/>
    <n v="22"/>
    <n v="35"/>
    <x v="0"/>
    <s v="Bank Transfer"/>
    <s v="Young"/>
    <n v="108.49"/>
    <n v="4131.96"/>
    <x v="1"/>
    <x v="2"/>
    <n v="1"/>
  </r>
  <r>
    <s v="CUST0995"/>
    <s v="Female"/>
    <n v="22"/>
    <n v="46"/>
    <x v="2"/>
    <s v="Electronic Check"/>
    <s v="Young"/>
    <n v="106.68"/>
    <n v="4596.05"/>
    <x v="1"/>
    <x v="2"/>
    <n v="1"/>
  </r>
  <r>
    <s v="CUST0996"/>
    <s v="Male"/>
    <n v="64"/>
    <n v="26"/>
    <x v="0"/>
    <s v="Credit Card"/>
    <s v="Senior"/>
    <n v="86.43"/>
    <n v="2277.4899999999998"/>
    <x v="0"/>
    <x v="2"/>
    <n v="0"/>
  </r>
  <r>
    <s v="CUST0997"/>
    <s v="Male"/>
    <n v="40"/>
    <n v="69"/>
    <x v="2"/>
    <s v="Electronic Check"/>
    <s v="Adult"/>
    <n v="75.739999999999995"/>
    <n v="5097.51"/>
    <x v="0"/>
    <x v="1"/>
    <n v="0"/>
  </r>
  <r>
    <s v="CUST0998"/>
    <s v="Female"/>
    <n v="66"/>
    <n v="64"/>
    <x v="2"/>
    <s v="Electronic Check"/>
    <s v="Senior"/>
    <n v="26.99"/>
    <n v="1887.98"/>
    <x v="1"/>
    <x v="1"/>
    <n v="1"/>
  </r>
  <r>
    <s v="CUST0999"/>
    <s v="Female"/>
    <n v="26"/>
    <n v="37"/>
    <x v="1"/>
    <s v="Credit Card"/>
    <s v="Young"/>
    <n v="22.87"/>
    <n v="807.86"/>
    <x v="0"/>
    <x v="2"/>
    <n v="0"/>
  </r>
  <r>
    <s v="CUST1000"/>
    <s v="Male"/>
    <n v="52"/>
    <n v="49"/>
    <x v="0"/>
    <s v="Electronic Check"/>
    <s v="Senior"/>
    <n v="66.53"/>
    <n v="3194.55"/>
    <x v="0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001"/>
    <s v="Male"/>
    <n v="34"/>
    <n v="20"/>
    <s v="Month-to-Month"/>
    <x v="0"/>
    <x v="0"/>
    <n v="48.83"/>
    <n v="944.11"/>
    <x v="0"/>
    <s v="13-24 Months"/>
    <n v="0"/>
  </r>
  <r>
    <s v="CUST0002"/>
    <s v="Female"/>
    <n v="26"/>
    <n v="61"/>
    <s v="Two Year"/>
    <x v="0"/>
    <x v="1"/>
    <n v="61.28"/>
    <n v="3654.12"/>
    <x v="0"/>
    <s v="49+ Months"/>
    <n v="0"/>
  </r>
  <r>
    <s v="CUST0003"/>
    <s v="Male"/>
    <n v="50"/>
    <n v="35"/>
    <s v="One Year"/>
    <x v="1"/>
    <x v="2"/>
    <n v="53.72"/>
    <n v="1744.21"/>
    <x v="0"/>
    <s v="25-48 Months"/>
    <n v="0"/>
  </r>
  <r>
    <s v="CUST0004"/>
    <s v="Male"/>
    <n v="70"/>
    <n v="50"/>
    <s v="One Year"/>
    <x v="0"/>
    <x v="2"/>
    <n v="31.39"/>
    <n v="1644.26"/>
    <x v="0"/>
    <s v="49+ Months"/>
    <n v="0"/>
  </r>
  <r>
    <s v="CUST0005"/>
    <s v="Male"/>
    <n v="37"/>
    <n v="62"/>
    <s v="Month-to-Month"/>
    <x v="0"/>
    <x v="0"/>
    <n v="31.69"/>
    <n v="2105.0500000000002"/>
    <x v="0"/>
    <s v="49+ Months"/>
    <n v="0"/>
  </r>
  <r>
    <s v="CUST0006"/>
    <s v="Female"/>
    <n v="30"/>
    <n v="17"/>
    <s v="Two Year"/>
    <x v="0"/>
    <x v="0"/>
    <n v="45.12"/>
    <n v="834.34"/>
    <x v="1"/>
    <s v="13-24 Months"/>
    <n v="1"/>
  </r>
  <r>
    <s v="CUST0007"/>
    <s v="Male"/>
    <n v="45"/>
    <n v="3"/>
    <s v="Two Year"/>
    <x v="2"/>
    <x v="0"/>
    <n v="26.57"/>
    <n v="79.59"/>
    <x v="1"/>
    <s v="0-12 Months"/>
    <n v="1"/>
  </r>
  <r>
    <s v="CUST0008"/>
    <s v="Male"/>
    <n v="65"/>
    <n v="32"/>
    <s v="One Year"/>
    <x v="0"/>
    <x v="2"/>
    <n v="101.44"/>
    <n v="3376.49"/>
    <x v="0"/>
    <s v="25-48 Months"/>
    <n v="0"/>
  </r>
  <r>
    <s v="CUST0009"/>
    <s v="Male"/>
    <n v="46"/>
    <n v="13"/>
    <s v="Month-to-Month"/>
    <x v="2"/>
    <x v="0"/>
    <n v="57.35"/>
    <n v="798.57"/>
    <x v="0"/>
    <s v="13-24 Months"/>
    <n v="0"/>
  </r>
  <r>
    <s v="CUST0010"/>
    <s v="Female"/>
    <n v="30"/>
    <n v="68"/>
    <s v="Month-to-Month"/>
    <x v="3"/>
    <x v="0"/>
    <n v="56.37"/>
    <n v="3770.52"/>
    <x v="0"/>
    <s v="49+ Months"/>
    <n v="0"/>
  </r>
  <r>
    <s v="CUST0011"/>
    <s v="Male"/>
    <n v="63"/>
    <n v="14"/>
    <s v="Month-to-Month"/>
    <x v="1"/>
    <x v="2"/>
    <n v="63.16"/>
    <n v="850.54"/>
    <x v="0"/>
    <s v="13-24 Months"/>
    <n v="0"/>
  </r>
  <r>
    <s v="CUST0012"/>
    <s v="Male"/>
    <n v="52"/>
    <n v="11"/>
    <s v="Month-to-Month"/>
    <x v="3"/>
    <x v="2"/>
    <n v="106.16"/>
    <n v="1269.76"/>
    <x v="0"/>
    <s v="0-12 Months"/>
    <n v="0"/>
  </r>
  <r>
    <s v="CUST0013"/>
    <s v="Male"/>
    <n v="23"/>
    <n v="56"/>
    <s v="Month-to-Month"/>
    <x v="2"/>
    <x v="1"/>
    <n v="133.18"/>
    <n v="7481.46"/>
    <x v="0"/>
    <s v="49+ Months"/>
    <n v="0"/>
  </r>
  <r>
    <s v="CUST0014"/>
    <s v="Male"/>
    <n v="35"/>
    <n v="67"/>
    <s v="Two Year"/>
    <x v="3"/>
    <x v="0"/>
    <n v="118.68"/>
    <n v="7947.19"/>
    <x v="0"/>
    <s v="49+ Months"/>
    <n v="0"/>
  </r>
  <r>
    <s v="CUST0015"/>
    <s v="Female"/>
    <n v="68"/>
    <n v="29"/>
    <s v="Month-to-Month"/>
    <x v="3"/>
    <x v="2"/>
    <n v="114.58"/>
    <n v="3109.11"/>
    <x v="1"/>
    <s v="25-48 Months"/>
    <n v="1"/>
  </r>
  <r>
    <s v="CUST0016"/>
    <s v="Male"/>
    <n v="22"/>
    <n v="9"/>
    <s v="Month-to-Month"/>
    <x v="1"/>
    <x v="1"/>
    <n v="82.97"/>
    <n v="688.21"/>
    <x v="0"/>
    <s v="0-12 Months"/>
    <n v="0"/>
  </r>
  <r>
    <s v="CUST0017"/>
    <s v="Female"/>
    <n v="64"/>
    <n v="67"/>
    <s v="Month-to-Month"/>
    <x v="1"/>
    <x v="2"/>
    <n v="110.19"/>
    <n v="7887.87"/>
    <x v="1"/>
    <s v="49+ Months"/>
    <n v="1"/>
  </r>
  <r>
    <s v="CUST0018"/>
    <s v="Female"/>
    <n v="42"/>
    <n v="25"/>
    <s v="Month-to-Month"/>
    <x v="2"/>
    <x v="0"/>
    <n v="91.86"/>
    <n v="2348.92"/>
    <x v="1"/>
    <s v="25-48 Months"/>
    <n v="1"/>
  </r>
  <r>
    <s v="CUST0019"/>
    <s v="Female"/>
    <n v="19"/>
    <n v="42"/>
    <s v="Month-to-Month"/>
    <x v="3"/>
    <x v="1"/>
    <n v="48.11"/>
    <n v="1950.23"/>
    <x v="0"/>
    <s v="25-48 Months"/>
    <n v="0"/>
  </r>
  <r>
    <s v="CUST0020"/>
    <s v="Male"/>
    <n v="27"/>
    <n v="9"/>
    <s v="Month-to-Month"/>
    <x v="0"/>
    <x v="1"/>
    <n v="47.12"/>
    <n v="397.93"/>
    <x v="0"/>
    <s v="0-12 Months"/>
    <n v="0"/>
  </r>
  <r>
    <s v="CUST0021"/>
    <s v="Female"/>
    <n v="47"/>
    <n v="40"/>
    <s v="Month-to-Month"/>
    <x v="2"/>
    <x v="0"/>
    <n v="58.53"/>
    <n v="2367.19"/>
    <x v="0"/>
    <s v="25-48 Months"/>
    <n v="0"/>
  </r>
  <r>
    <s v="CUST0022"/>
    <s v="Male"/>
    <n v="67"/>
    <n v="25"/>
    <s v="One Year"/>
    <x v="2"/>
    <x v="2"/>
    <n v="138.4"/>
    <n v="3518.07"/>
    <x v="1"/>
    <s v="25-48 Months"/>
    <n v="1"/>
  </r>
  <r>
    <s v="CUST0023"/>
    <s v="Female"/>
    <n v="62"/>
    <n v="5"/>
    <s v="Two Year"/>
    <x v="3"/>
    <x v="2"/>
    <n v="91.16"/>
    <n v="429.09"/>
    <x v="0"/>
    <s v="0-12 Months"/>
    <n v="0"/>
  </r>
  <r>
    <s v="CUST0024"/>
    <s v="Female"/>
    <n v="22"/>
    <n v="11"/>
    <s v="Month-to-Month"/>
    <x v="3"/>
    <x v="1"/>
    <n v="115.41"/>
    <n v="1358.73"/>
    <x v="1"/>
    <s v="0-12 Months"/>
    <n v="1"/>
  </r>
  <r>
    <s v="CUST0025"/>
    <s v="Female"/>
    <n v="50"/>
    <n v="59"/>
    <s v="Month-to-Month"/>
    <x v="3"/>
    <x v="2"/>
    <n v="65.05"/>
    <n v="3518.84"/>
    <x v="0"/>
    <s v="49+ Months"/>
    <n v="0"/>
  </r>
  <r>
    <s v="CUST0026"/>
    <s v="Female"/>
    <n v="18"/>
    <n v="38"/>
    <s v="Two Year"/>
    <x v="1"/>
    <x v="1"/>
    <n v="73"/>
    <n v="2694.16"/>
    <x v="0"/>
    <s v="25-48 Months"/>
    <n v="0"/>
  </r>
  <r>
    <s v="CUST0027"/>
    <s v="Female"/>
    <n v="35"/>
    <n v="72"/>
    <s v="Month-to-Month"/>
    <x v="2"/>
    <x v="0"/>
    <n v="36.32"/>
    <n v="2709.38"/>
    <x v="0"/>
    <s v="49+ Months"/>
    <n v="0"/>
  </r>
  <r>
    <s v="CUST0028"/>
    <s v="Female"/>
    <n v="49"/>
    <n v="5"/>
    <s v="Month-to-Month"/>
    <x v="2"/>
    <x v="0"/>
    <n v="42.27"/>
    <n v="201.8"/>
    <x v="1"/>
    <s v="0-12 Months"/>
    <n v="1"/>
  </r>
  <r>
    <s v="CUST0029"/>
    <s v="Female"/>
    <n v="64"/>
    <n v="48"/>
    <s v="Two Year"/>
    <x v="2"/>
    <x v="2"/>
    <n v="127.56"/>
    <n v="6524.14"/>
    <x v="1"/>
    <s v="25-48 Months"/>
    <n v="1"/>
  </r>
  <r>
    <s v="CUST0030"/>
    <s v="Female"/>
    <n v="66"/>
    <n v="18"/>
    <s v="Month-to-Month"/>
    <x v="2"/>
    <x v="2"/>
    <n v="96.03"/>
    <n v="1811.46"/>
    <x v="1"/>
    <s v="13-24 Months"/>
    <n v="1"/>
  </r>
  <r>
    <s v="CUST0031"/>
    <s v="Male"/>
    <n v="28"/>
    <n v="70"/>
    <s v="One Year"/>
    <x v="0"/>
    <x v="1"/>
    <n v="63.88"/>
    <n v="4730.08"/>
    <x v="0"/>
    <s v="49+ Months"/>
    <n v="0"/>
  </r>
  <r>
    <s v="CUST0032"/>
    <s v="Male"/>
    <n v="38"/>
    <n v="37"/>
    <s v="One Year"/>
    <x v="2"/>
    <x v="0"/>
    <n v="124.37"/>
    <n v="4251.1400000000003"/>
    <x v="0"/>
    <s v="25-48 Months"/>
    <n v="0"/>
  </r>
  <r>
    <s v="CUST0033"/>
    <s v="Female"/>
    <n v="43"/>
    <n v="60"/>
    <s v="Month-to-Month"/>
    <x v="0"/>
    <x v="0"/>
    <n v="52.05"/>
    <n v="2898.49"/>
    <x v="1"/>
    <s v="49+ Months"/>
    <n v="1"/>
  </r>
  <r>
    <s v="CUST0034"/>
    <s v="Female"/>
    <n v="42"/>
    <n v="48"/>
    <s v="Month-to-Month"/>
    <x v="4"/>
    <x v="0"/>
    <n v="146.88"/>
    <n v="6749.16"/>
    <x v="0"/>
    <s v="25-48 Months"/>
    <n v="0"/>
  </r>
  <r>
    <s v="CUST0035"/>
    <s v="Female"/>
    <n v="39"/>
    <n v="28"/>
    <s v="One Year"/>
    <x v="0"/>
    <x v="0"/>
    <n v="64.83"/>
    <n v="1821.8"/>
    <x v="0"/>
    <s v="25-48 Months"/>
    <n v="0"/>
  </r>
  <r>
    <s v="CUST0036"/>
    <s v="Male"/>
    <n v="44"/>
    <n v="69"/>
    <s v="Month-to-Month"/>
    <x v="3"/>
    <x v="0"/>
    <n v="63.85"/>
    <n v="4624.18"/>
    <x v="0"/>
    <s v="49+ Months"/>
    <n v="0"/>
  </r>
  <r>
    <s v="CUST0037"/>
    <s v="Female"/>
    <n v="66"/>
    <n v="40"/>
    <s v="Month-to-Month"/>
    <x v="1"/>
    <x v="2"/>
    <n v="60.55"/>
    <n v="2585.02"/>
    <x v="0"/>
    <s v="25-48 Months"/>
    <n v="0"/>
  </r>
  <r>
    <s v="CUST0038"/>
    <s v="Male"/>
    <n v="30"/>
    <n v="45"/>
    <s v="One Year"/>
    <x v="2"/>
    <x v="0"/>
    <n v="35.869999999999997"/>
    <n v="1680.12"/>
    <x v="0"/>
    <s v="25-48 Months"/>
    <n v="0"/>
  </r>
  <r>
    <s v="CUST0039"/>
    <s v="Male"/>
    <n v="50"/>
    <n v="62"/>
    <s v="Month-to-Month"/>
    <x v="0"/>
    <x v="2"/>
    <n v="34.450000000000003"/>
    <n v="2318.9899999999998"/>
    <x v="1"/>
    <s v="49+ Months"/>
    <n v="1"/>
  </r>
  <r>
    <s v="CUST0040"/>
    <s v="Male"/>
    <n v="51"/>
    <n v="58"/>
    <s v="Month-to-Month"/>
    <x v="4"/>
    <x v="2"/>
    <n v="104.25"/>
    <n v="6335.21"/>
    <x v="1"/>
    <s v="49+ Months"/>
    <n v="1"/>
  </r>
  <r>
    <s v="CUST0041"/>
    <s v="Male"/>
    <n v="58"/>
    <n v="67"/>
    <s v="Two Year"/>
    <x v="2"/>
    <x v="2"/>
    <n v="133.77000000000001"/>
    <n v="8615.32"/>
    <x v="1"/>
    <s v="49+ Months"/>
    <n v="1"/>
  </r>
  <r>
    <s v="CUST0042"/>
    <s v="Male"/>
    <n v="52"/>
    <n v="56"/>
    <s v="Month-to-Month"/>
    <x v="1"/>
    <x v="2"/>
    <n v="122.77"/>
    <n v="6552.1"/>
    <x v="0"/>
    <s v="49+ Months"/>
    <n v="0"/>
  </r>
  <r>
    <s v="CUST0043"/>
    <s v="Female"/>
    <n v="18"/>
    <n v="40"/>
    <s v="Two Year"/>
    <x v="2"/>
    <x v="1"/>
    <n v="38.340000000000003"/>
    <n v="1593.78"/>
    <x v="0"/>
    <s v="25-48 Months"/>
    <n v="0"/>
  </r>
  <r>
    <s v="CUST0044"/>
    <s v="Female"/>
    <n v="38"/>
    <n v="40"/>
    <s v="One Year"/>
    <x v="2"/>
    <x v="0"/>
    <n v="90.93"/>
    <n v="3413.78"/>
    <x v="0"/>
    <s v="25-48 Months"/>
    <n v="0"/>
  </r>
  <r>
    <s v="CUST0045"/>
    <s v="Female"/>
    <n v="65"/>
    <n v="33"/>
    <s v="One Year"/>
    <x v="0"/>
    <x v="2"/>
    <n v="33.729999999999997"/>
    <n v="1022.42"/>
    <x v="1"/>
    <s v="25-48 Months"/>
    <n v="1"/>
  </r>
  <r>
    <s v="CUST0046"/>
    <s v="Female"/>
    <n v="23"/>
    <n v="6"/>
    <s v="Month-to-Month"/>
    <x v="3"/>
    <x v="1"/>
    <n v="25.89"/>
    <n v="156.34"/>
    <x v="0"/>
    <s v="0-12 Months"/>
    <n v="0"/>
  </r>
  <r>
    <s v="CUST0047"/>
    <s v="Female"/>
    <n v="45"/>
    <n v="19"/>
    <s v="Two Year"/>
    <x v="1"/>
    <x v="0"/>
    <n v="105.33"/>
    <n v="2130.0100000000002"/>
    <x v="1"/>
    <s v="13-24 Months"/>
    <n v="1"/>
  </r>
  <r>
    <s v="CUST0048"/>
    <s v="Male"/>
    <n v="34"/>
    <n v="40"/>
    <s v="Month-to-Month"/>
    <x v="1"/>
    <x v="0"/>
    <n v="89.57"/>
    <n v="3297.16"/>
    <x v="1"/>
    <s v="25-48 Months"/>
    <n v="1"/>
  </r>
  <r>
    <s v="CUST0049"/>
    <s v="Female"/>
    <n v="22"/>
    <n v="59"/>
    <s v="One Year"/>
    <x v="2"/>
    <x v="1"/>
    <n v="30.66"/>
    <n v="1914.54"/>
    <x v="0"/>
    <s v="49+ Months"/>
    <n v="0"/>
  </r>
  <r>
    <s v="CUST0050"/>
    <s v="Female"/>
    <n v="48"/>
    <n v="59"/>
    <s v="Month-to-Month"/>
    <x v="1"/>
    <x v="0"/>
    <n v="24.54"/>
    <n v="1538.08"/>
    <x v="0"/>
    <s v="49+ Months"/>
    <n v="0"/>
  </r>
  <r>
    <s v="CUST0051"/>
    <s v="Male"/>
    <n v="22"/>
    <n v="48"/>
    <s v="Month-to-Month"/>
    <x v="1"/>
    <x v="1"/>
    <n v="148.66999999999999"/>
    <n v="7110.86"/>
    <x v="0"/>
    <s v="25-48 Months"/>
    <n v="0"/>
  </r>
  <r>
    <s v="CUST0052"/>
    <s v="Female"/>
    <n v="55"/>
    <n v="41"/>
    <s v="Month-to-Month"/>
    <x v="1"/>
    <x v="2"/>
    <n v="23.9"/>
    <n v="893.14"/>
    <x v="0"/>
    <s v="25-48 Months"/>
    <n v="0"/>
  </r>
  <r>
    <s v="CUST0053"/>
    <s v="Male"/>
    <n v="20"/>
    <n v="13"/>
    <s v="Two Year"/>
    <x v="3"/>
    <x v="1"/>
    <n v="77.790000000000006"/>
    <n v="945.45"/>
    <x v="1"/>
    <s v="13-24 Months"/>
    <n v="1"/>
  </r>
  <r>
    <s v="CUST0054"/>
    <s v="Female"/>
    <n v="70"/>
    <n v="45"/>
    <s v="Two Year"/>
    <x v="2"/>
    <x v="2"/>
    <n v="85.6"/>
    <n v="4011.8"/>
    <x v="0"/>
    <s v="25-48 Months"/>
    <n v="0"/>
  </r>
  <r>
    <s v="CUST0055"/>
    <s v="Male"/>
    <n v="40"/>
    <n v="53"/>
    <s v="Month-to-Month"/>
    <x v="3"/>
    <x v="0"/>
    <n v="35.25"/>
    <n v="1947.38"/>
    <x v="0"/>
    <s v="49+ Months"/>
    <n v="0"/>
  </r>
  <r>
    <s v="CUST0056"/>
    <s v="Female"/>
    <n v="54"/>
    <n v="42"/>
    <s v="Month-to-Month"/>
    <x v="3"/>
    <x v="2"/>
    <n v="41.98"/>
    <n v="1903.63"/>
    <x v="0"/>
    <s v="25-48 Months"/>
    <n v="0"/>
  </r>
  <r>
    <s v="CUST0057"/>
    <s v="Female"/>
    <n v="70"/>
    <n v="63"/>
    <s v="One Year"/>
    <x v="2"/>
    <x v="2"/>
    <n v="65.73"/>
    <n v="4209.47"/>
    <x v="0"/>
    <s v="49+ Months"/>
    <n v="0"/>
  </r>
  <r>
    <s v="CUST0058"/>
    <s v="Male"/>
    <n v="54"/>
    <n v="27"/>
    <s v="Month-to-Month"/>
    <x v="0"/>
    <x v="2"/>
    <n v="119.02"/>
    <n v="2971.95"/>
    <x v="0"/>
    <s v="25-48 Months"/>
    <n v="0"/>
  </r>
  <r>
    <s v="CUST0059"/>
    <s v="Male"/>
    <n v="27"/>
    <n v="38"/>
    <s v="Month-to-Month"/>
    <x v="3"/>
    <x v="1"/>
    <n v="85.92"/>
    <n v="3017.75"/>
    <x v="0"/>
    <s v="25-48 Months"/>
    <n v="0"/>
  </r>
  <r>
    <s v="CUST0060"/>
    <s v="Male"/>
    <n v="27"/>
    <n v="60"/>
    <s v="One Year"/>
    <x v="2"/>
    <x v="1"/>
    <n v="102.93"/>
    <n v="6448.93"/>
    <x v="1"/>
    <s v="49+ Months"/>
    <n v="1"/>
  </r>
  <r>
    <s v="CUST0061"/>
    <s v="Male"/>
    <n v="36"/>
    <n v="7"/>
    <s v="Month-to-Month"/>
    <x v="0"/>
    <x v="0"/>
    <n v="148.07"/>
    <n v="970.94"/>
    <x v="1"/>
    <s v="0-12 Months"/>
    <n v="1"/>
  </r>
  <r>
    <s v="CUST0062"/>
    <s v="Male"/>
    <n v="34"/>
    <n v="5"/>
    <s v="Two Year"/>
    <x v="3"/>
    <x v="0"/>
    <n v="119.84"/>
    <n v="578.63"/>
    <x v="0"/>
    <s v="0-12 Months"/>
    <n v="0"/>
  </r>
  <r>
    <s v="CUST0063"/>
    <s v="Male"/>
    <n v="38"/>
    <n v="45"/>
    <s v="Month-to-Month"/>
    <x v="0"/>
    <x v="0"/>
    <n v="76.47"/>
    <n v="3432.35"/>
    <x v="1"/>
    <s v="25-48 Months"/>
    <n v="1"/>
  </r>
  <r>
    <s v="CUST0064"/>
    <s v="Male"/>
    <n v="31"/>
    <n v="58"/>
    <s v="Month-to-Month"/>
    <x v="2"/>
    <x v="0"/>
    <n v="78.040000000000006"/>
    <n v="4096.1099999999997"/>
    <x v="0"/>
    <s v="49+ Months"/>
    <n v="0"/>
  </r>
  <r>
    <s v="CUST0065"/>
    <s v="Male"/>
    <n v="26"/>
    <n v="31"/>
    <s v="Month-to-Month"/>
    <x v="0"/>
    <x v="1"/>
    <n v="100.44"/>
    <n v="2957.22"/>
    <x v="0"/>
    <s v="25-48 Months"/>
    <n v="0"/>
  </r>
  <r>
    <s v="CUST0066"/>
    <s v="Female"/>
    <n v="63"/>
    <n v="23"/>
    <s v="One Year"/>
    <x v="2"/>
    <x v="2"/>
    <n v="83.07"/>
    <n v="2404.38"/>
    <x v="0"/>
    <s v="13-24 Months"/>
    <n v="0"/>
  </r>
  <r>
    <s v="CUST0067"/>
    <s v="Female"/>
    <n v="18"/>
    <n v="42"/>
    <s v="Month-to-Month"/>
    <x v="0"/>
    <x v="1"/>
    <n v="85.09"/>
    <n v="3416.27"/>
    <x v="1"/>
    <s v="25-48 Months"/>
    <n v="1"/>
  </r>
  <r>
    <s v="CUST0068"/>
    <s v="Male"/>
    <n v="68"/>
    <n v="10"/>
    <s v="One Year"/>
    <x v="2"/>
    <x v="2"/>
    <n v="103.83"/>
    <n v="962.79"/>
    <x v="1"/>
    <s v="0-12 Months"/>
    <n v="1"/>
  </r>
  <r>
    <s v="CUST0069"/>
    <s v="Female"/>
    <n v="62"/>
    <n v="32"/>
    <s v="Month-to-Month"/>
    <x v="1"/>
    <x v="2"/>
    <n v="23.06"/>
    <n v="771.57"/>
    <x v="0"/>
    <s v="25-48 Months"/>
    <n v="0"/>
  </r>
  <r>
    <s v="CUST0070"/>
    <s v="Female"/>
    <n v="30"/>
    <n v="53"/>
    <s v="Two Year"/>
    <x v="0"/>
    <x v="0"/>
    <n v="75.849999999999994"/>
    <n v="4271.82"/>
    <x v="0"/>
    <s v="49+ Months"/>
    <n v="0"/>
  </r>
  <r>
    <s v="CUST0071"/>
    <s v="Female"/>
    <n v="21"/>
    <n v="30"/>
    <s v="Month-to-Month"/>
    <x v="1"/>
    <x v="1"/>
    <n v="56.26"/>
    <n v="1605.93"/>
    <x v="0"/>
    <s v="25-48 Months"/>
    <n v="0"/>
  </r>
  <r>
    <s v="CUST0072"/>
    <s v="Female"/>
    <n v="18"/>
    <n v="39"/>
    <s v="Month-to-Month"/>
    <x v="1"/>
    <x v="1"/>
    <n v="36.79"/>
    <n v="1513.56"/>
    <x v="0"/>
    <s v="25-48 Months"/>
    <n v="0"/>
  </r>
  <r>
    <s v="CUST0073"/>
    <s v="Male"/>
    <n v="66"/>
    <n v="31"/>
    <s v="One Year"/>
    <x v="0"/>
    <x v="2"/>
    <n v="32.94"/>
    <n v="997.77"/>
    <x v="0"/>
    <s v="25-48 Months"/>
    <n v="0"/>
  </r>
  <r>
    <s v="CUST0074"/>
    <s v="Female"/>
    <n v="57"/>
    <n v="2"/>
    <s v="Month-to-Month"/>
    <x v="1"/>
    <x v="2"/>
    <n v="98.41"/>
    <n v="197.08"/>
    <x v="0"/>
    <s v="0-12 Months"/>
    <n v="0"/>
  </r>
  <r>
    <s v="CUST0075"/>
    <s v="Male"/>
    <n v="49"/>
    <n v="12"/>
    <s v="Month-to-Month"/>
    <x v="2"/>
    <x v="0"/>
    <n v="88.07"/>
    <n v="1132.0899999999999"/>
    <x v="1"/>
    <s v="0-12 Months"/>
    <n v="1"/>
  </r>
  <r>
    <s v="CUST0076"/>
    <s v="Female"/>
    <n v="51"/>
    <n v="39"/>
    <s v="Two Year"/>
    <x v="0"/>
    <x v="2"/>
    <n v="52.97"/>
    <n v="2169.1"/>
    <x v="0"/>
    <s v="25-48 Months"/>
    <n v="0"/>
  </r>
  <r>
    <s v="CUST0077"/>
    <s v="Female"/>
    <n v="45"/>
    <n v="66"/>
    <s v="Month-to-Month"/>
    <x v="2"/>
    <x v="0"/>
    <n v="81.22"/>
    <n v="5687.64"/>
    <x v="0"/>
    <s v="49+ Months"/>
    <n v="0"/>
  </r>
  <r>
    <s v="CUST0078"/>
    <s v="Female"/>
    <n v="48"/>
    <n v="13"/>
    <s v="One Year"/>
    <x v="3"/>
    <x v="0"/>
    <n v="83.99"/>
    <n v="1012.57"/>
    <x v="1"/>
    <s v="13-24 Months"/>
    <n v="1"/>
  </r>
  <r>
    <s v="CUST0079"/>
    <s v="Male"/>
    <n v="25"/>
    <n v="46"/>
    <s v="Month-to-Month"/>
    <x v="2"/>
    <x v="1"/>
    <n v="45.35"/>
    <n v="1906.58"/>
    <x v="0"/>
    <s v="25-48 Months"/>
    <n v="0"/>
  </r>
  <r>
    <s v="CUST0080"/>
    <s v="Female"/>
    <n v="56"/>
    <n v="27"/>
    <s v="One Year"/>
    <x v="0"/>
    <x v="2"/>
    <n v="104.77"/>
    <n v="3051.36"/>
    <x v="0"/>
    <s v="25-48 Months"/>
    <n v="0"/>
  </r>
  <r>
    <s v="CUST0081"/>
    <s v="Male"/>
    <n v="43"/>
    <n v="17"/>
    <s v="Month-to-Month"/>
    <x v="1"/>
    <x v="0"/>
    <n v="121.52"/>
    <n v="2019.5"/>
    <x v="0"/>
    <s v="13-24 Months"/>
    <n v="0"/>
  </r>
  <r>
    <s v="CUST0082"/>
    <s v="Female"/>
    <n v="51"/>
    <n v="60"/>
    <s v="Month-to-Month"/>
    <x v="0"/>
    <x v="2"/>
    <n v="122.89"/>
    <n v="7060.59"/>
    <x v="0"/>
    <s v="49+ Months"/>
    <n v="0"/>
  </r>
  <r>
    <s v="CUST0083"/>
    <s v="Male"/>
    <n v="20"/>
    <n v="64"/>
    <s v="Two Year"/>
    <x v="2"/>
    <x v="1"/>
    <n v="98.32"/>
    <n v="6575.26"/>
    <x v="0"/>
    <s v="49+ Months"/>
    <n v="0"/>
  </r>
  <r>
    <s v="CUST0084"/>
    <s v="Female"/>
    <n v="67"/>
    <n v="35"/>
    <s v="One Year"/>
    <x v="0"/>
    <x v="2"/>
    <n v="86.51"/>
    <n v="3231.57"/>
    <x v="0"/>
    <s v="25-48 Months"/>
    <n v="0"/>
  </r>
  <r>
    <s v="CUST0085"/>
    <s v="Male"/>
    <n v="29"/>
    <n v="70"/>
    <s v="Month-to-Month"/>
    <x v="1"/>
    <x v="1"/>
    <n v="27.93"/>
    <n v="2096.84"/>
    <x v="0"/>
    <s v="49+ Months"/>
    <n v="0"/>
  </r>
  <r>
    <s v="CUST0086"/>
    <s v="Male"/>
    <n v="18"/>
    <n v="30"/>
    <s v="Month-to-Month"/>
    <x v="1"/>
    <x v="1"/>
    <n v="57.42"/>
    <n v="1659.21"/>
    <x v="0"/>
    <s v="25-48 Months"/>
    <n v="0"/>
  </r>
  <r>
    <s v="CUST0087"/>
    <s v="Female"/>
    <n v="61"/>
    <n v="71"/>
    <s v="Two Year"/>
    <x v="0"/>
    <x v="2"/>
    <n v="32.130000000000003"/>
    <n v="2441.9299999999998"/>
    <x v="0"/>
    <s v="49+ Months"/>
    <n v="0"/>
  </r>
  <r>
    <s v="CUST0088"/>
    <s v="Male"/>
    <n v="22"/>
    <n v="63"/>
    <s v="Month-to-Month"/>
    <x v="0"/>
    <x v="1"/>
    <n v="145.30000000000001"/>
    <n v="8313.4500000000007"/>
    <x v="0"/>
    <s v="49+ Months"/>
    <n v="0"/>
  </r>
  <r>
    <s v="CUST0089"/>
    <s v="Female"/>
    <n v="47"/>
    <n v="28"/>
    <s v="One Year"/>
    <x v="0"/>
    <x v="0"/>
    <n v="37.56"/>
    <n v="956.96"/>
    <x v="0"/>
    <s v="25-48 Months"/>
    <n v="0"/>
  </r>
  <r>
    <s v="CUST0090"/>
    <s v="Female"/>
    <n v="47"/>
    <n v="60"/>
    <s v="One Year"/>
    <x v="1"/>
    <x v="0"/>
    <n v="39.729999999999997"/>
    <n v="2442.69"/>
    <x v="0"/>
    <s v="49+ Months"/>
    <n v="0"/>
  </r>
  <r>
    <s v="CUST0091"/>
    <s v="Female"/>
    <n v="34"/>
    <n v="37"/>
    <s v="Month-to-Month"/>
    <x v="0"/>
    <x v="0"/>
    <n v="135.63999999999999"/>
    <n v="4580.1499999999996"/>
    <x v="0"/>
    <s v="25-48 Months"/>
    <n v="0"/>
  </r>
  <r>
    <s v="CUST0092"/>
    <s v="Female"/>
    <n v="65"/>
    <n v="22"/>
    <s v="Month-to-Month"/>
    <x v="0"/>
    <x v="2"/>
    <n v="142.71"/>
    <n v="3029.49"/>
    <x v="1"/>
    <s v="13-24 Months"/>
    <n v="1"/>
  </r>
  <r>
    <s v="CUST0093"/>
    <s v="Female"/>
    <n v="64"/>
    <n v="68"/>
    <s v="One Year"/>
    <x v="2"/>
    <x v="2"/>
    <n v="119.56"/>
    <n v="8410.98"/>
    <x v="0"/>
    <s v="49+ Months"/>
    <n v="0"/>
  </r>
  <r>
    <s v="CUST0094"/>
    <s v="Female"/>
    <n v="40"/>
    <n v="20"/>
    <s v="Month-to-Month"/>
    <x v="2"/>
    <x v="0"/>
    <n v="20.7"/>
    <n v="400.53"/>
    <x v="1"/>
    <s v="13-24 Months"/>
    <n v="1"/>
  </r>
  <r>
    <s v="CUST0095"/>
    <s v="Female"/>
    <n v="32"/>
    <n v="68"/>
    <s v="Month-to-Month"/>
    <x v="2"/>
    <x v="0"/>
    <n v="20.18"/>
    <n v="1284.31"/>
    <x v="0"/>
    <s v="49+ Months"/>
    <n v="0"/>
  </r>
  <r>
    <s v="CUST0096"/>
    <s v="Female"/>
    <n v="54"/>
    <n v="64"/>
    <s v="Two Year"/>
    <x v="2"/>
    <x v="2"/>
    <n v="69.150000000000006"/>
    <n v="4232.07"/>
    <x v="0"/>
    <s v="49+ Months"/>
    <n v="0"/>
  </r>
  <r>
    <s v="CUST0097"/>
    <s v="Female"/>
    <n v="38"/>
    <n v="17"/>
    <s v="One Year"/>
    <x v="0"/>
    <x v="0"/>
    <n v="38.64"/>
    <n v="651.30999999999995"/>
    <x v="0"/>
    <s v="13-24 Months"/>
    <n v="0"/>
  </r>
  <r>
    <s v="CUST0098"/>
    <s v="Female"/>
    <n v="31"/>
    <n v="12"/>
    <s v="One Year"/>
    <x v="1"/>
    <x v="0"/>
    <n v="22.39"/>
    <n v="267.36"/>
    <x v="1"/>
    <s v="0-12 Months"/>
    <n v="1"/>
  </r>
  <r>
    <s v="CUST0099"/>
    <s v="Female"/>
    <n v="19"/>
    <n v="22"/>
    <s v="One Year"/>
    <x v="2"/>
    <x v="1"/>
    <n v="80.33"/>
    <n v="1867.29"/>
    <x v="0"/>
    <s v="13-24 Months"/>
    <n v="0"/>
  </r>
  <r>
    <s v="CUST0100"/>
    <s v="Male"/>
    <n v="28"/>
    <n v="17"/>
    <s v="One Year"/>
    <x v="3"/>
    <x v="1"/>
    <n v="142.6"/>
    <n v="2545.48"/>
    <x v="0"/>
    <s v="13-24 Months"/>
    <n v="0"/>
  </r>
  <r>
    <s v="CUST0101"/>
    <s v="Male"/>
    <n v="68"/>
    <n v="10"/>
    <s v="Month-to-Month"/>
    <x v="2"/>
    <x v="2"/>
    <n v="62.1"/>
    <n v="615.64"/>
    <x v="1"/>
    <s v="0-12 Months"/>
    <n v="1"/>
  </r>
  <r>
    <s v="CUST0102"/>
    <s v="Female"/>
    <n v="56"/>
    <n v="65"/>
    <s v="Month-to-Month"/>
    <x v="1"/>
    <x v="2"/>
    <n v="105.95"/>
    <n v="7362.85"/>
    <x v="1"/>
    <s v="49+ Months"/>
    <n v="1"/>
  </r>
  <r>
    <s v="CUST0103"/>
    <s v="Female"/>
    <n v="55"/>
    <n v="22"/>
    <s v="Month-to-Month"/>
    <x v="1"/>
    <x v="2"/>
    <n v="104.79"/>
    <n v="2127.5100000000002"/>
    <x v="1"/>
    <s v="13-24 Months"/>
    <n v="1"/>
  </r>
  <r>
    <s v="CUST0104"/>
    <s v="Female"/>
    <n v="51"/>
    <n v="50"/>
    <s v="Month-to-Month"/>
    <x v="0"/>
    <x v="2"/>
    <n v="52.64"/>
    <n v="2503.2199999999998"/>
    <x v="0"/>
    <s v="49+ Months"/>
    <n v="0"/>
  </r>
  <r>
    <s v="CUST0105"/>
    <s v="Female"/>
    <n v="55"/>
    <n v="14"/>
    <s v="One Year"/>
    <x v="2"/>
    <x v="2"/>
    <n v="104.56"/>
    <n v="1559.86"/>
    <x v="0"/>
    <s v="13-24 Months"/>
    <n v="0"/>
  </r>
  <r>
    <s v="CUST0106"/>
    <s v="Female"/>
    <n v="67"/>
    <n v="64"/>
    <s v="Month-to-Month"/>
    <x v="1"/>
    <x v="2"/>
    <n v="47.6"/>
    <n v="2972.06"/>
    <x v="0"/>
    <s v="49+ Months"/>
    <n v="0"/>
  </r>
  <r>
    <s v="CUST0107"/>
    <s v="Female"/>
    <n v="51"/>
    <n v="47"/>
    <s v="Month-to-Month"/>
    <x v="0"/>
    <x v="2"/>
    <n v="35.86"/>
    <n v="1847.62"/>
    <x v="1"/>
    <s v="25-48 Months"/>
    <n v="1"/>
  </r>
  <r>
    <s v="CUST0108"/>
    <s v="Female"/>
    <n v="35"/>
    <n v="29"/>
    <s v="Month-to-Month"/>
    <x v="3"/>
    <x v="0"/>
    <n v="111.18"/>
    <n v="3202.46"/>
    <x v="0"/>
    <s v="25-48 Months"/>
    <n v="0"/>
  </r>
  <r>
    <s v="CUST0109"/>
    <s v="Female"/>
    <n v="47"/>
    <n v="36"/>
    <s v="Month-to-Month"/>
    <x v="0"/>
    <x v="0"/>
    <n v="34.75"/>
    <n v="1324.04"/>
    <x v="1"/>
    <s v="25-48 Months"/>
    <n v="1"/>
  </r>
  <r>
    <s v="CUST0110"/>
    <s v="Male"/>
    <n v="32"/>
    <n v="52"/>
    <s v="Month-to-Month"/>
    <x v="3"/>
    <x v="0"/>
    <n v="149.6"/>
    <n v="7627.21"/>
    <x v="0"/>
    <s v="49+ Months"/>
    <n v="0"/>
  </r>
  <r>
    <s v="CUST0111"/>
    <s v="Female"/>
    <n v="44"/>
    <n v="7"/>
    <s v="Month-to-Month"/>
    <x v="2"/>
    <x v="0"/>
    <n v="43.85"/>
    <n v="302.33999999999997"/>
    <x v="1"/>
    <s v="0-12 Months"/>
    <n v="1"/>
  </r>
  <r>
    <s v="CUST0112"/>
    <s v="Male"/>
    <n v="68"/>
    <n v="29"/>
    <s v="Month-to-Month"/>
    <x v="1"/>
    <x v="2"/>
    <n v="97.24"/>
    <n v="2753.91"/>
    <x v="0"/>
    <s v="25-48 Months"/>
    <n v="0"/>
  </r>
  <r>
    <s v="CUST0113"/>
    <s v="Female"/>
    <n v="51"/>
    <n v="11"/>
    <s v="Month-to-Month"/>
    <x v="1"/>
    <x v="2"/>
    <n v="73.48"/>
    <n v="843.69"/>
    <x v="0"/>
    <s v="0-12 Months"/>
    <n v="0"/>
  </r>
  <r>
    <s v="CUST0114"/>
    <s v="Female"/>
    <n v="69"/>
    <n v="33"/>
    <s v="Month-to-Month"/>
    <x v="1"/>
    <x v="2"/>
    <n v="36.43"/>
    <n v="1213.6199999999999"/>
    <x v="0"/>
    <s v="25-48 Months"/>
    <n v="0"/>
  </r>
  <r>
    <s v="CUST0115"/>
    <s v="Male"/>
    <n v="55"/>
    <n v="6"/>
    <s v="One Year"/>
    <x v="2"/>
    <x v="2"/>
    <n v="23.62"/>
    <n v="154.30000000000001"/>
    <x v="0"/>
    <s v="0-12 Months"/>
    <n v="0"/>
  </r>
  <r>
    <s v="CUST0116"/>
    <s v="Female"/>
    <n v="50"/>
    <n v="32"/>
    <s v="Month-to-Month"/>
    <x v="1"/>
    <x v="2"/>
    <n v="100.96"/>
    <n v="3069.76"/>
    <x v="0"/>
    <s v="25-48 Months"/>
    <n v="0"/>
  </r>
  <r>
    <s v="CUST0117"/>
    <s v="Male"/>
    <n v="41"/>
    <n v="51"/>
    <s v="Month-to-Month"/>
    <x v="0"/>
    <x v="0"/>
    <n v="124.88"/>
    <n v="5860.09"/>
    <x v="0"/>
    <s v="49+ Months"/>
    <n v="0"/>
  </r>
  <r>
    <s v="CUST0118"/>
    <s v="Female"/>
    <n v="32"/>
    <n v="58"/>
    <s v="One Year"/>
    <x v="1"/>
    <x v="0"/>
    <n v="129.46"/>
    <n v="7348.39"/>
    <x v="0"/>
    <s v="49+ Months"/>
    <n v="0"/>
  </r>
  <r>
    <s v="CUST0119"/>
    <s v="Female"/>
    <n v="47"/>
    <n v="26"/>
    <s v="Month-to-Month"/>
    <x v="2"/>
    <x v="0"/>
    <n v="82.75"/>
    <n v="2201.7199999999998"/>
    <x v="1"/>
    <s v="25-48 Months"/>
    <n v="1"/>
  </r>
  <r>
    <s v="CUST0120"/>
    <s v="Male"/>
    <n v="59"/>
    <n v="46"/>
    <s v="Two Year"/>
    <x v="3"/>
    <x v="2"/>
    <n v="121.07"/>
    <n v="5971.09"/>
    <x v="0"/>
    <s v="25-48 Months"/>
    <n v="0"/>
  </r>
  <r>
    <s v="CUST0121"/>
    <s v="Female"/>
    <n v="68"/>
    <n v="29"/>
    <s v="Month-to-Month"/>
    <x v="2"/>
    <x v="2"/>
    <n v="107.47"/>
    <n v="3020.76"/>
    <x v="0"/>
    <s v="25-48 Months"/>
    <n v="0"/>
  </r>
  <r>
    <s v="CUST0122"/>
    <s v="Male"/>
    <n v="34"/>
    <n v="4"/>
    <s v="Month-to-Month"/>
    <x v="3"/>
    <x v="0"/>
    <n v="114.15"/>
    <n v="470.64"/>
    <x v="1"/>
    <s v="0-12 Months"/>
    <n v="1"/>
  </r>
  <r>
    <s v="CUST0123"/>
    <s v="Female"/>
    <n v="22"/>
    <n v="13"/>
    <s v="One Year"/>
    <x v="3"/>
    <x v="1"/>
    <n v="84.04"/>
    <n v="1059.79"/>
    <x v="0"/>
    <s v="13-24 Months"/>
    <n v="0"/>
  </r>
  <r>
    <s v="CUST0124"/>
    <s v="Male"/>
    <n v="46"/>
    <n v="39"/>
    <s v="Month-to-Month"/>
    <x v="3"/>
    <x v="0"/>
    <n v="102.34"/>
    <n v="4084.83"/>
    <x v="1"/>
    <s v="25-48 Months"/>
    <n v="1"/>
  </r>
  <r>
    <s v="CUST0125"/>
    <s v="Male"/>
    <n v="21"/>
    <n v="15"/>
    <s v="One Year"/>
    <x v="0"/>
    <x v="1"/>
    <n v="124.72"/>
    <n v="2014.78"/>
    <x v="0"/>
    <s v="13-24 Months"/>
    <n v="0"/>
  </r>
  <r>
    <s v="CUST0126"/>
    <s v="Female"/>
    <n v="27"/>
    <n v="29"/>
    <s v="Month-to-Month"/>
    <x v="0"/>
    <x v="1"/>
    <n v="71.72"/>
    <n v="1968.13"/>
    <x v="1"/>
    <s v="25-48 Months"/>
    <n v="1"/>
  </r>
  <r>
    <s v="CUST0127"/>
    <s v="Female"/>
    <n v="34"/>
    <n v="29"/>
    <s v="Two Year"/>
    <x v="3"/>
    <x v="0"/>
    <n v="124.78"/>
    <n v="3549.32"/>
    <x v="1"/>
    <s v="25-48 Months"/>
    <n v="1"/>
  </r>
  <r>
    <s v="CUST0128"/>
    <s v="Male"/>
    <n v="27"/>
    <n v="32"/>
    <s v="Month-to-Month"/>
    <x v="2"/>
    <x v="1"/>
    <n v="96.96"/>
    <n v="3408.81"/>
    <x v="1"/>
    <s v="25-48 Months"/>
    <n v="1"/>
  </r>
  <r>
    <s v="CUST0129"/>
    <s v="Female"/>
    <n v="34"/>
    <n v="2"/>
    <s v="Month-to-Month"/>
    <x v="0"/>
    <x v="0"/>
    <n v="41.57"/>
    <n v="89.27"/>
    <x v="0"/>
    <s v="0-12 Months"/>
    <n v="0"/>
  </r>
  <r>
    <s v="CUST0130"/>
    <s v="Female"/>
    <n v="37"/>
    <n v="47"/>
    <s v="One Year"/>
    <x v="1"/>
    <x v="0"/>
    <n v="23.21"/>
    <n v="1104.97"/>
    <x v="0"/>
    <s v="25-48 Months"/>
    <n v="0"/>
  </r>
  <r>
    <s v="CUST0131"/>
    <s v="Female"/>
    <n v="41"/>
    <n v="22"/>
    <s v="Month-to-Month"/>
    <x v="1"/>
    <x v="0"/>
    <n v="67.16"/>
    <n v="1482.43"/>
    <x v="0"/>
    <s v="13-24 Months"/>
    <n v="0"/>
  </r>
  <r>
    <s v="CUST0132"/>
    <s v="Male"/>
    <n v="22"/>
    <n v="27"/>
    <s v="Month-to-Month"/>
    <x v="2"/>
    <x v="1"/>
    <n v="91.07"/>
    <n v="2352.96"/>
    <x v="1"/>
    <s v="25-48 Months"/>
    <n v="1"/>
  </r>
  <r>
    <s v="CUST0133"/>
    <s v="Male"/>
    <n v="51"/>
    <n v="67"/>
    <s v="One Year"/>
    <x v="1"/>
    <x v="2"/>
    <n v="129.18"/>
    <n v="8684.85"/>
    <x v="1"/>
    <s v="49+ Months"/>
    <n v="1"/>
  </r>
  <r>
    <s v="CUST0134"/>
    <s v="Male"/>
    <n v="23"/>
    <n v="56"/>
    <s v="Two Year"/>
    <x v="3"/>
    <x v="1"/>
    <n v="36.57"/>
    <n v="2190.5300000000002"/>
    <x v="0"/>
    <s v="49+ Months"/>
    <n v="0"/>
  </r>
  <r>
    <s v="CUST0135"/>
    <s v="Male"/>
    <n v="70"/>
    <n v="21"/>
    <s v="Month-to-Month"/>
    <x v="2"/>
    <x v="2"/>
    <n v="124.03"/>
    <n v="2701.09"/>
    <x v="0"/>
    <s v="13-24 Months"/>
    <n v="0"/>
  </r>
  <r>
    <s v="CUST0136"/>
    <s v="Male"/>
    <n v="19"/>
    <n v="47"/>
    <s v="One Year"/>
    <x v="3"/>
    <x v="1"/>
    <n v="132.19"/>
    <n v="5952.04"/>
    <x v="0"/>
    <s v="25-48 Months"/>
    <n v="0"/>
  </r>
  <r>
    <s v="CUST0137"/>
    <s v="Male"/>
    <n v="30"/>
    <n v="59"/>
    <s v="Two Year"/>
    <x v="2"/>
    <x v="0"/>
    <n v="39.590000000000003"/>
    <n v="2196.35"/>
    <x v="1"/>
    <s v="49+ Months"/>
    <n v="1"/>
  </r>
  <r>
    <s v="CUST0138"/>
    <s v="Male"/>
    <n v="60"/>
    <n v="6"/>
    <s v="Two Year"/>
    <x v="0"/>
    <x v="2"/>
    <n v="130.71"/>
    <n v="747.43"/>
    <x v="0"/>
    <s v="0-12 Months"/>
    <n v="0"/>
  </r>
  <r>
    <s v="CUST0139"/>
    <s v="Male"/>
    <n v="60"/>
    <n v="19"/>
    <s v="Month-to-Month"/>
    <x v="2"/>
    <x v="2"/>
    <n v="148.88999999999999"/>
    <n v="2642.07"/>
    <x v="0"/>
    <s v="13-24 Months"/>
    <n v="0"/>
  </r>
  <r>
    <s v="CUST0140"/>
    <s v="Male"/>
    <n v="65"/>
    <n v="57"/>
    <s v="One Year"/>
    <x v="2"/>
    <x v="2"/>
    <n v="114.49"/>
    <n v="5998.17"/>
    <x v="1"/>
    <s v="49+ Months"/>
    <n v="1"/>
  </r>
  <r>
    <s v="CUST0141"/>
    <s v="Female"/>
    <n v="28"/>
    <n v="69"/>
    <s v="Month-to-Month"/>
    <x v="3"/>
    <x v="1"/>
    <n v="122.02"/>
    <n v="8283.2199999999993"/>
    <x v="1"/>
    <s v="49+ Months"/>
    <n v="1"/>
  </r>
  <r>
    <s v="CUST0142"/>
    <s v="Male"/>
    <n v="68"/>
    <n v="3"/>
    <s v="Two Year"/>
    <x v="0"/>
    <x v="2"/>
    <n v="149.27000000000001"/>
    <n v="413.18"/>
    <x v="0"/>
    <s v="0-12 Months"/>
    <n v="0"/>
  </r>
  <r>
    <s v="CUST0143"/>
    <s v="Female"/>
    <n v="64"/>
    <n v="1"/>
    <s v="Month-to-Month"/>
    <x v="0"/>
    <x v="2"/>
    <n v="98.71"/>
    <n v="92.23"/>
    <x v="0"/>
    <s v="0-12 Months"/>
    <n v="0"/>
  </r>
  <r>
    <s v="CUST0144"/>
    <s v="Female"/>
    <n v="40"/>
    <n v="58"/>
    <s v="Month-to-Month"/>
    <x v="2"/>
    <x v="0"/>
    <n v="60.03"/>
    <n v="3514.69"/>
    <x v="0"/>
    <s v="49+ Months"/>
    <n v="0"/>
  </r>
  <r>
    <s v="CUST0145"/>
    <s v="Female"/>
    <n v="33"/>
    <n v="38"/>
    <s v="One Year"/>
    <x v="0"/>
    <x v="0"/>
    <n v="128.88"/>
    <n v="4568.92"/>
    <x v="0"/>
    <s v="25-48 Months"/>
    <n v="0"/>
  </r>
  <r>
    <s v="CUST0146"/>
    <s v="Male"/>
    <n v="48"/>
    <n v="15"/>
    <s v="Month-to-Month"/>
    <x v="0"/>
    <x v="0"/>
    <n v="99.88"/>
    <n v="1367.52"/>
    <x v="0"/>
    <s v="13-24 Months"/>
    <n v="0"/>
  </r>
  <r>
    <s v="CUST0147"/>
    <s v="Male"/>
    <n v="28"/>
    <n v="34"/>
    <s v="Two Year"/>
    <x v="0"/>
    <x v="1"/>
    <n v="95.56"/>
    <n v="3130.38"/>
    <x v="0"/>
    <s v="25-48 Months"/>
    <n v="0"/>
  </r>
  <r>
    <s v="CUST0148"/>
    <s v="Male"/>
    <n v="33"/>
    <n v="61"/>
    <s v="Two Year"/>
    <x v="2"/>
    <x v="0"/>
    <n v="52.97"/>
    <n v="3050.43"/>
    <x v="0"/>
    <s v="49+ Months"/>
    <n v="0"/>
  </r>
  <r>
    <s v="CUST0149"/>
    <s v="Male"/>
    <n v="25"/>
    <n v="35"/>
    <s v="One Year"/>
    <x v="3"/>
    <x v="1"/>
    <n v="118.32"/>
    <n v="4153.88"/>
    <x v="0"/>
    <s v="25-48 Months"/>
    <n v="0"/>
  </r>
  <r>
    <s v="CUST0150"/>
    <s v="Female"/>
    <n v="21"/>
    <n v="64"/>
    <s v="Month-to-Month"/>
    <x v="0"/>
    <x v="1"/>
    <n v="30.62"/>
    <n v="1803.83"/>
    <x v="1"/>
    <s v="49+ Months"/>
    <n v="1"/>
  </r>
  <r>
    <s v="CUST0151"/>
    <s v="Male"/>
    <n v="57"/>
    <n v="25"/>
    <s v="One Year"/>
    <x v="0"/>
    <x v="2"/>
    <n v="140.16"/>
    <n v="3680.44"/>
    <x v="0"/>
    <s v="25-48 Months"/>
    <n v="0"/>
  </r>
  <r>
    <s v="CUST0152"/>
    <s v="Male"/>
    <n v="21"/>
    <n v="24"/>
    <s v="Month-to-Month"/>
    <x v="2"/>
    <x v="1"/>
    <n v="62.36"/>
    <n v="1618.24"/>
    <x v="1"/>
    <s v="13-24 Months"/>
    <n v="1"/>
  </r>
  <r>
    <s v="CUST0153"/>
    <s v="Male"/>
    <n v="42"/>
    <n v="12"/>
    <s v="Month-to-Month"/>
    <x v="1"/>
    <x v="0"/>
    <n v="36.61"/>
    <n v="460.71"/>
    <x v="1"/>
    <s v="0-12 Months"/>
    <n v="1"/>
  </r>
  <r>
    <s v="CUST0154"/>
    <s v="Male"/>
    <n v="20"/>
    <n v="18"/>
    <s v="Two Year"/>
    <x v="0"/>
    <x v="1"/>
    <n v="77.510000000000005"/>
    <n v="1404.34"/>
    <x v="0"/>
    <s v="13-24 Months"/>
    <n v="0"/>
  </r>
  <r>
    <s v="CUST0155"/>
    <s v="Male"/>
    <n v="49"/>
    <n v="15"/>
    <s v="Month-to-Month"/>
    <x v="0"/>
    <x v="0"/>
    <n v="25.52"/>
    <n v="410.41"/>
    <x v="0"/>
    <s v="13-24 Months"/>
    <n v="0"/>
  </r>
  <r>
    <s v="CUST0156"/>
    <s v="Female"/>
    <n v="20"/>
    <n v="27"/>
    <s v="Month-to-Month"/>
    <x v="2"/>
    <x v="1"/>
    <n v="109"/>
    <n v="3057.73"/>
    <x v="0"/>
    <s v="25-48 Months"/>
    <n v="0"/>
  </r>
  <r>
    <s v="CUST0157"/>
    <s v="Male"/>
    <n v="44"/>
    <n v="72"/>
    <s v="Two Year"/>
    <x v="3"/>
    <x v="0"/>
    <n v="137.35"/>
    <n v="8921.15"/>
    <x v="1"/>
    <s v="49+ Months"/>
    <n v="1"/>
  </r>
  <r>
    <s v="CUST0158"/>
    <s v="Female"/>
    <n v="46"/>
    <n v="60"/>
    <s v="Month-to-Month"/>
    <x v="2"/>
    <x v="0"/>
    <n v="128.84"/>
    <n v="7566.65"/>
    <x v="0"/>
    <s v="49+ Months"/>
    <n v="0"/>
  </r>
  <r>
    <s v="CUST0159"/>
    <s v="Male"/>
    <n v="49"/>
    <n v="46"/>
    <s v="Month-to-Month"/>
    <x v="1"/>
    <x v="0"/>
    <n v="36.56"/>
    <n v="1799.8"/>
    <x v="0"/>
    <s v="25-48 Months"/>
    <n v="0"/>
  </r>
  <r>
    <s v="CUST0160"/>
    <s v="Female"/>
    <n v="67"/>
    <n v="17"/>
    <s v="Two Year"/>
    <x v="0"/>
    <x v="2"/>
    <n v="36.42"/>
    <n v="600.04999999999995"/>
    <x v="0"/>
    <s v="13-24 Months"/>
    <n v="0"/>
  </r>
  <r>
    <s v="CUST0161"/>
    <s v="Male"/>
    <n v="68"/>
    <n v="53"/>
    <s v="Month-to-Month"/>
    <x v="2"/>
    <x v="2"/>
    <n v="125.75"/>
    <n v="6045.22"/>
    <x v="0"/>
    <s v="49+ Months"/>
    <n v="0"/>
  </r>
  <r>
    <s v="CUST0162"/>
    <s v="Male"/>
    <n v="36"/>
    <n v="8"/>
    <s v="One Year"/>
    <x v="1"/>
    <x v="0"/>
    <n v="140.15"/>
    <n v="1176.4000000000001"/>
    <x v="0"/>
    <s v="0-12 Months"/>
    <n v="0"/>
  </r>
  <r>
    <s v="CUST0163"/>
    <s v="Female"/>
    <n v="38"/>
    <n v="27"/>
    <s v="Two Year"/>
    <x v="2"/>
    <x v="0"/>
    <n v="79.89"/>
    <n v="2287.33"/>
    <x v="1"/>
    <s v="25-48 Months"/>
    <n v="1"/>
  </r>
  <r>
    <s v="CUST0164"/>
    <s v="Female"/>
    <n v="22"/>
    <n v="46"/>
    <s v="Two Year"/>
    <x v="3"/>
    <x v="1"/>
    <n v="84.87"/>
    <n v="3639.01"/>
    <x v="0"/>
    <s v="25-48 Months"/>
    <n v="0"/>
  </r>
  <r>
    <s v="CUST0165"/>
    <s v="Female"/>
    <n v="35"/>
    <n v="50"/>
    <s v="One Year"/>
    <x v="3"/>
    <x v="0"/>
    <n v="61.37"/>
    <n v="3091.42"/>
    <x v="1"/>
    <s v="49+ Months"/>
    <n v="1"/>
  </r>
  <r>
    <s v="CUST0166"/>
    <s v="Male"/>
    <n v="45"/>
    <n v="71"/>
    <s v="Month-to-Month"/>
    <x v="3"/>
    <x v="0"/>
    <n v="136.25"/>
    <n v="9077.76"/>
    <x v="1"/>
    <s v="49+ Months"/>
    <n v="1"/>
  </r>
  <r>
    <s v="CUST0167"/>
    <s v="Female"/>
    <n v="59"/>
    <n v="3"/>
    <s v="Month-to-Month"/>
    <x v="2"/>
    <x v="2"/>
    <n v="103.84"/>
    <n v="325.18"/>
    <x v="1"/>
    <s v="0-12 Months"/>
    <n v="1"/>
  </r>
  <r>
    <s v="CUST0168"/>
    <s v="Male"/>
    <n v="39"/>
    <n v="64"/>
    <s v="Two Year"/>
    <x v="1"/>
    <x v="0"/>
    <n v="57.47"/>
    <n v="3510.03"/>
    <x v="0"/>
    <s v="49+ Months"/>
    <n v="0"/>
  </r>
  <r>
    <s v="CUST0169"/>
    <s v="Male"/>
    <n v="38"/>
    <n v="44"/>
    <s v="Two Year"/>
    <x v="0"/>
    <x v="0"/>
    <n v="58.84"/>
    <n v="2493.8000000000002"/>
    <x v="0"/>
    <s v="25-48 Months"/>
    <n v="0"/>
  </r>
  <r>
    <s v="CUST0170"/>
    <s v="Female"/>
    <n v="23"/>
    <n v="53"/>
    <s v="Month-to-Month"/>
    <x v="3"/>
    <x v="1"/>
    <n v="135.86000000000001"/>
    <n v="7697.38"/>
    <x v="0"/>
    <s v="49+ Months"/>
    <n v="0"/>
  </r>
  <r>
    <s v="CUST0171"/>
    <s v="Female"/>
    <n v="18"/>
    <n v="24"/>
    <s v="Month-to-Month"/>
    <x v="1"/>
    <x v="1"/>
    <n v="21.77"/>
    <n v="520.01"/>
    <x v="1"/>
    <s v="13-24 Months"/>
    <n v="1"/>
  </r>
  <r>
    <s v="CUST0172"/>
    <s v="Male"/>
    <n v="22"/>
    <n v="60"/>
    <s v="Month-to-Month"/>
    <x v="3"/>
    <x v="1"/>
    <n v="61.95"/>
    <n v="3843.2"/>
    <x v="0"/>
    <s v="49+ Months"/>
    <n v="0"/>
  </r>
  <r>
    <s v="CUST0173"/>
    <s v="Male"/>
    <n v="58"/>
    <n v="3"/>
    <s v="Month-to-Month"/>
    <x v="0"/>
    <x v="2"/>
    <n v="92.07"/>
    <n v="270.82"/>
    <x v="0"/>
    <s v="0-12 Months"/>
    <n v="0"/>
  </r>
  <r>
    <s v="CUST0174"/>
    <s v="Female"/>
    <n v="29"/>
    <n v="20"/>
    <s v="One Year"/>
    <x v="0"/>
    <x v="1"/>
    <n v="39.270000000000003"/>
    <n v="753.67"/>
    <x v="0"/>
    <s v="13-24 Months"/>
    <n v="0"/>
  </r>
  <r>
    <s v="CUST0175"/>
    <s v="Female"/>
    <n v="43"/>
    <n v="46"/>
    <s v="Month-to-Month"/>
    <x v="2"/>
    <x v="0"/>
    <n v="31.97"/>
    <n v="1507.53"/>
    <x v="1"/>
    <s v="25-48 Months"/>
    <n v="1"/>
  </r>
  <r>
    <s v="CUST0176"/>
    <s v="Female"/>
    <n v="63"/>
    <n v="15"/>
    <s v="Two Year"/>
    <x v="1"/>
    <x v="2"/>
    <n v="125.99"/>
    <n v="1759.4"/>
    <x v="0"/>
    <s v="13-24 Months"/>
    <n v="0"/>
  </r>
  <r>
    <s v="CUST0177"/>
    <s v="Male"/>
    <n v="51"/>
    <n v="25"/>
    <s v="One Year"/>
    <x v="0"/>
    <x v="2"/>
    <n v="136.27000000000001"/>
    <n v="3320.22"/>
    <x v="0"/>
    <s v="25-48 Months"/>
    <n v="0"/>
  </r>
  <r>
    <s v="CUST0178"/>
    <s v="Male"/>
    <n v="66"/>
    <n v="71"/>
    <s v="Month-to-Month"/>
    <x v="0"/>
    <x v="2"/>
    <n v="127.07"/>
    <n v="8496.9599999999991"/>
    <x v="0"/>
    <s v="49+ Months"/>
    <n v="0"/>
  </r>
  <r>
    <s v="CUST0179"/>
    <s v="Male"/>
    <n v="31"/>
    <n v="17"/>
    <s v="One Year"/>
    <x v="1"/>
    <x v="0"/>
    <n v="136.84"/>
    <n v="2417.37"/>
    <x v="0"/>
    <s v="13-24 Months"/>
    <n v="0"/>
  </r>
  <r>
    <s v="CUST0180"/>
    <s v="Male"/>
    <n v="43"/>
    <n v="9"/>
    <s v="Month-to-Month"/>
    <x v="0"/>
    <x v="0"/>
    <n v="91.9"/>
    <n v="900.58"/>
    <x v="0"/>
    <s v="0-12 Months"/>
    <n v="0"/>
  </r>
  <r>
    <s v="CUST0181"/>
    <s v="Male"/>
    <n v="62"/>
    <n v="38"/>
    <s v="One Year"/>
    <x v="2"/>
    <x v="2"/>
    <n v="125.59"/>
    <n v="5245.38"/>
    <x v="1"/>
    <s v="25-48 Months"/>
    <n v="1"/>
  </r>
  <r>
    <s v="CUST0182"/>
    <s v="Male"/>
    <n v="44"/>
    <n v="48"/>
    <s v="One Year"/>
    <x v="0"/>
    <x v="0"/>
    <n v="69.930000000000007"/>
    <n v="3323.26"/>
    <x v="0"/>
    <s v="25-48 Months"/>
    <n v="0"/>
  </r>
  <r>
    <s v="CUST0183"/>
    <s v="Female"/>
    <n v="26"/>
    <n v="60"/>
    <s v="Two Year"/>
    <x v="0"/>
    <x v="1"/>
    <n v="106.61"/>
    <n v="6080.01"/>
    <x v="0"/>
    <s v="49+ Months"/>
    <n v="0"/>
  </r>
  <r>
    <s v="CUST0184"/>
    <s v="Male"/>
    <n v="43"/>
    <n v="63"/>
    <s v="Two Year"/>
    <x v="0"/>
    <x v="0"/>
    <n v="148.55000000000001"/>
    <n v="9251.64"/>
    <x v="1"/>
    <s v="49+ Months"/>
    <n v="1"/>
  </r>
  <r>
    <s v="CUST0185"/>
    <s v="Male"/>
    <n v="64"/>
    <n v="2"/>
    <s v="Month-to-Month"/>
    <x v="2"/>
    <x v="2"/>
    <n v="49.34"/>
    <n v="105.53"/>
    <x v="1"/>
    <s v="0-12 Months"/>
    <n v="1"/>
  </r>
  <r>
    <s v="CUST0186"/>
    <s v="Male"/>
    <n v="39"/>
    <n v="72"/>
    <s v="Month-to-Month"/>
    <x v="2"/>
    <x v="0"/>
    <n v="70.69"/>
    <n v="4790.41"/>
    <x v="1"/>
    <s v="49+ Months"/>
    <n v="1"/>
  </r>
  <r>
    <s v="CUST0187"/>
    <s v="Female"/>
    <n v="64"/>
    <n v="11"/>
    <s v="One Year"/>
    <x v="2"/>
    <x v="2"/>
    <n v="82.41"/>
    <n v="988.48"/>
    <x v="0"/>
    <s v="0-12 Months"/>
    <n v="0"/>
  </r>
  <r>
    <s v="CUST0188"/>
    <s v="Male"/>
    <n v="47"/>
    <n v="64"/>
    <s v="Month-to-Month"/>
    <x v="1"/>
    <x v="0"/>
    <n v="37.94"/>
    <n v="2351.36"/>
    <x v="0"/>
    <s v="49+ Months"/>
    <n v="0"/>
  </r>
  <r>
    <s v="CUST0189"/>
    <s v="Male"/>
    <n v="60"/>
    <n v="72"/>
    <s v="Month-to-Month"/>
    <x v="2"/>
    <x v="2"/>
    <n v="30.54"/>
    <n v="2412.52"/>
    <x v="1"/>
    <s v="49+ Months"/>
    <n v="1"/>
  </r>
  <r>
    <s v="CUST0190"/>
    <s v="Female"/>
    <n v="65"/>
    <n v="21"/>
    <s v="Month-to-Month"/>
    <x v="0"/>
    <x v="2"/>
    <n v="127.86"/>
    <n v="2866.9"/>
    <x v="0"/>
    <s v="13-24 Months"/>
    <n v="0"/>
  </r>
  <r>
    <s v="CUST0191"/>
    <s v="Male"/>
    <n v="34"/>
    <n v="18"/>
    <s v="One Year"/>
    <x v="3"/>
    <x v="0"/>
    <n v="146.97999999999999"/>
    <n v="2808.91"/>
    <x v="0"/>
    <s v="13-24 Months"/>
    <n v="0"/>
  </r>
  <r>
    <s v="CUST0192"/>
    <s v="Male"/>
    <n v="43"/>
    <n v="64"/>
    <s v="Month-to-Month"/>
    <x v="2"/>
    <x v="0"/>
    <n v="72.61"/>
    <n v="4477.8"/>
    <x v="0"/>
    <s v="49+ Months"/>
    <n v="0"/>
  </r>
  <r>
    <s v="CUST0193"/>
    <s v="Male"/>
    <n v="53"/>
    <n v="38"/>
    <s v="One Year"/>
    <x v="0"/>
    <x v="2"/>
    <n v="31.39"/>
    <n v="1075.6300000000001"/>
    <x v="0"/>
    <s v="25-48 Months"/>
    <n v="0"/>
  </r>
  <r>
    <s v="CUST0194"/>
    <s v="Male"/>
    <n v="18"/>
    <n v="32"/>
    <s v="Two Year"/>
    <x v="1"/>
    <x v="1"/>
    <n v="28.56"/>
    <n v="892.38"/>
    <x v="0"/>
    <s v="25-48 Months"/>
    <n v="0"/>
  </r>
  <r>
    <s v="CUST0195"/>
    <s v="Male"/>
    <n v="25"/>
    <n v="11"/>
    <s v="Month-to-Month"/>
    <x v="3"/>
    <x v="1"/>
    <n v="135.87"/>
    <n v="1435.33"/>
    <x v="1"/>
    <s v="0-12 Months"/>
    <n v="1"/>
  </r>
  <r>
    <s v="CUST0196"/>
    <s v="Female"/>
    <n v="66"/>
    <n v="45"/>
    <s v="Month-to-Month"/>
    <x v="1"/>
    <x v="2"/>
    <n v="80.3"/>
    <n v="3279.18"/>
    <x v="0"/>
    <s v="25-48 Months"/>
    <n v="0"/>
  </r>
  <r>
    <s v="CUST0197"/>
    <s v="Female"/>
    <n v="52"/>
    <n v="33"/>
    <s v="Month-to-Month"/>
    <x v="1"/>
    <x v="2"/>
    <n v="61.6"/>
    <n v="2034.98"/>
    <x v="0"/>
    <s v="25-48 Months"/>
    <n v="0"/>
  </r>
  <r>
    <s v="CUST0198"/>
    <s v="Female"/>
    <n v="69"/>
    <n v="41"/>
    <s v="Two Year"/>
    <x v="3"/>
    <x v="2"/>
    <n v="81.94"/>
    <n v="3294.39"/>
    <x v="0"/>
    <s v="25-48 Months"/>
    <n v="0"/>
  </r>
  <r>
    <s v="CUST0199"/>
    <s v="Male"/>
    <n v="32"/>
    <n v="8"/>
    <s v="Month-to-Month"/>
    <x v="0"/>
    <x v="0"/>
    <n v="61.38"/>
    <n v="504.25"/>
    <x v="0"/>
    <s v="0-12 Months"/>
    <n v="0"/>
  </r>
  <r>
    <s v="CUST0200"/>
    <s v="Male"/>
    <n v="64"/>
    <n v="11"/>
    <s v="Month-to-Month"/>
    <x v="3"/>
    <x v="2"/>
    <n v="83.57"/>
    <n v="941.55"/>
    <x v="0"/>
    <s v="0-12 Months"/>
    <n v="0"/>
  </r>
  <r>
    <s v="CUST0201"/>
    <s v="Male"/>
    <n v="39"/>
    <n v="51"/>
    <s v="Month-to-Month"/>
    <x v="2"/>
    <x v="0"/>
    <n v="131.74"/>
    <n v="6209.12"/>
    <x v="0"/>
    <s v="49+ Months"/>
    <n v="0"/>
  </r>
  <r>
    <s v="CUST0202"/>
    <s v="Female"/>
    <n v="31"/>
    <n v="41"/>
    <s v="One Year"/>
    <x v="3"/>
    <x v="0"/>
    <n v="97"/>
    <n v="4356.38"/>
    <x v="0"/>
    <s v="25-48 Months"/>
    <n v="0"/>
  </r>
  <r>
    <s v="CUST0203"/>
    <s v="Male"/>
    <n v="43"/>
    <n v="17"/>
    <s v="Month-to-Month"/>
    <x v="0"/>
    <x v="0"/>
    <n v="110.3"/>
    <n v="1757.69"/>
    <x v="0"/>
    <s v="13-24 Months"/>
    <n v="0"/>
  </r>
  <r>
    <s v="CUST0204"/>
    <s v="Male"/>
    <n v="45"/>
    <n v="46"/>
    <s v="One Year"/>
    <x v="0"/>
    <x v="0"/>
    <n v="67.41"/>
    <n v="3066.92"/>
    <x v="0"/>
    <s v="25-48 Months"/>
    <n v="0"/>
  </r>
  <r>
    <s v="CUST0205"/>
    <s v="Female"/>
    <n v="40"/>
    <n v="32"/>
    <s v="Two Year"/>
    <x v="2"/>
    <x v="0"/>
    <n v="116.01"/>
    <n v="3703.5"/>
    <x v="1"/>
    <s v="25-48 Months"/>
    <n v="1"/>
  </r>
  <r>
    <s v="CUST0206"/>
    <s v="Male"/>
    <n v="31"/>
    <n v="54"/>
    <s v="Month-to-Month"/>
    <x v="1"/>
    <x v="0"/>
    <n v="106.66"/>
    <n v="6120.27"/>
    <x v="0"/>
    <s v="49+ Months"/>
    <n v="0"/>
  </r>
  <r>
    <s v="CUST0207"/>
    <s v="Female"/>
    <n v="41"/>
    <n v="20"/>
    <s v="Two Year"/>
    <x v="2"/>
    <x v="0"/>
    <n v="35.54"/>
    <n v="653.83000000000004"/>
    <x v="1"/>
    <s v="13-24 Months"/>
    <n v="1"/>
  </r>
  <r>
    <s v="CUST0208"/>
    <s v="Female"/>
    <n v="19"/>
    <n v="33"/>
    <s v="Month-to-Month"/>
    <x v="3"/>
    <x v="1"/>
    <n v="94.44"/>
    <n v="3072.04"/>
    <x v="0"/>
    <s v="25-48 Months"/>
    <n v="0"/>
  </r>
  <r>
    <s v="CUST0209"/>
    <s v="Female"/>
    <n v="62"/>
    <n v="40"/>
    <s v="Two Year"/>
    <x v="3"/>
    <x v="2"/>
    <n v="53.38"/>
    <n v="2190.08"/>
    <x v="1"/>
    <s v="25-48 Months"/>
    <n v="1"/>
  </r>
  <r>
    <s v="CUST0210"/>
    <s v="Male"/>
    <n v="43"/>
    <n v="32"/>
    <s v="One Year"/>
    <x v="2"/>
    <x v="0"/>
    <n v="124.53"/>
    <n v="3757.94"/>
    <x v="1"/>
    <s v="25-48 Months"/>
    <n v="1"/>
  </r>
  <r>
    <s v="CUST0211"/>
    <s v="Male"/>
    <n v="31"/>
    <n v="2"/>
    <s v="Two Year"/>
    <x v="3"/>
    <x v="0"/>
    <n v="75.37"/>
    <n v="154.58000000000001"/>
    <x v="1"/>
    <s v="0-12 Months"/>
    <n v="1"/>
  </r>
  <r>
    <s v="CUST0212"/>
    <s v="Male"/>
    <n v="68"/>
    <n v="33"/>
    <s v="Month-to-Month"/>
    <x v="1"/>
    <x v="2"/>
    <n v="149.31"/>
    <n v="5344.73"/>
    <x v="0"/>
    <s v="25-48 Months"/>
    <n v="0"/>
  </r>
  <r>
    <s v="CUST0213"/>
    <s v="Male"/>
    <n v="24"/>
    <n v="30"/>
    <s v="Month-to-Month"/>
    <x v="1"/>
    <x v="1"/>
    <n v="32.03"/>
    <n v="1056.51"/>
    <x v="1"/>
    <s v="25-48 Months"/>
    <n v="1"/>
  </r>
  <r>
    <s v="CUST0214"/>
    <s v="Male"/>
    <n v="20"/>
    <n v="33"/>
    <s v="Month-to-Month"/>
    <x v="0"/>
    <x v="1"/>
    <n v="121.45"/>
    <n v="3633.08"/>
    <x v="0"/>
    <s v="25-48 Months"/>
    <n v="0"/>
  </r>
  <r>
    <s v="CUST0215"/>
    <s v="Male"/>
    <n v="64"/>
    <n v="26"/>
    <s v="Month-to-Month"/>
    <x v="2"/>
    <x v="2"/>
    <n v="107.58"/>
    <n v="2649.16"/>
    <x v="1"/>
    <s v="25-48 Months"/>
    <n v="1"/>
  </r>
  <r>
    <s v="CUST0216"/>
    <s v="Male"/>
    <n v="40"/>
    <n v="22"/>
    <s v="Month-to-Month"/>
    <x v="2"/>
    <x v="0"/>
    <n v="119.77"/>
    <n v="2534.9699999999998"/>
    <x v="0"/>
    <s v="13-24 Months"/>
    <n v="0"/>
  </r>
  <r>
    <s v="CUST0217"/>
    <s v="Female"/>
    <n v="63"/>
    <n v="66"/>
    <s v="Month-to-Month"/>
    <x v="2"/>
    <x v="2"/>
    <n v="59.98"/>
    <n v="3878.81"/>
    <x v="1"/>
    <s v="49+ Months"/>
    <n v="1"/>
  </r>
  <r>
    <s v="CUST0218"/>
    <s v="Male"/>
    <n v="60"/>
    <n v="38"/>
    <s v="Month-to-Month"/>
    <x v="3"/>
    <x v="2"/>
    <n v="83.97"/>
    <n v="3026.38"/>
    <x v="0"/>
    <s v="25-48 Months"/>
    <n v="0"/>
  </r>
  <r>
    <s v="CUST0219"/>
    <s v="Female"/>
    <n v="64"/>
    <n v="46"/>
    <s v="Month-to-Month"/>
    <x v="2"/>
    <x v="2"/>
    <n v="123.55"/>
    <n v="5346.27"/>
    <x v="0"/>
    <s v="25-48 Months"/>
    <n v="0"/>
  </r>
  <r>
    <s v="CUST0220"/>
    <s v="Male"/>
    <n v="62"/>
    <n v="15"/>
    <s v="Two Year"/>
    <x v="3"/>
    <x v="2"/>
    <n v="50.23"/>
    <n v="821.95"/>
    <x v="1"/>
    <s v="13-24 Months"/>
    <n v="1"/>
  </r>
  <r>
    <s v="CUST0221"/>
    <s v="Male"/>
    <n v="35"/>
    <n v="44"/>
    <s v="Month-to-Month"/>
    <x v="2"/>
    <x v="0"/>
    <n v="49.38"/>
    <n v="2354.59"/>
    <x v="0"/>
    <s v="25-48 Months"/>
    <n v="0"/>
  </r>
  <r>
    <s v="CUST0222"/>
    <s v="Male"/>
    <n v="55"/>
    <n v="49"/>
    <s v="Month-to-Month"/>
    <x v="0"/>
    <x v="2"/>
    <n v="91.64"/>
    <n v="4083.53"/>
    <x v="0"/>
    <s v="49+ Months"/>
    <n v="0"/>
  </r>
  <r>
    <s v="CUST0223"/>
    <s v="Female"/>
    <n v="52"/>
    <n v="61"/>
    <s v="Month-to-Month"/>
    <x v="1"/>
    <x v="2"/>
    <n v="88.06"/>
    <n v="5198.49"/>
    <x v="1"/>
    <s v="49+ Months"/>
    <n v="1"/>
  </r>
  <r>
    <s v="CUST0224"/>
    <s v="Female"/>
    <n v="68"/>
    <n v="67"/>
    <s v="Month-to-Month"/>
    <x v="3"/>
    <x v="2"/>
    <n v="56.69"/>
    <n v="3726.18"/>
    <x v="0"/>
    <s v="49+ Months"/>
    <n v="0"/>
  </r>
  <r>
    <s v="CUST0225"/>
    <s v="Female"/>
    <n v="32"/>
    <n v="6"/>
    <s v="Two Year"/>
    <x v="2"/>
    <x v="0"/>
    <n v="58.75"/>
    <n v="334.1"/>
    <x v="0"/>
    <s v="0-12 Months"/>
    <n v="0"/>
  </r>
  <r>
    <s v="CUST0226"/>
    <s v="Female"/>
    <n v="42"/>
    <n v="9"/>
    <s v="Month-to-Month"/>
    <x v="0"/>
    <x v="0"/>
    <n v="56.12"/>
    <n v="518.1"/>
    <x v="0"/>
    <s v="0-12 Months"/>
    <n v="0"/>
  </r>
  <r>
    <s v="CUST0227"/>
    <s v="Male"/>
    <n v="54"/>
    <n v="6"/>
    <s v="One Year"/>
    <x v="0"/>
    <x v="2"/>
    <n v="120.3"/>
    <n v="742.07"/>
    <x v="1"/>
    <s v="0-12 Months"/>
    <n v="1"/>
  </r>
  <r>
    <s v="CUST0228"/>
    <s v="Female"/>
    <n v="45"/>
    <n v="32"/>
    <s v="Two Year"/>
    <x v="2"/>
    <x v="0"/>
    <n v="104.75"/>
    <n v="3586.98"/>
    <x v="0"/>
    <s v="25-48 Months"/>
    <n v="0"/>
  </r>
  <r>
    <s v="CUST0229"/>
    <s v="Male"/>
    <n v="27"/>
    <n v="41"/>
    <s v="Two Year"/>
    <x v="2"/>
    <x v="1"/>
    <n v="128.21"/>
    <n v="5509.84"/>
    <x v="0"/>
    <s v="25-48 Months"/>
    <n v="0"/>
  </r>
  <r>
    <s v="CUST0230"/>
    <s v="Male"/>
    <n v="56"/>
    <n v="8"/>
    <s v="One Year"/>
    <x v="0"/>
    <x v="2"/>
    <n v="146.81"/>
    <n v="1184.48"/>
    <x v="0"/>
    <s v="0-12 Months"/>
    <n v="0"/>
  </r>
  <r>
    <s v="CUST0231"/>
    <s v="Female"/>
    <n v="34"/>
    <n v="72"/>
    <s v="Two Year"/>
    <x v="0"/>
    <x v="0"/>
    <n v="81.64"/>
    <n v="6058.64"/>
    <x v="0"/>
    <s v="49+ Months"/>
    <n v="0"/>
  </r>
  <r>
    <s v="CUST0232"/>
    <s v="Female"/>
    <n v="56"/>
    <n v="50"/>
    <s v="Two Year"/>
    <x v="1"/>
    <x v="2"/>
    <n v="28.67"/>
    <n v="1368.7"/>
    <x v="0"/>
    <s v="49+ Months"/>
    <n v="0"/>
  </r>
  <r>
    <s v="CUST0233"/>
    <s v="Female"/>
    <n v="39"/>
    <n v="62"/>
    <s v="One Year"/>
    <x v="0"/>
    <x v="0"/>
    <n v="26.25"/>
    <n v="1657.79"/>
    <x v="0"/>
    <s v="49+ Months"/>
    <n v="0"/>
  </r>
  <r>
    <s v="CUST0234"/>
    <s v="Female"/>
    <n v="43"/>
    <n v="62"/>
    <s v="One Year"/>
    <x v="0"/>
    <x v="0"/>
    <n v="58.44"/>
    <n v="3615.47"/>
    <x v="0"/>
    <s v="49+ Months"/>
    <n v="0"/>
  </r>
  <r>
    <s v="CUST0235"/>
    <s v="Female"/>
    <n v="61"/>
    <n v="7"/>
    <s v="One Year"/>
    <x v="0"/>
    <x v="2"/>
    <n v="141.22999999999999"/>
    <n v="916.11"/>
    <x v="1"/>
    <s v="0-12 Months"/>
    <n v="1"/>
  </r>
  <r>
    <s v="CUST0236"/>
    <s v="Female"/>
    <n v="42"/>
    <n v="4"/>
    <s v="Month-to-Month"/>
    <x v="1"/>
    <x v="0"/>
    <n v="88.02"/>
    <n v="333.95"/>
    <x v="0"/>
    <s v="0-12 Months"/>
    <n v="0"/>
  </r>
  <r>
    <s v="CUST0237"/>
    <s v="Female"/>
    <n v="34"/>
    <n v="6"/>
    <s v="One Year"/>
    <x v="3"/>
    <x v="0"/>
    <n v="55.33"/>
    <n v="318.14999999999998"/>
    <x v="0"/>
    <s v="0-12 Months"/>
    <n v="0"/>
  </r>
  <r>
    <s v="CUST0238"/>
    <s v="Female"/>
    <n v="30"/>
    <n v="58"/>
    <s v="Month-to-Month"/>
    <x v="0"/>
    <x v="0"/>
    <n v="71.89"/>
    <n v="4523.46"/>
    <x v="1"/>
    <s v="49+ Months"/>
    <n v="1"/>
  </r>
  <r>
    <s v="CUST0239"/>
    <s v="Male"/>
    <n v="37"/>
    <n v="22"/>
    <s v="Month-to-Month"/>
    <x v="1"/>
    <x v="0"/>
    <n v="97.82"/>
    <n v="2036"/>
    <x v="0"/>
    <s v="13-24 Months"/>
    <n v="0"/>
  </r>
  <r>
    <s v="CUST0240"/>
    <s v="Female"/>
    <n v="42"/>
    <n v="26"/>
    <s v="Month-to-Month"/>
    <x v="2"/>
    <x v="0"/>
    <n v="104.88"/>
    <n v="2611.94"/>
    <x v="1"/>
    <s v="25-48 Months"/>
    <n v="1"/>
  </r>
  <r>
    <s v="CUST0241"/>
    <s v="Female"/>
    <n v="21"/>
    <n v="3"/>
    <s v="Month-to-Month"/>
    <x v="0"/>
    <x v="1"/>
    <n v="40.01"/>
    <n v="116.89"/>
    <x v="1"/>
    <s v="0-12 Months"/>
    <n v="1"/>
  </r>
  <r>
    <s v="CUST0242"/>
    <s v="Male"/>
    <n v="27"/>
    <n v="41"/>
    <s v="Month-to-Month"/>
    <x v="2"/>
    <x v="1"/>
    <n v="147.01"/>
    <n v="6224.8"/>
    <x v="0"/>
    <s v="25-48 Months"/>
    <n v="0"/>
  </r>
  <r>
    <s v="CUST0243"/>
    <s v="Female"/>
    <n v="20"/>
    <n v="60"/>
    <s v="Month-to-Month"/>
    <x v="0"/>
    <x v="1"/>
    <n v="90.82"/>
    <n v="5033.1400000000003"/>
    <x v="0"/>
    <s v="49+ Months"/>
    <n v="0"/>
  </r>
  <r>
    <s v="CUST0244"/>
    <s v="Male"/>
    <n v="58"/>
    <n v="14"/>
    <s v="One Year"/>
    <x v="1"/>
    <x v="2"/>
    <n v="37.64"/>
    <n v="574.79999999999995"/>
    <x v="1"/>
    <s v="13-24 Months"/>
    <n v="1"/>
  </r>
  <r>
    <s v="CUST0245"/>
    <s v="Male"/>
    <n v="62"/>
    <n v="12"/>
    <s v="Month-to-Month"/>
    <x v="3"/>
    <x v="2"/>
    <n v="136.16999999999999"/>
    <n v="1753.51"/>
    <x v="1"/>
    <s v="0-12 Months"/>
    <n v="1"/>
  </r>
  <r>
    <s v="CUST0246"/>
    <s v="Female"/>
    <n v="35"/>
    <n v="12"/>
    <s v="Two Year"/>
    <x v="2"/>
    <x v="0"/>
    <n v="29.7"/>
    <n v="361.9"/>
    <x v="0"/>
    <s v="0-12 Months"/>
    <n v="0"/>
  </r>
  <r>
    <s v="CUST0247"/>
    <s v="Male"/>
    <n v="64"/>
    <n v="13"/>
    <s v="Month-to-Month"/>
    <x v="1"/>
    <x v="2"/>
    <n v="138.01"/>
    <n v="1856.58"/>
    <x v="1"/>
    <s v="13-24 Months"/>
    <n v="1"/>
  </r>
  <r>
    <s v="CUST0248"/>
    <s v="Male"/>
    <n v="53"/>
    <n v="25"/>
    <s v="Month-to-Month"/>
    <x v="0"/>
    <x v="2"/>
    <n v="149.55000000000001"/>
    <n v="3377.33"/>
    <x v="0"/>
    <s v="25-48 Months"/>
    <n v="0"/>
  </r>
  <r>
    <s v="CUST0249"/>
    <s v="Male"/>
    <n v="64"/>
    <n v="45"/>
    <s v="One Year"/>
    <x v="2"/>
    <x v="2"/>
    <n v="111.06"/>
    <n v="4836.72"/>
    <x v="0"/>
    <s v="25-48 Months"/>
    <n v="0"/>
  </r>
  <r>
    <s v="CUST0250"/>
    <s v="Male"/>
    <n v="39"/>
    <n v="19"/>
    <s v="One Year"/>
    <x v="2"/>
    <x v="0"/>
    <n v="120.16"/>
    <n v="2418.04"/>
    <x v="0"/>
    <s v="13-24 Months"/>
    <n v="0"/>
  </r>
  <r>
    <s v="CUST0251"/>
    <s v="Female"/>
    <n v="51"/>
    <n v="55"/>
    <s v="Month-to-Month"/>
    <x v="2"/>
    <x v="2"/>
    <n v="63.85"/>
    <n v="3215"/>
    <x v="1"/>
    <s v="49+ Months"/>
    <n v="1"/>
  </r>
  <r>
    <s v="CUST0252"/>
    <s v="Male"/>
    <n v="64"/>
    <n v="45"/>
    <s v="Two Year"/>
    <x v="2"/>
    <x v="2"/>
    <n v="142.4"/>
    <n v="6129.01"/>
    <x v="0"/>
    <s v="25-48 Months"/>
    <n v="0"/>
  </r>
  <r>
    <s v="CUST0253"/>
    <s v="Female"/>
    <n v="25"/>
    <n v="8"/>
    <s v="Two Year"/>
    <x v="2"/>
    <x v="1"/>
    <n v="88.86"/>
    <n v="723.01"/>
    <x v="0"/>
    <s v="0-12 Months"/>
    <n v="0"/>
  </r>
  <r>
    <s v="CUST0254"/>
    <s v="Male"/>
    <n v="57"/>
    <n v="53"/>
    <s v="Month-to-Month"/>
    <x v="2"/>
    <x v="2"/>
    <n v="115.21"/>
    <n v="5808.66"/>
    <x v="0"/>
    <s v="49+ Months"/>
    <n v="0"/>
  </r>
  <r>
    <s v="CUST0255"/>
    <s v="Male"/>
    <n v="66"/>
    <n v="55"/>
    <s v="Month-to-Month"/>
    <x v="2"/>
    <x v="2"/>
    <n v="140.13"/>
    <n v="8376.1"/>
    <x v="1"/>
    <s v="49+ Months"/>
    <n v="1"/>
  </r>
  <r>
    <s v="CUST0256"/>
    <s v="Male"/>
    <n v="61"/>
    <n v="32"/>
    <s v="Two Year"/>
    <x v="1"/>
    <x v="2"/>
    <n v="146.77000000000001"/>
    <n v="4350.08"/>
    <x v="0"/>
    <s v="25-48 Months"/>
    <n v="0"/>
  </r>
  <r>
    <s v="CUST0257"/>
    <s v="Male"/>
    <n v="36"/>
    <n v="51"/>
    <s v="One Year"/>
    <x v="0"/>
    <x v="0"/>
    <n v="128.32"/>
    <n v="6933.57"/>
    <x v="0"/>
    <s v="49+ Months"/>
    <n v="0"/>
  </r>
  <r>
    <s v="CUST0258"/>
    <s v="Female"/>
    <n v="59"/>
    <n v="44"/>
    <s v="Month-to-Month"/>
    <x v="3"/>
    <x v="2"/>
    <n v="59.39"/>
    <n v="2617.31"/>
    <x v="0"/>
    <s v="25-48 Months"/>
    <n v="0"/>
  </r>
  <r>
    <s v="CUST0259"/>
    <s v="Female"/>
    <n v="58"/>
    <n v="70"/>
    <s v="Two Year"/>
    <x v="0"/>
    <x v="2"/>
    <n v="145.65"/>
    <n v="10705.95"/>
    <x v="0"/>
    <s v="49+ Months"/>
    <n v="0"/>
  </r>
  <r>
    <s v="CUST0260"/>
    <s v="Male"/>
    <n v="54"/>
    <n v="18"/>
    <s v="Month-to-Month"/>
    <x v="1"/>
    <x v="2"/>
    <n v="101.66"/>
    <n v="1760.61"/>
    <x v="1"/>
    <s v="13-24 Months"/>
    <n v="1"/>
  </r>
  <r>
    <s v="CUST0261"/>
    <s v="Male"/>
    <n v="23"/>
    <n v="22"/>
    <s v="Month-to-Month"/>
    <x v="3"/>
    <x v="1"/>
    <n v="140.97999999999999"/>
    <n v="3110.55"/>
    <x v="1"/>
    <s v="13-24 Months"/>
    <n v="1"/>
  </r>
  <r>
    <s v="CUST0262"/>
    <s v="Female"/>
    <n v="69"/>
    <n v="37"/>
    <s v="Month-to-Month"/>
    <x v="1"/>
    <x v="2"/>
    <n v="107.89"/>
    <n v="4276.82"/>
    <x v="0"/>
    <s v="25-48 Months"/>
    <n v="0"/>
  </r>
  <r>
    <s v="CUST0263"/>
    <s v="Male"/>
    <n v="43"/>
    <n v="56"/>
    <s v="One Year"/>
    <x v="0"/>
    <x v="0"/>
    <n v="59.94"/>
    <n v="3334.4"/>
    <x v="0"/>
    <s v="49+ Months"/>
    <n v="0"/>
  </r>
  <r>
    <s v="CUST0264"/>
    <s v="Male"/>
    <n v="51"/>
    <n v="59"/>
    <s v="One Year"/>
    <x v="1"/>
    <x v="2"/>
    <n v="68.099999999999994"/>
    <n v="3905.17"/>
    <x v="0"/>
    <s v="49+ Months"/>
    <n v="0"/>
  </r>
  <r>
    <s v="CUST0265"/>
    <s v="Male"/>
    <n v="62"/>
    <n v="3"/>
    <s v="One Year"/>
    <x v="2"/>
    <x v="2"/>
    <n v="91.56"/>
    <n v="276.67"/>
    <x v="1"/>
    <s v="0-12 Months"/>
    <n v="1"/>
  </r>
  <r>
    <s v="CUST0266"/>
    <s v="Female"/>
    <n v="23"/>
    <n v="28"/>
    <s v="Month-to-Month"/>
    <x v="2"/>
    <x v="1"/>
    <n v="122.7"/>
    <n v="3584.95"/>
    <x v="1"/>
    <s v="25-48 Months"/>
    <n v="1"/>
  </r>
  <r>
    <s v="CUST0267"/>
    <s v="Female"/>
    <n v="54"/>
    <n v="35"/>
    <s v="Month-to-Month"/>
    <x v="0"/>
    <x v="2"/>
    <n v="61.34"/>
    <n v="2122.67"/>
    <x v="1"/>
    <s v="25-48 Months"/>
    <n v="1"/>
  </r>
  <r>
    <s v="CUST0268"/>
    <s v="Female"/>
    <n v="50"/>
    <n v="61"/>
    <s v="Month-to-Month"/>
    <x v="0"/>
    <x v="2"/>
    <n v="95.37"/>
    <n v="6328.21"/>
    <x v="1"/>
    <s v="49+ Months"/>
    <n v="1"/>
  </r>
  <r>
    <s v="CUST0269"/>
    <s v="Male"/>
    <n v="70"/>
    <n v="54"/>
    <s v="One Year"/>
    <x v="2"/>
    <x v="2"/>
    <n v="64.930000000000007"/>
    <n v="3362.43"/>
    <x v="0"/>
    <s v="49+ Months"/>
    <n v="0"/>
  </r>
  <r>
    <s v="CUST0270"/>
    <s v="Male"/>
    <n v="39"/>
    <n v="63"/>
    <s v="Month-to-Month"/>
    <x v="3"/>
    <x v="0"/>
    <n v="126.05"/>
    <n v="7902.18"/>
    <x v="0"/>
    <s v="49+ Months"/>
    <n v="0"/>
  </r>
  <r>
    <s v="CUST0271"/>
    <s v="Female"/>
    <n v="38"/>
    <n v="7"/>
    <s v="Month-to-Month"/>
    <x v="1"/>
    <x v="0"/>
    <n v="80.67"/>
    <n v="593.71"/>
    <x v="1"/>
    <s v="0-12 Months"/>
    <n v="1"/>
  </r>
  <r>
    <s v="CUST0272"/>
    <s v="Female"/>
    <n v="23"/>
    <n v="49"/>
    <s v="Two Year"/>
    <x v="0"/>
    <x v="1"/>
    <n v="29.97"/>
    <n v="1524.08"/>
    <x v="0"/>
    <s v="49+ Months"/>
    <n v="0"/>
  </r>
  <r>
    <s v="CUST0273"/>
    <s v="Female"/>
    <n v="23"/>
    <n v="31"/>
    <s v="Month-to-Month"/>
    <x v="3"/>
    <x v="1"/>
    <n v="41.59"/>
    <n v="1383.06"/>
    <x v="1"/>
    <s v="25-48 Months"/>
    <n v="1"/>
  </r>
  <r>
    <s v="CUST0274"/>
    <s v="Female"/>
    <n v="65"/>
    <n v="58"/>
    <s v="Two Year"/>
    <x v="0"/>
    <x v="2"/>
    <n v="27.94"/>
    <n v="1781.54"/>
    <x v="0"/>
    <s v="49+ Months"/>
    <n v="0"/>
  </r>
  <r>
    <s v="CUST0275"/>
    <s v="Male"/>
    <n v="21"/>
    <n v="61"/>
    <s v="Month-to-Month"/>
    <x v="3"/>
    <x v="1"/>
    <n v="84.91"/>
    <n v="5103.74"/>
    <x v="1"/>
    <s v="49+ Months"/>
    <n v="1"/>
  </r>
  <r>
    <s v="CUST0276"/>
    <s v="Female"/>
    <n v="47"/>
    <n v="24"/>
    <s v="One Year"/>
    <x v="0"/>
    <x v="0"/>
    <n v="33.82"/>
    <n v="748.56"/>
    <x v="0"/>
    <s v="13-24 Months"/>
    <n v="0"/>
  </r>
  <r>
    <s v="CUST0277"/>
    <s v="Male"/>
    <n v="28"/>
    <n v="20"/>
    <s v="Month-to-Month"/>
    <x v="2"/>
    <x v="1"/>
    <n v="34.840000000000003"/>
    <n v="631.36"/>
    <x v="0"/>
    <s v="13-24 Months"/>
    <n v="0"/>
  </r>
  <r>
    <s v="CUST0278"/>
    <s v="Female"/>
    <n v="47"/>
    <n v="37"/>
    <s v="Two Year"/>
    <x v="1"/>
    <x v="0"/>
    <n v="142.34"/>
    <n v="5505.55"/>
    <x v="0"/>
    <s v="25-48 Months"/>
    <n v="0"/>
  </r>
  <r>
    <s v="CUST0279"/>
    <s v="Male"/>
    <n v="48"/>
    <n v="4"/>
    <s v="Month-to-Month"/>
    <x v="1"/>
    <x v="0"/>
    <n v="133.44999999999999"/>
    <n v="573.73"/>
    <x v="0"/>
    <s v="0-12 Months"/>
    <n v="0"/>
  </r>
  <r>
    <s v="CUST0280"/>
    <s v="Female"/>
    <n v="41"/>
    <n v="20"/>
    <s v="Month-to-Month"/>
    <x v="1"/>
    <x v="0"/>
    <n v="78.77"/>
    <n v="1487.4"/>
    <x v="0"/>
    <s v="13-24 Months"/>
    <n v="0"/>
  </r>
  <r>
    <s v="CUST0281"/>
    <s v="Female"/>
    <n v="26"/>
    <n v="60"/>
    <s v="Month-to-Month"/>
    <x v="3"/>
    <x v="1"/>
    <n v="148.15"/>
    <n v="8281.7900000000009"/>
    <x v="0"/>
    <s v="49+ Months"/>
    <n v="0"/>
  </r>
  <r>
    <s v="CUST0282"/>
    <s v="Female"/>
    <n v="20"/>
    <n v="24"/>
    <s v="Month-to-Month"/>
    <x v="1"/>
    <x v="1"/>
    <n v="20.02"/>
    <n v="438.41"/>
    <x v="1"/>
    <s v="13-24 Months"/>
    <n v="1"/>
  </r>
  <r>
    <s v="CUST0283"/>
    <s v="Female"/>
    <n v="68"/>
    <n v="50"/>
    <s v="Month-to-Month"/>
    <x v="1"/>
    <x v="2"/>
    <n v="99.82"/>
    <n v="5313.12"/>
    <x v="0"/>
    <s v="49+ Months"/>
    <n v="0"/>
  </r>
  <r>
    <s v="CUST0284"/>
    <s v="Male"/>
    <n v="48"/>
    <n v="49"/>
    <s v="Two Year"/>
    <x v="3"/>
    <x v="0"/>
    <n v="83.07"/>
    <n v="4721.76"/>
    <x v="0"/>
    <s v="49+ Months"/>
    <n v="0"/>
  </r>
  <r>
    <s v="CUST0285"/>
    <s v="Female"/>
    <n v="57"/>
    <n v="51"/>
    <s v="Month-to-Month"/>
    <x v="1"/>
    <x v="2"/>
    <n v="79.47"/>
    <n v="3973.29"/>
    <x v="1"/>
    <s v="49+ Months"/>
    <n v="1"/>
  </r>
  <r>
    <s v="CUST0286"/>
    <s v="Male"/>
    <n v="54"/>
    <n v="36"/>
    <s v="One Year"/>
    <x v="0"/>
    <x v="2"/>
    <n v="71.599999999999994"/>
    <n v="2579.02"/>
    <x v="0"/>
    <s v="25-48 Months"/>
    <n v="0"/>
  </r>
  <r>
    <s v="CUST0287"/>
    <s v="Male"/>
    <n v="53"/>
    <n v="66"/>
    <s v="One Year"/>
    <x v="3"/>
    <x v="2"/>
    <n v="79.2"/>
    <n v="5582.08"/>
    <x v="0"/>
    <s v="49+ Months"/>
    <n v="0"/>
  </r>
  <r>
    <s v="CUST0288"/>
    <s v="Male"/>
    <n v="41"/>
    <n v="34"/>
    <s v="One Year"/>
    <x v="2"/>
    <x v="0"/>
    <n v="73.94"/>
    <n v="2589.8000000000002"/>
    <x v="0"/>
    <s v="25-48 Months"/>
    <n v="0"/>
  </r>
  <r>
    <s v="CUST0289"/>
    <s v="Male"/>
    <n v="48"/>
    <n v="36"/>
    <s v="Month-to-Month"/>
    <x v="1"/>
    <x v="0"/>
    <n v="114.96"/>
    <n v="4233.8"/>
    <x v="0"/>
    <s v="25-48 Months"/>
    <n v="0"/>
  </r>
  <r>
    <s v="CUST0290"/>
    <s v="Female"/>
    <n v="23"/>
    <n v="6"/>
    <s v="Month-to-Month"/>
    <x v="3"/>
    <x v="1"/>
    <n v="37.6"/>
    <n v="210.97"/>
    <x v="0"/>
    <s v="0-12 Months"/>
    <n v="0"/>
  </r>
  <r>
    <s v="CUST0291"/>
    <s v="Male"/>
    <n v="19"/>
    <n v="39"/>
    <s v="One Year"/>
    <x v="1"/>
    <x v="1"/>
    <n v="45.69"/>
    <n v="1786.61"/>
    <x v="0"/>
    <s v="25-48 Months"/>
    <n v="0"/>
  </r>
  <r>
    <s v="CUST0292"/>
    <s v="Male"/>
    <n v="37"/>
    <n v="42"/>
    <s v="Two Year"/>
    <x v="1"/>
    <x v="0"/>
    <n v="43.47"/>
    <n v="1904.39"/>
    <x v="0"/>
    <s v="25-48 Months"/>
    <n v="0"/>
  </r>
  <r>
    <s v="CUST0293"/>
    <s v="Male"/>
    <n v="45"/>
    <n v="58"/>
    <s v="Month-to-Month"/>
    <x v="1"/>
    <x v="0"/>
    <n v="54.12"/>
    <n v="3436.07"/>
    <x v="0"/>
    <s v="49+ Months"/>
    <n v="0"/>
  </r>
  <r>
    <s v="CUST0294"/>
    <s v="Female"/>
    <n v="28"/>
    <n v="12"/>
    <s v="Month-to-Month"/>
    <x v="0"/>
    <x v="1"/>
    <n v="88.28"/>
    <n v="996.1"/>
    <x v="0"/>
    <s v="0-12 Months"/>
    <n v="0"/>
  </r>
  <r>
    <s v="CUST0295"/>
    <s v="Female"/>
    <n v="21"/>
    <n v="3"/>
    <s v="Month-to-Month"/>
    <x v="3"/>
    <x v="1"/>
    <n v="34.46"/>
    <n v="93.24"/>
    <x v="0"/>
    <s v="0-12 Months"/>
    <n v="0"/>
  </r>
  <r>
    <s v="CUST0296"/>
    <s v="Female"/>
    <n v="32"/>
    <n v="18"/>
    <s v="Two Year"/>
    <x v="2"/>
    <x v="0"/>
    <n v="132.86000000000001"/>
    <n v="2188.35"/>
    <x v="0"/>
    <s v="13-24 Months"/>
    <n v="0"/>
  </r>
  <r>
    <s v="CUST0297"/>
    <s v="Female"/>
    <n v="23"/>
    <n v="40"/>
    <s v="Month-to-Month"/>
    <x v="2"/>
    <x v="1"/>
    <n v="58.66"/>
    <n v="2288.14"/>
    <x v="0"/>
    <s v="25-48 Months"/>
    <n v="0"/>
  </r>
  <r>
    <s v="CUST0298"/>
    <s v="Male"/>
    <n v="66"/>
    <n v="21"/>
    <s v="Month-to-Month"/>
    <x v="2"/>
    <x v="2"/>
    <n v="41.13"/>
    <n v="919.1"/>
    <x v="0"/>
    <s v="13-24 Months"/>
    <n v="0"/>
  </r>
  <r>
    <s v="CUST0299"/>
    <s v="Male"/>
    <n v="47"/>
    <n v="15"/>
    <s v="Two Year"/>
    <x v="0"/>
    <x v="0"/>
    <n v="107.83"/>
    <n v="1458.02"/>
    <x v="0"/>
    <s v="13-24 Months"/>
    <n v="0"/>
  </r>
  <r>
    <s v="CUST0300"/>
    <s v="Female"/>
    <n v="55"/>
    <n v="26"/>
    <s v="Month-to-Month"/>
    <x v="0"/>
    <x v="2"/>
    <n v="24.95"/>
    <n v="643.09"/>
    <x v="0"/>
    <s v="25-48 Months"/>
    <n v="0"/>
  </r>
  <r>
    <s v="CUST0301"/>
    <s v="Male"/>
    <n v="68"/>
    <n v="8"/>
    <s v="Month-to-Month"/>
    <x v="3"/>
    <x v="2"/>
    <n v="100.6"/>
    <n v="777.31"/>
    <x v="1"/>
    <s v="0-12 Months"/>
    <n v="1"/>
  </r>
  <r>
    <s v="CUST0302"/>
    <s v="Male"/>
    <n v="19"/>
    <n v="42"/>
    <s v="One Year"/>
    <x v="0"/>
    <x v="1"/>
    <n v="110.77"/>
    <n v="4235.9399999999996"/>
    <x v="1"/>
    <s v="25-48 Months"/>
    <n v="1"/>
  </r>
  <r>
    <s v="CUST0303"/>
    <s v="Male"/>
    <n v="32"/>
    <n v="44"/>
    <s v="Two Year"/>
    <x v="0"/>
    <x v="0"/>
    <n v="47.94"/>
    <n v="2088.37"/>
    <x v="0"/>
    <s v="25-48 Months"/>
    <n v="0"/>
  </r>
  <r>
    <s v="CUST0304"/>
    <s v="Female"/>
    <n v="28"/>
    <n v="14"/>
    <s v="Month-to-Month"/>
    <x v="2"/>
    <x v="1"/>
    <n v="25.46"/>
    <n v="338.96"/>
    <x v="0"/>
    <s v="13-24 Months"/>
    <n v="0"/>
  </r>
  <r>
    <s v="CUST0305"/>
    <s v="Female"/>
    <n v="25"/>
    <n v="2"/>
    <s v="Month-to-Month"/>
    <x v="0"/>
    <x v="1"/>
    <n v="67.27"/>
    <n v="130.55000000000001"/>
    <x v="1"/>
    <s v="0-12 Months"/>
    <n v="1"/>
  </r>
  <r>
    <s v="CUST0306"/>
    <s v="Male"/>
    <n v="43"/>
    <n v="37"/>
    <s v="Month-to-Month"/>
    <x v="1"/>
    <x v="0"/>
    <n v="32.82"/>
    <n v="1264.28"/>
    <x v="1"/>
    <s v="25-48 Months"/>
    <n v="1"/>
  </r>
  <r>
    <s v="CUST0307"/>
    <s v="Female"/>
    <n v="68"/>
    <n v="69"/>
    <s v="Month-to-Month"/>
    <x v="2"/>
    <x v="2"/>
    <n v="35.14"/>
    <n v="2435.11"/>
    <x v="0"/>
    <s v="49+ Months"/>
    <n v="0"/>
  </r>
  <r>
    <s v="CUST0308"/>
    <s v="Female"/>
    <n v="62"/>
    <n v="38"/>
    <s v="One Year"/>
    <x v="2"/>
    <x v="2"/>
    <n v="53.05"/>
    <n v="1864.57"/>
    <x v="1"/>
    <s v="25-48 Months"/>
    <n v="1"/>
  </r>
  <r>
    <s v="CUST0309"/>
    <s v="Female"/>
    <n v="61"/>
    <n v="41"/>
    <s v="Month-to-Month"/>
    <x v="2"/>
    <x v="2"/>
    <n v="58.41"/>
    <n v="2615.81"/>
    <x v="1"/>
    <s v="25-48 Months"/>
    <n v="1"/>
  </r>
  <r>
    <s v="CUST0310"/>
    <s v="Female"/>
    <n v="22"/>
    <n v="62"/>
    <s v="Month-to-Month"/>
    <x v="2"/>
    <x v="1"/>
    <n v="88.9"/>
    <n v="5661.62"/>
    <x v="0"/>
    <s v="49+ Months"/>
    <n v="0"/>
  </r>
  <r>
    <s v="CUST0311"/>
    <s v="Female"/>
    <n v="23"/>
    <n v="60"/>
    <s v="Month-to-Month"/>
    <x v="0"/>
    <x v="1"/>
    <n v="108.19"/>
    <n v="6836.57"/>
    <x v="0"/>
    <s v="49+ Months"/>
    <n v="0"/>
  </r>
  <r>
    <s v="CUST0312"/>
    <s v="Male"/>
    <n v="43"/>
    <n v="14"/>
    <s v="One Year"/>
    <x v="2"/>
    <x v="0"/>
    <n v="97.06"/>
    <n v="1244.48"/>
    <x v="0"/>
    <s v="13-24 Months"/>
    <n v="0"/>
  </r>
  <r>
    <s v="CUST0313"/>
    <s v="Female"/>
    <n v="21"/>
    <n v="2"/>
    <s v="Month-to-Month"/>
    <x v="1"/>
    <x v="1"/>
    <n v="39.29"/>
    <n v="71.459999999999994"/>
    <x v="0"/>
    <s v="0-12 Months"/>
    <n v="0"/>
  </r>
  <r>
    <s v="CUST0314"/>
    <s v="Male"/>
    <n v="36"/>
    <n v="70"/>
    <s v="Two Year"/>
    <x v="3"/>
    <x v="0"/>
    <n v="42.37"/>
    <n v="2680.85"/>
    <x v="0"/>
    <s v="49+ Months"/>
    <n v="0"/>
  </r>
  <r>
    <s v="CUST0315"/>
    <s v="Male"/>
    <n v="37"/>
    <n v="17"/>
    <s v="Month-to-Month"/>
    <x v="0"/>
    <x v="0"/>
    <n v="134.24"/>
    <n v="2140.04"/>
    <x v="1"/>
    <s v="13-24 Months"/>
    <n v="1"/>
  </r>
  <r>
    <s v="CUST0316"/>
    <s v="Female"/>
    <n v="50"/>
    <n v="28"/>
    <s v="Two Year"/>
    <x v="3"/>
    <x v="2"/>
    <n v="92.59"/>
    <n v="2548.14"/>
    <x v="0"/>
    <s v="25-48 Months"/>
    <n v="0"/>
  </r>
  <r>
    <s v="CUST0317"/>
    <s v="Male"/>
    <n v="37"/>
    <n v="66"/>
    <s v="Two Year"/>
    <x v="0"/>
    <x v="0"/>
    <n v="133.09"/>
    <n v="9549.59"/>
    <x v="0"/>
    <s v="49+ Months"/>
    <n v="0"/>
  </r>
  <r>
    <s v="CUST0318"/>
    <s v="Male"/>
    <n v="66"/>
    <n v="35"/>
    <s v="Month-to-Month"/>
    <x v="0"/>
    <x v="2"/>
    <n v="68.3"/>
    <n v="2369.9699999999998"/>
    <x v="0"/>
    <s v="25-48 Months"/>
    <n v="0"/>
  </r>
  <r>
    <s v="CUST0319"/>
    <s v="Male"/>
    <n v="29"/>
    <n v="5"/>
    <s v="Month-to-Month"/>
    <x v="3"/>
    <x v="1"/>
    <n v="99.87"/>
    <n v="478.4"/>
    <x v="1"/>
    <s v="0-12 Months"/>
    <n v="1"/>
  </r>
  <r>
    <s v="CUST0320"/>
    <s v="Female"/>
    <n v="64"/>
    <n v="65"/>
    <s v="Month-to-Month"/>
    <x v="2"/>
    <x v="2"/>
    <n v="88.08"/>
    <n v="5796.12"/>
    <x v="0"/>
    <s v="49+ Months"/>
    <n v="0"/>
  </r>
  <r>
    <s v="CUST0321"/>
    <s v="Female"/>
    <n v="18"/>
    <n v="40"/>
    <s v="Month-to-Month"/>
    <x v="3"/>
    <x v="1"/>
    <n v="61.49"/>
    <n v="2268.6999999999998"/>
    <x v="1"/>
    <s v="25-48 Months"/>
    <n v="1"/>
  </r>
  <r>
    <s v="CUST0322"/>
    <s v="Male"/>
    <n v="43"/>
    <n v="56"/>
    <s v="Month-to-Month"/>
    <x v="2"/>
    <x v="0"/>
    <n v="81.09"/>
    <n v="4640.49"/>
    <x v="0"/>
    <s v="49+ Months"/>
    <n v="0"/>
  </r>
  <r>
    <s v="CUST0323"/>
    <s v="Female"/>
    <n v="31"/>
    <n v="36"/>
    <s v="Month-to-Month"/>
    <x v="0"/>
    <x v="0"/>
    <n v="85.32"/>
    <n v="3113.56"/>
    <x v="1"/>
    <s v="25-48 Months"/>
    <n v="1"/>
  </r>
  <r>
    <s v="CUST0324"/>
    <s v="Female"/>
    <n v="55"/>
    <n v="45"/>
    <s v="Month-to-Month"/>
    <x v="2"/>
    <x v="2"/>
    <n v="46.1"/>
    <n v="2195.65"/>
    <x v="0"/>
    <s v="25-48 Months"/>
    <n v="0"/>
  </r>
  <r>
    <s v="CUST0325"/>
    <s v="Female"/>
    <n v="54"/>
    <n v="23"/>
    <s v="Two Year"/>
    <x v="1"/>
    <x v="2"/>
    <n v="60.95"/>
    <n v="1538.3"/>
    <x v="0"/>
    <s v="13-24 Months"/>
    <n v="0"/>
  </r>
  <r>
    <s v="CUST0326"/>
    <s v="Female"/>
    <n v="28"/>
    <n v="47"/>
    <s v="Month-to-Month"/>
    <x v="1"/>
    <x v="1"/>
    <n v="122.88"/>
    <n v="5487.6"/>
    <x v="1"/>
    <s v="25-48 Months"/>
    <n v="1"/>
  </r>
  <r>
    <s v="CUST0327"/>
    <s v="Male"/>
    <n v="53"/>
    <n v="31"/>
    <s v="Two Year"/>
    <x v="1"/>
    <x v="2"/>
    <n v="139.05000000000001"/>
    <n v="4318.87"/>
    <x v="0"/>
    <s v="25-48 Months"/>
    <n v="0"/>
  </r>
  <r>
    <s v="CUST0328"/>
    <s v="Male"/>
    <n v="30"/>
    <n v="11"/>
    <s v="Month-to-Month"/>
    <x v="0"/>
    <x v="0"/>
    <n v="66.77"/>
    <n v="794.53"/>
    <x v="0"/>
    <s v="0-12 Months"/>
    <n v="0"/>
  </r>
  <r>
    <s v="CUST0329"/>
    <s v="Female"/>
    <n v="60"/>
    <n v="10"/>
    <s v="Two Year"/>
    <x v="0"/>
    <x v="2"/>
    <n v="59.91"/>
    <n v="633.27"/>
    <x v="0"/>
    <s v="0-12 Months"/>
    <n v="0"/>
  </r>
  <r>
    <s v="CUST0330"/>
    <s v="Female"/>
    <n v="20"/>
    <n v="67"/>
    <s v="One Year"/>
    <x v="2"/>
    <x v="1"/>
    <n v="45.38"/>
    <n v="3032.8"/>
    <x v="0"/>
    <s v="49+ Months"/>
    <n v="0"/>
  </r>
  <r>
    <s v="CUST0331"/>
    <s v="Male"/>
    <n v="50"/>
    <n v="14"/>
    <s v="Month-to-Month"/>
    <x v="2"/>
    <x v="2"/>
    <n v="108.2"/>
    <n v="1649.73"/>
    <x v="0"/>
    <s v="13-24 Months"/>
    <n v="0"/>
  </r>
  <r>
    <s v="CUST0332"/>
    <s v="Male"/>
    <n v="23"/>
    <n v="10"/>
    <s v="One Year"/>
    <x v="3"/>
    <x v="1"/>
    <n v="62"/>
    <n v="565.1"/>
    <x v="0"/>
    <s v="0-12 Months"/>
    <n v="0"/>
  </r>
  <r>
    <s v="CUST0333"/>
    <s v="Female"/>
    <n v="67"/>
    <n v="1"/>
    <s v="Month-to-Month"/>
    <x v="0"/>
    <x v="2"/>
    <n v="148.41"/>
    <n v="161.19999999999999"/>
    <x v="1"/>
    <s v="0-12 Months"/>
    <n v="1"/>
  </r>
  <r>
    <s v="CUST0334"/>
    <s v="Male"/>
    <n v="27"/>
    <n v="5"/>
    <s v="Month-to-Month"/>
    <x v="3"/>
    <x v="1"/>
    <n v="62.34"/>
    <n v="283.68"/>
    <x v="1"/>
    <s v="0-12 Months"/>
    <n v="1"/>
  </r>
  <r>
    <s v="CUST0335"/>
    <s v="Female"/>
    <n v="22"/>
    <n v="20"/>
    <s v="Two Year"/>
    <x v="3"/>
    <x v="1"/>
    <n v="71.239999999999995"/>
    <n v="1438.28"/>
    <x v="0"/>
    <s v="13-24 Months"/>
    <n v="0"/>
  </r>
  <r>
    <s v="CUST0336"/>
    <s v="Female"/>
    <n v="40"/>
    <n v="8"/>
    <s v="Month-to-Month"/>
    <x v="0"/>
    <x v="0"/>
    <n v="98.43"/>
    <n v="848.93"/>
    <x v="0"/>
    <s v="0-12 Months"/>
    <n v="0"/>
  </r>
  <r>
    <s v="CUST0337"/>
    <s v="Male"/>
    <n v="27"/>
    <n v="43"/>
    <s v="Month-to-Month"/>
    <x v="1"/>
    <x v="1"/>
    <n v="124.22"/>
    <n v="5087.9799999999996"/>
    <x v="0"/>
    <s v="25-48 Months"/>
    <n v="0"/>
  </r>
  <r>
    <s v="CUST0338"/>
    <s v="Male"/>
    <n v="61"/>
    <n v="1"/>
    <s v="One Year"/>
    <x v="2"/>
    <x v="2"/>
    <n v="81.040000000000006"/>
    <n v="80.59"/>
    <x v="1"/>
    <s v="0-12 Months"/>
    <n v="1"/>
  </r>
  <r>
    <s v="CUST0339"/>
    <s v="Female"/>
    <n v="19"/>
    <n v="57"/>
    <s v="Two Year"/>
    <x v="2"/>
    <x v="1"/>
    <n v="74.95"/>
    <n v="4122.05"/>
    <x v="0"/>
    <s v="49+ Months"/>
    <n v="0"/>
  </r>
  <r>
    <s v="CUST0340"/>
    <s v="Female"/>
    <n v="30"/>
    <n v="64"/>
    <s v="One Year"/>
    <x v="2"/>
    <x v="0"/>
    <n v="149.43"/>
    <n v="10428.34"/>
    <x v="0"/>
    <s v="49+ Months"/>
    <n v="0"/>
  </r>
  <r>
    <s v="CUST0341"/>
    <s v="Male"/>
    <n v="57"/>
    <n v="28"/>
    <s v="Month-to-Month"/>
    <x v="0"/>
    <x v="2"/>
    <n v="21.36"/>
    <n v="636.79"/>
    <x v="0"/>
    <s v="25-48 Months"/>
    <n v="0"/>
  </r>
  <r>
    <s v="CUST0342"/>
    <s v="Female"/>
    <n v="19"/>
    <n v="37"/>
    <s v="One Year"/>
    <x v="0"/>
    <x v="1"/>
    <n v="136.36000000000001"/>
    <n v="5256.22"/>
    <x v="1"/>
    <s v="25-48 Months"/>
    <n v="1"/>
  </r>
  <r>
    <s v="CUST0343"/>
    <s v="Male"/>
    <n v="37"/>
    <n v="47"/>
    <s v="Month-to-Month"/>
    <x v="0"/>
    <x v="0"/>
    <n v="39.39"/>
    <n v="1883.78"/>
    <x v="0"/>
    <s v="25-48 Months"/>
    <n v="0"/>
  </r>
  <r>
    <s v="CUST0344"/>
    <s v="Female"/>
    <n v="18"/>
    <n v="37"/>
    <s v="One Year"/>
    <x v="0"/>
    <x v="1"/>
    <n v="122.17"/>
    <n v="4810.12"/>
    <x v="0"/>
    <s v="25-48 Months"/>
    <n v="0"/>
  </r>
  <r>
    <s v="CUST0345"/>
    <s v="Male"/>
    <n v="54"/>
    <n v="49"/>
    <s v="Two Year"/>
    <x v="0"/>
    <x v="2"/>
    <n v="100.33"/>
    <n v="4810.24"/>
    <x v="0"/>
    <s v="49+ Months"/>
    <n v="0"/>
  </r>
  <r>
    <s v="CUST0346"/>
    <s v="Male"/>
    <n v="26"/>
    <n v="44"/>
    <s v="One Year"/>
    <x v="1"/>
    <x v="1"/>
    <n v="64.44"/>
    <n v="2805.62"/>
    <x v="0"/>
    <s v="25-48 Months"/>
    <n v="0"/>
  </r>
  <r>
    <s v="CUST0347"/>
    <s v="Male"/>
    <n v="34"/>
    <n v="56"/>
    <s v="Two Year"/>
    <x v="1"/>
    <x v="0"/>
    <n v="133.6"/>
    <n v="7825.76"/>
    <x v="0"/>
    <s v="49+ Months"/>
    <n v="0"/>
  </r>
  <r>
    <s v="CUST0348"/>
    <s v="Female"/>
    <n v="26"/>
    <n v="28"/>
    <s v="Month-to-Month"/>
    <x v="2"/>
    <x v="1"/>
    <n v="21.68"/>
    <n v="589.77"/>
    <x v="0"/>
    <s v="25-48 Months"/>
    <n v="0"/>
  </r>
  <r>
    <s v="CUST0349"/>
    <s v="Female"/>
    <n v="28"/>
    <n v="6"/>
    <s v="One Year"/>
    <x v="2"/>
    <x v="1"/>
    <n v="49.47"/>
    <n v="270.93"/>
    <x v="1"/>
    <s v="0-12 Months"/>
    <n v="1"/>
  </r>
  <r>
    <s v="CUST0350"/>
    <s v="Male"/>
    <n v="32"/>
    <n v="61"/>
    <s v="Two Year"/>
    <x v="1"/>
    <x v="0"/>
    <n v="93.7"/>
    <n v="5229.1000000000004"/>
    <x v="0"/>
    <s v="49+ Months"/>
    <n v="0"/>
  </r>
  <r>
    <s v="CUST0351"/>
    <s v="Female"/>
    <n v="41"/>
    <n v="20"/>
    <s v="Month-to-Month"/>
    <x v="0"/>
    <x v="0"/>
    <n v="65.7"/>
    <n v="1212.92"/>
    <x v="0"/>
    <s v="13-24 Months"/>
    <n v="0"/>
  </r>
  <r>
    <s v="CUST0352"/>
    <s v="Male"/>
    <n v="55"/>
    <n v="2"/>
    <s v="Two Year"/>
    <x v="1"/>
    <x v="2"/>
    <n v="99.35"/>
    <n v="213.39"/>
    <x v="1"/>
    <s v="0-12 Months"/>
    <n v="1"/>
  </r>
  <r>
    <s v="CUST0353"/>
    <s v="Male"/>
    <n v="52"/>
    <n v="37"/>
    <s v="Month-to-Month"/>
    <x v="2"/>
    <x v="2"/>
    <n v="23.13"/>
    <n v="851.06"/>
    <x v="0"/>
    <s v="25-48 Months"/>
    <n v="0"/>
  </r>
  <r>
    <s v="CUST0354"/>
    <s v="Female"/>
    <n v="47"/>
    <n v="20"/>
    <s v="One Year"/>
    <x v="0"/>
    <x v="0"/>
    <n v="35.14"/>
    <n v="732.72"/>
    <x v="1"/>
    <s v="13-24 Months"/>
    <n v="1"/>
  </r>
  <r>
    <s v="CUST0355"/>
    <s v="Female"/>
    <n v="48"/>
    <n v="26"/>
    <s v="Two Year"/>
    <x v="2"/>
    <x v="0"/>
    <n v="36.520000000000003"/>
    <n v="929.18"/>
    <x v="1"/>
    <s v="25-48 Months"/>
    <n v="1"/>
  </r>
  <r>
    <s v="CUST0356"/>
    <s v="Male"/>
    <n v="66"/>
    <n v="29"/>
    <s v="One Year"/>
    <x v="2"/>
    <x v="2"/>
    <n v="44.61"/>
    <n v="1231.26"/>
    <x v="0"/>
    <s v="25-48 Months"/>
    <n v="0"/>
  </r>
  <r>
    <s v="CUST0357"/>
    <s v="Female"/>
    <n v="22"/>
    <n v="1"/>
    <s v="Month-to-Month"/>
    <x v="1"/>
    <x v="1"/>
    <n v="79.709999999999994"/>
    <n v="77.27"/>
    <x v="0"/>
    <s v="0-12 Months"/>
    <n v="0"/>
  </r>
  <r>
    <s v="CUST0358"/>
    <s v="Female"/>
    <n v="61"/>
    <n v="35"/>
    <s v="One Year"/>
    <x v="0"/>
    <x v="2"/>
    <n v="117.78"/>
    <n v="4364.84"/>
    <x v="0"/>
    <s v="25-48 Months"/>
    <n v="0"/>
  </r>
  <r>
    <s v="CUST0359"/>
    <s v="Male"/>
    <n v="67"/>
    <n v="70"/>
    <s v="Month-to-Month"/>
    <x v="1"/>
    <x v="2"/>
    <n v="137.72"/>
    <n v="9881.83"/>
    <x v="0"/>
    <s v="49+ Months"/>
    <n v="0"/>
  </r>
  <r>
    <s v="CUST0360"/>
    <s v="Male"/>
    <n v="31"/>
    <n v="59"/>
    <s v="Two Year"/>
    <x v="3"/>
    <x v="0"/>
    <n v="128.6"/>
    <n v="8251.51"/>
    <x v="1"/>
    <s v="49+ Months"/>
    <n v="1"/>
  </r>
  <r>
    <s v="CUST0361"/>
    <s v="Female"/>
    <n v="70"/>
    <n v="69"/>
    <s v="Month-to-Month"/>
    <x v="0"/>
    <x v="2"/>
    <n v="45.6"/>
    <n v="3259.48"/>
    <x v="0"/>
    <s v="49+ Months"/>
    <n v="0"/>
  </r>
  <r>
    <s v="CUST0362"/>
    <s v="Male"/>
    <n v="28"/>
    <n v="33"/>
    <s v="Month-to-Month"/>
    <x v="1"/>
    <x v="1"/>
    <n v="77.349999999999994"/>
    <n v="2588.38"/>
    <x v="0"/>
    <s v="25-48 Months"/>
    <n v="0"/>
  </r>
  <r>
    <s v="CUST0363"/>
    <s v="Male"/>
    <n v="26"/>
    <n v="51"/>
    <s v="One Year"/>
    <x v="2"/>
    <x v="1"/>
    <n v="45.92"/>
    <n v="2393.5300000000002"/>
    <x v="0"/>
    <s v="49+ Months"/>
    <n v="0"/>
  </r>
  <r>
    <s v="CUST0364"/>
    <s v="Female"/>
    <n v="51"/>
    <n v="12"/>
    <s v="Month-to-Month"/>
    <x v="0"/>
    <x v="2"/>
    <n v="54.38"/>
    <n v="710.29"/>
    <x v="0"/>
    <s v="0-12 Months"/>
    <n v="0"/>
  </r>
  <r>
    <s v="CUST0365"/>
    <s v="Male"/>
    <n v="29"/>
    <n v="20"/>
    <s v="One Year"/>
    <x v="1"/>
    <x v="1"/>
    <n v="85.46"/>
    <n v="1807.72"/>
    <x v="0"/>
    <s v="13-24 Months"/>
    <n v="0"/>
  </r>
  <r>
    <s v="CUST0366"/>
    <s v="Male"/>
    <n v="52"/>
    <n v="53"/>
    <s v="One Year"/>
    <x v="0"/>
    <x v="2"/>
    <n v="28.85"/>
    <n v="1383.5"/>
    <x v="0"/>
    <s v="49+ Months"/>
    <n v="0"/>
  </r>
  <r>
    <s v="CUST0367"/>
    <s v="Female"/>
    <n v="52"/>
    <n v="43"/>
    <s v="Two Year"/>
    <x v="0"/>
    <x v="2"/>
    <n v="48.36"/>
    <n v="2093.6799999999998"/>
    <x v="0"/>
    <s v="25-48 Months"/>
    <n v="0"/>
  </r>
  <r>
    <s v="CUST0368"/>
    <s v="Female"/>
    <n v="18"/>
    <n v="50"/>
    <s v="One Year"/>
    <x v="2"/>
    <x v="1"/>
    <n v="141.6"/>
    <n v="7346.69"/>
    <x v="0"/>
    <s v="49+ Months"/>
    <n v="0"/>
  </r>
  <r>
    <s v="CUST0369"/>
    <s v="Male"/>
    <n v="57"/>
    <n v="29"/>
    <s v="Month-to-Month"/>
    <x v="0"/>
    <x v="2"/>
    <n v="80.599999999999994"/>
    <n v="2453.66"/>
    <x v="0"/>
    <s v="25-48 Months"/>
    <n v="0"/>
  </r>
  <r>
    <s v="CUST0370"/>
    <s v="Male"/>
    <n v="39"/>
    <n v="57"/>
    <s v="Month-to-Month"/>
    <x v="3"/>
    <x v="0"/>
    <n v="77.900000000000006"/>
    <n v="4185.55"/>
    <x v="1"/>
    <s v="49+ Months"/>
    <n v="1"/>
  </r>
  <r>
    <s v="CUST0371"/>
    <s v="Female"/>
    <n v="46"/>
    <n v="39"/>
    <s v="Month-to-Month"/>
    <x v="3"/>
    <x v="0"/>
    <n v="21.89"/>
    <n v="916.4"/>
    <x v="1"/>
    <s v="25-48 Months"/>
    <n v="1"/>
  </r>
  <r>
    <s v="CUST0372"/>
    <s v="Female"/>
    <n v="25"/>
    <n v="56"/>
    <s v="Month-to-Month"/>
    <x v="1"/>
    <x v="1"/>
    <n v="52.16"/>
    <n v="3187.26"/>
    <x v="1"/>
    <s v="49+ Months"/>
    <n v="1"/>
  </r>
  <r>
    <s v="CUST0373"/>
    <s v="Female"/>
    <n v="28"/>
    <n v="43"/>
    <s v="Month-to-Month"/>
    <x v="1"/>
    <x v="1"/>
    <n v="132.62"/>
    <n v="5402.38"/>
    <x v="0"/>
    <s v="25-48 Months"/>
    <n v="0"/>
  </r>
  <r>
    <s v="CUST0374"/>
    <s v="Female"/>
    <n v="58"/>
    <n v="50"/>
    <s v="One Year"/>
    <x v="0"/>
    <x v="2"/>
    <n v="41.4"/>
    <n v="2228.4"/>
    <x v="0"/>
    <s v="49+ Months"/>
    <n v="0"/>
  </r>
  <r>
    <s v="CUST0375"/>
    <s v="Male"/>
    <n v="54"/>
    <n v="23"/>
    <s v="One Year"/>
    <x v="0"/>
    <x v="2"/>
    <n v="73.97"/>
    <n v="1564.18"/>
    <x v="0"/>
    <s v="13-24 Months"/>
    <n v="0"/>
  </r>
  <r>
    <s v="CUST0376"/>
    <s v="Female"/>
    <n v="31"/>
    <n v="44"/>
    <s v="Month-to-Month"/>
    <x v="2"/>
    <x v="0"/>
    <n v="21.86"/>
    <n v="876.37"/>
    <x v="0"/>
    <s v="25-48 Months"/>
    <n v="0"/>
  </r>
  <r>
    <s v="CUST0377"/>
    <s v="Female"/>
    <n v="47"/>
    <n v="38"/>
    <s v="Two Year"/>
    <x v="0"/>
    <x v="0"/>
    <n v="82.18"/>
    <n v="2891.27"/>
    <x v="0"/>
    <s v="25-48 Months"/>
    <n v="0"/>
  </r>
  <r>
    <s v="CUST0378"/>
    <s v="Male"/>
    <n v="52"/>
    <n v="23"/>
    <s v="Two Year"/>
    <x v="0"/>
    <x v="2"/>
    <n v="22.73"/>
    <n v="476.55"/>
    <x v="0"/>
    <s v="13-24 Months"/>
    <n v="0"/>
  </r>
  <r>
    <s v="CUST0379"/>
    <s v="Female"/>
    <n v="38"/>
    <n v="45"/>
    <s v="Two Year"/>
    <x v="3"/>
    <x v="0"/>
    <n v="126.55"/>
    <n v="6087.7"/>
    <x v="0"/>
    <s v="25-48 Months"/>
    <n v="0"/>
  </r>
  <r>
    <s v="CUST0380"/>
    <s v="Male"/>
    <n v="54"/>
    <n v="52"/>
    <s v="One Year"/>
    <x v="0"/>
    <x v="2"/>
    <n v="127.23"/>
    <n v="6032.5"/>
    <x v="0"/>
    <s v="49+ Months"/>
    <n v="0"/>
  </r>
  <r>
    <s v="CUST0381"/>
    <s v="Female"/>
    <n v="22"/>
    <n v="50"/>
    <s v="Month-to-Month"/>
    <x v="0"/>
    <x v="1"/>
    <n v="122.41"/>
    <n v="5840.99"/>
    <x v="0"/>
    <s v="49+ Months"/>
    <n v="0"/>
  </r>
  <r>
    <s v="CUST0382"/>
    <s v="Female"/>
    <n v="36"/>
    <n v="8"/>
    <s v="Month-to-Month"/>
    <x v="0"/>
    <x v="0"/>
    <n v="56.84"/>
    <n v="418.68"/>
    <x v="0"/>
    <s v="0-12 Months"/>
    <n v="0"/>
  </r>
  <r>
    <s v="CUST0383"/>
    <s v="Female"/>
    <n v="31"/>
    <n v="1"/>
    <s v="Month-to-Month"/>
    <x v="1"/>
    <x v="0"/>
    <n v="128.84"/>
    <n v="123.57"/>
    <x v="0"/>
    <s v="0-12 Months"/>
    <n v="0"/>
  </r>
  <r>
    <s v="CUST0384"/>
    <s v="Male"/>
    <n v="43"/>
    <n v="8"/>
    <s v="Month-to-Month"/>
    <x v="1"/>
    <x v="0"/>
    <n v="90.59"/>
    <n v="665.37"/>
    <x v="1"/>
    <s v="0-12 Months"/>
    <n v="1"/>
  </r>
  <r>
    <s v="CUST0385"/>
    <s v="Male"/>
    <n v="21"/>
    <n v="29"/>
    <s v="Two Year"/>
    <x v="2"/>
    <x v="1"/>
    <n v="68.599999999999994"/>
    <n v="2056.25"/>
    <x v="0"/>
    <s v="25-48 Months"/>
    <n v="0"/>
  </r>
  <r>
    <s v="CUST0386"/>
    <s v="Female"/>
    <n v="42"/>
    <n v="5"/>
    <s v="Two Year"/>
    <x v="0"/>
    <x v="0"/>
    <n v="101.29"/>
    <n v="469.31"/>
    <x v="0"/>
    <s v="0-12 Months"/>
    <n v="0"/>
  </r>
  <r>
    <s v="CUST0387"/>
    <s v="Male"/>
    <n v="62"/>
    <n v="47"/>
    <s v="Month-to-Month"/>
    <x v="3"/>
    <x v="2"/>
    <n v="21.6"/>
    <n v="1086.6400000000001"/>
    <x v="0"/>
    <s v="25-48 Months"/>
    <n v="0"/>
  </r>
  <r>
    <s v="CUST0388"/>
    <s v="Male"/>
    <n v="59"/>
    <n v="34"/>
    <s v="Month-to-Month"/>
    <x v="0"/>
    <x v="2"/>
    <n v="38.58"/>
    <n v="1394.93"/>
    <x v="1"/>
    <s v="25-48 Months"/>
    <n v="1"/>
  </r>
  <r>
    <s v="CUST0389"/>
    <s v="Male"/>
    <n v="42"/>
    <n v="65"/>
    <s v="Two Year"/>
    <x v="2"/>
    <x v="0"/>
    <n v="116.5"/>
    <n v="6835.94"/>
    <x v="0"/>
    <s v="49+ Months"/>
    <n v="0"/>
  </r>
  <r>
    <s v="CUST0390"/>
    <s v="Male"/>
    <n v="35"/>
    <n v="55"/>
    <s v="Month-to-Month"/>
    <x v="1"/>
    <x v="0"/>
    <n v="51.74"/>
    <n v="3070.92"/>
    <x v="0"/>
    <s v="49+ Months"/>
    <n v="0"/>
  </r>
  <r>
    <s v="CUST0391"/>
    <s v="Male"/>
    <n v="57"/>
    <n v="43"/>
    <s v="Month-to-Month"/>
    <x v="3"/>
    <x v="2"/>
    <n v="97.74"/>
    <n v="3806.87"/>
    <x v="1"/>
    <s v="25-48 Months"/>
    <n v="1"/>
  </r>
  <r>
    <s v="CUST0392"/>
    <s v="Male"/>
    <n v="25"/>
    <n v="30"/>
    <s v="Two Year"/>
    <x v="2"/>
    <x v="1"/>
    <n v="70.06"/>
    <n v="1992.36"/>
    <x v="0"/>
    <s v="25-48 Months"/>
    <n v="0"/>
  </r>
  <r>
    <s v="CUST0393"/>
    <s v="Female"/>
    <n v="56"/>
    <n v="17"/>
    <s v="Month-to-Month"/>
    <x v="1"/>
    <x v="2"/>
    <n v="131.12"/>
    <n v="2020.58"/>
    <x v="0"/>
    <s v="13-24 Months"/>
    <n v="0"/>
  </r>
  <r>
    <s v="CUST0394"/>
    <s v="Female"/>
    <n v="57"/>
    <n v="26"/>
    <s v="Month-to-Month"/>
    <x v="3"/>
    <x v="2"/>
    <n v="143.81"/>
    <n v="3616.3"/>
    <x v="0"/>
    <s v="25-48 Months"/>
    <n v="0"/>
  </r>
  <r>
    <s v="CUST0395"/>
    <s v="Male"/>
    <n v="31"/>
    <n v="8"/>
    <s v="Month-to-Month"/>
    <x v="0"/>
    <x v="0"/>
    <n v="134.86000000000001"/>
    <n v="1081.8699999999999"/>
    <x v="0"/>
    <s v="0-12 Months"/>
    <n v="0"/>
  </r>
  <r>
    <s v="CUST0396"/>
    <s v="Female"/>
    <n v="49"/>
    <n v="47"/>
    <s v="Two Year"/>
    <x v="3"/>
    <x v="0"/>
    <n v="55.18"/>
    <n v="2747.33"/>
    <x v="0"/>
    <s v="25-48 Months"/>
    <n v="0"/>
  </r>
  <r>
    <s v="CUST0397"/>
    <s v="Female"/>
    <n v="68"/>
    <n v="72"/>
    <s v="One Year"/>
    <x v="1"/>
    <x v="2"/>
    <n v="45.24"/>
    <n v="3151.73"/>
    <x v="0"/>
    <s v="49+ Months"/>
    <n v="0"/>
  </r>
  <r>
    <s v="CUST0398"/>
    <s v="Female"/>
    <n v="55"/>
    <n v="46"/>
    <s v="Month-to-Month"/>
    <x v="1"/>
    <x v="2"/>
    <n v="81.680000000000007"/>
    <n v="3911.7"/>
    <x v="1"/>
    <s v="25-48 Months"/>
    <n v="1"/>
  </r>
  <r>
    <s v="CUST0399"/>
    <s v="Female"/>
    <n v="50"/>
    <n v="68"/>
    <s v="Month-to-Month"/>
    <x v="1"/>
    <x v="2"/>
    <n v="20.95"/>
    <n v="1335.56"/>
    <x v="1"/>
    <s v="49+ Months"/>
    <n v="1"/>
  </r>
  <r>
    <s v="CUST0400"/>
    <s v="Male"/>
    <n v="40"/>
    <n v="33"/>
    <s v="Month-to-Month"/>
    <x v="2"/>
    <x v="0"/>
    <n v="23.36"/>
    <n v="809.52"/>
    <x v="1"/>
    <s v="25-48 Months"/>
    <n v="1"/>
  </r>
  <r>
    <s v="CUST0401"/>
    <s v="Female"/>
    <n v="32"/>
    <n v="1"/>
    <s v="One Year"/>
    <x v="2"/>
    <x v="0"/>
    <n v="91.93"/>
    <n v="87.08"/>
    <x v="0"/>
    <s v="0-12 Months"/>
    <n v="0"/>
  </r>
  <r>
    <s v="CUST0402"/>
    <s v="Female"/>
    <n v="50"/>
    <n v="19"/>
    <s v="One Year"/>
    <x v="0"/>
    <x v="2"/>
    <n v="87.66"/>
    <n v="1546.8"/>
    <x v="0"/>
    <s v="13-24 Months"/>
    <n v="0"/>
  </r>
  <r>
    <s v="CUST0403"/>
    <s v="Male"/>
    <n v="42"/>
    <n v="31"/>
    <s v="Month-to-Month"/>
    <x v="2"/>
    <x v="0"/>
    <n v="149.30000000000001"/>
    <n v="4337.1000000000004"/>
    <x v="0"/>
    <s v="25-48 Months"/>
    <n v="0"/>
  </r>
  <r>
    <s v="CUST0404"/>
    <s v="Male"/>
    <n v="34"/>
    <n v="14"/>
    <s v="Two Year"/>
    <x v="0"/>
    <x v="0"/>
    <n v="46.24"/>
    <n v="606.20000000000005"/>
    <x v="0"/>
    <s v="13-24 Months"/>
    <n v="0"/>
  </r>
  <r>
    <s v="CUST0405"/>
    <s v="Female"/>
    <n v="50"/>
    <n v="53"/>
    <s v="Month-to-Month"/>
    <x v="3"/>
    <x v="2"/>
    <n v="53.55"/>
    <n v="2845.45"/>
    <x v="0"/>
    <s v="49+ Months"/>
    <n v="0"/>
  </r>
  <r>
    <s v="CUST0406"/>
    <s v="Female"/>
    <n v="64"/>
    <n v="48"/>
    <s v="Month-to-Month"/>
    <x v="3"/>
    <x v="2"/>
    <n v="34.76"/>
    <n v="1783.54"/>
    <x v="0"/>
    <s v="25-48 Months"/>
    <n v="0"/>
  </r>
  <r>
    <s v="CUST0407"/>
    <s v="Female"/>
    <n v="19"/>
    <n v="69"/>
    <s v="Month-to-Month"/>
    <x v="1"/>
    <x v="1"/>
    <n v="139.28"/>
    <n v="8802.2900000000009"/>
    <x v="1"/>
    <s v="49+ Months"/>
    <n v="1"/>
  </r>
  <r>
    <s v="CUST0408"/>
    <s v="Female"/>
    <n v="31"/>
    <n v="62"/>
    <s v="Month-to-Month"/>
    <x v="3"/>
    <x v="0"/>
    <n v="121.12"/>
    <n v="7820.27"/>
    <x v="0"/>
    <s v="49+ Months"/>
    <n v="0"/>
  </r>
  <r>
    <s v="CUST0409"/>
    <s v="Female"/>
    <n v="70"/>
    <n v="66"/>
    <s v="Month-to-Month"/>
    <x v="1"/>
    <x v="2"/>
    <n v="126.9"/>
    <n v="8633.94"/>
    <x v="0"/>
    <s v="49+ Months"/>
    <n v="0"/>
  </r>
  <r>
    <s v="CUST0410"/>
    <s v="Female"/>
    <n v="57"/>
    <n v="64"/>
    <s v="Month-to-Month"/>
    <x v="0"/>
    <x v="2"/>
    <n v="137.36000000000001"/>
    <n v="9446.01"/>
    <x v="0"/>
    <s v="49+ Months"/>
    <n v="0"/>
  </r>
  <r>
    <s v="CUST0411"/>
    <s v="Male"/>
    <n v="57"/>
    <n v="70"/>
    <s v="Month-to-Month"/>
    <x v="2"/>
    <x v="2"/>
    <n v="88.24"/>
    <n v="5860.73"/>
    <x v="0"/>
    <s v="49+ Months"/>
    <n v="0"/>
  </r>
  <r>
    <s v="CUST0412"/>
    <s v="Female"/>
    <n v="68"/>
    <n v="63"/>
    <s v="One Year"/>
    <x v="0"/>
    <x v="2"/>
    <n v="78.66"/>
    <n v="4906.13"/>
    <x v="0"/>
    <s v="49+ Months"/>
    <n v="0"/>
  </r>
  <r>
    <s v="CUST0413"/>
    <s v="Female"/>
    <n v="56"/>
    <n v="33"/>
    <s v="Month-to-Month"/>
    <x v="1"/>
    <x v="2"/>
    <n v="62.95"/>
    <n v="2254.27"/>
    <x v="1"/>
    <s v="25-48 Months"/>
    <n v="1"/>
  </r>
  <r>
    <s v="CUST0414"/>
    <s v="Male"/>
    <n v="68"/>
    <n v="41"/>
    <s v="One Year"/>
    <x v="0"/>
    <x v="2"/>
    <n v="96.6"/>
    <n v="4087.33"/>
    <x v="0"/>
    <s v="25-48 Months"/>
    <n v="0"/>
  </r>
  <r>
    <s v="CUST0415"/>
    <s v="Male"/>
    <n v="23"/>
    <n v="48"/>
    <s v="Two Year"/>
    <x v="1"/>
    <x v="1"/>
    <n v="79.06"/>
    <n v="3710.46"/>
    <x v="0"/>
    <s v="25-48 Months"/>
    <n v="0"/>
  </r>
  <r>
    <s v="CUST0416"/>
    <s v="Male"/>
    <n v="23"/>
    <n v="13"/>
    <s v="Month-to-Month"/>
    <x v="2"/>
    <x v="1"/>
    <n v="78.7"/>
    <n v="947.68"/>
    <x v="0"/>
    <s v="13-24 Months"/>
    <n v="0"/>
  </r>
  <r>
    <s v="CUST0417"/>
    <s v="Male"/>
    <n v="20"/>
    <n v="31"/>
    <s v="Month-to-Month"/>
    <x v="1"/>
    <x v="1"/>
    <n v="141.80000000000001"/>
    <n v="4186.99"/>
    <x v="0"/>
    <s v="25-48 Months"/>
    <n v="0"/>
  </r>
  <r>
    <s v="CUST0418"/>
    <s v="Female"/>
    <n v="24"/>
    <n v="68"/>
    <s v="Month-to-Month"/>
    <x v="3"/>
    <x v="1"/>
    <n v="147.91999999999999"/>
    <n v="10221.94"/>
    <x v="0"/>
    <s v="49+ Months"/>
    <n v="0"/>
  </r>
  <r>
    <s v="CUST0419"/>
    <s v="Female"/>
    <n v="68"/>
    <n v="4"/>
    <s v="Month-to-Month"/>
    <x v="1"/>
    <x v="2"/>
    <n v="123.54"/>
    <n v="515.72"/>
    <x v="1"/>
    <s v="0-12 Months"/>
    <n v="1"/>
  </r>
  <r>
    <s v="CUST0420"/>
    <s v="Female"/>
    <n v="25"/>
    <n v="19"/>
    <s v="Month-to-Month"/>
    <x v="3"/>
    <x v="1"/>
    <n v="118.38"/>
    <n v="2080.27"/>
    <x v="0"/>
    <s v="13-24 Months"/>
    <n v="0"/>
  </r>
  <r>
    <s v="CUST0421"/>
    <s v="Female"/>
    <n v="59"/>
    <n v="70"/>
    <s v="One Year"/>
    <x v="3"/>
    <x v="2"/>
    <n v="108.47"/>
    <n v="7744.15"/>
    <x v="0"/>
    <s v="49+ Months"/>
    <n v="0"/>
  </r>
  <r>
    <s v="CUST0422"/>
    <s v="Female"/>
    <n v="69"/>
    <n v="13"/>
    <s v="One Year"/>
    <x v="3"/>
    <x v="2"/>
    <n v="41.59"/>
    <n v="546.11"/>
    <x v="0"/>
    <s v="13-24 Months"/>
    <n v="0"/>
  </r>
  <r>
    <s v="CUST0423"/>
    <s v="Female"/>
    <n v="32"/>
    <n v="23"/>
    <s v="Month-to-Month"/>
    <x v="3"/>
    <x v="0"/>
    <n v="27.68"/>
    <n v="638.41999999999996"/>
    <x v="0"/>
    <s v="13-24 Months"/>
    <n v="0"/>
  </r>
  <r>
    <s v="CUST0424"/>
    <s v="Male"/>
    <n v="64"/>
    <n v="1"/>
    <s v="Two Year"/>
    <x v="3"/>
    <x v="2"/>
    <n v="109.79"/>
    <n v="113.96"/>
    <x v="0"/>
    <s v="0-12 Months"/>
    <n v="0"/>
  </r>
  <r>
    <s v="CUST0425"/>
    <s v="Female"/>
    <n v="46"/>
    <n v="54"/>
    <s v="Month-to-Month"/>
    <x v="1"/>
    <x v="0"/>
    <n v="114.74"/>
    <n v="6614.12"/>
    <x v="0"/>
    <s v="49+ Months"/>
    <n v="0"/>
  </r>
  <r>
    <s v="CUST0426"/>
    <s v="Male"/>
    <n v="50"/>
    <n v="71"/>
    <s v="Two Year"/>
    <x v="2"/>
    <x v="2"/>
    <n v="26.11"/>
    <n v="1788.18"/>
    <x v="1"/>
    <s v="49+ Months"/>
    <n v="1"/>
  </r>
  <r>
    <s v="CUST0427"/>
    <s v="Male"/>
    <n v="69"/>
    <n v="15"/>
    <s v="One Year"/>
    <x v="0"/>
    <x v="2"/>
    <n v="140.65"/>
    <n v="2273.89"/>
    <x v="0"/>
    <s v="13-24 Months"/>
    <n v="0"/>
  </r>
  <r>
    <s v="CUST0428"/>
    <s v="Female"/>
    <n v="47"/>
    <n v="65"/>
    <s v="One Year"/>
    <x v="0"/>
    <x v="0"/>
    <n v="31.85"/>
    <n v="1929.74"/>
    <x v="0"/>
    <s v="49+ Months"/>
    <n v="0"/>
  </r>
  <r>
    <s v="CUST0429"/>
    <s v="Male"/>
    <n v="56"/>
    <n v="71"/>
    <s v="Month-to-Month"/>
    <x v="2"/>
    <x v="2"/>
    <n v="57.17"/>
    <n v="3793.63"/>
    <x v="0"/>
    <s v="49+ Months"/>
    <n v="0"/>
  </r>
  <r>
    <s v="CUST0430"/>
    <s v="Female"/>
    <n v="44"/>
    <n v="15"/>
    <s v="Month-to-Month"/>
    <x v="2"/>
    <x v="0"/>
    <n v="107.41"/>
    <n v="1536"/>
    <x v="1"/>
    <s v="13-24 Months"/>
    <n v="1"/>
  </r>
  <r>
    <s v="CUST0431"/>
    <s v="Male"/>
    <n v="53"/>
    <n v="21"/>
    <s v="Two Year"/>
    <x v="3"/>
    <x v="2"/>
    <n v="42.08"/>
    <n v="816.44"/>
    <x v="0"/>
    <s v="13-24 Months"/>
    <n v="0"/>
  </r>
  <r>
    <s v="CUST0432"/>
    <s v="Female"/>
    <n v="46"/>
    <n v="19"/>
    <s v="Month-to-Month"/>
    <x v="3"/>
    <x v="0"/>
    <n v="27.2"/>
    <n v="488.93"/>
    <x v="1"/>
    <s v="13-24 Months"/>
    <n v="1"/>
  </r>
  <r>
    <s v="CUST0433"/>
    <s v="Male"/>
    <n v="55"/>
    <n v="60"/>
    <s v="Two Year"/>
    <x v="3"/>
    <x v="2"/>
    <n v="63.05"/>
    <n v="3485.21"/>
    <x v="1"/>
    <s v="49+ Months"/>
    <n v="1"/>
  </r>
  <r>
    <s v="CUST0434"/>
    <s v="Female"/>
    <n v="50"/>
    <n v="33"/>
    <s v="Month-to-Month"/>
    <x v="0"/>
    <x v="2"/>
    <n v="119.58"/>
    <n v="4200.08"/>
    <x v="1"/>
    <s v="25-48 Months"/>
    <n v="1"/>
  </r>
  <r>
    <s v="CUST0435"/>
    <s v="Female"/>
    <n v="54"/>
    <n v="49"/>
    <s v="Month-to-Month"/>
    <x v="2"/>
    <x v="2"/>
    <n v="73.78"/>
    <n v="3354.18"/>
    <x v="0"/>
    <s v="49+ Months"/>
    <n v="0"/>
  </r>
  <r>
    <s v="CUST0436"/>
    <s v="Female"/>
    <n v="44"/>
    <n v="35"/>
    <s v="Month-to-Month"/>
    <x v="2"/>
    <x v="0"/>
    <n v="104.89"/>
    <n v="3852.72"/>
    <x v="0"/>
    <s v="25-48 Months"/>
    <n v="0"/>
  </r>
  <r>
    <s v="CUST0437"/>
    <s v="Female"/>
    <n v="50"/>
    <n v="44"/>
    <s v="Month-to-Month"/>
    <x v="2"/>
    <x v="2"/>
    <n v="95.35"/>
    <n v="3816.06"/>
    <x v="0"/>
    <s v="25-48 Months"/>
    <n v="0"/>
  </r>
  <r>
    <s v="CUST0438"/>
    <s v="Female"/>
    <n v="21"/>
    <n v="11"/>
    <s v="Two Year"/>
    <x v="2"/>
    <x v="1"/>
    <n v="22.89"/>
    <n v="274.38"/>
    <x v="0"/>
    <s v="0-12 Months"/>
    <n v="0"/>
  </r>
  <r>
    <s v="CUST0439"/>
    <s v="Male"/>
    <n v="39"/>
    <n v="72"/>
    <s v="Month-to-Month"/>
    <x v="2"/>
    <x v="0"/>
    <n v="148.51"/>
    <n v="11144.3"/>
    <x v="1"/>
    <s v="49+ Months"/>
    <n v="1"/>
  </r>
  <r>
    <s v="CUST0440"/>
    <s v="Male"/>
    <n v="19"/>
    <n v="66"/>
    <s v="Month-to-Month"/>
    <x v="3"/>
    <x v="1"/>
    <n v="25.39"/>
    <n v="1510.44"/>
    <x v="0"/>
    <s v="49+ Months"/>
    <n v="0"/>
  </r>
  <r>
    <s v="CUST0441"/>
    <s v="Male"/>
    <n v="27"/>
    <n v="46"/>
    <s v="Month-to-Month"/>
    <x v="1"/>
    <x v="1"/>
    <n v="145.81"/>
    <n v="7061.21"/>
    <x v="1"/>
    <s v="25-48 Months"/>
    <n v="1"/>
  </r>
  <r>
    <s v="CUST0442"/>
    <s v="Female"/>
    <n v="22"/>
    <n v="9"/>
    <s v="Month-to-Month"/>
    <x v="2"/>
    <x v="1"/>
    <n v="91.48"/>
    <n v="825.64"/>
    <x v="1"/>
    <s v="0-12 Months"/>
    <n v="1"/>
  </r>
  <r>
    <s v="CUST0443"/>
    <s v="Male"/>
    <n v="27"/>
    <n v="3"/>
    <s v="Month-to-Month"/>
    <x v="2"/>
    <x v="1"/>
    <n v="145.21"/>
    <n v="459.97"/>
    <x v="0"/>
    <s v="0-12 Months"/>
    <n v="0"/>
  </r>
  <r>
    <s v="CUST0444"/>
    <s v="Female"/>
    <n v="50"/>
    <n v="26"/>
    <s v="Month-to-Month"/>
    <x v="0"/>
    <x v="2"/>
    <n v="34.92"/>
    <n v="912.01"/>
    <x v="1"/>
    <s v="25-48 Months"/>
    <n v="1"/>
  </r>
  <r>
    <s v="CUST0445"/>
    <s v="Female"/>
    <n v="55"/>
    <n v="72"/>
    <s v="Two Year"/>
    <x v="2"/>
    <x v="2"/>
    <n v="83.07"/>
    <n v="6200.08"/>
    <x v="0"/>
    <s v="49+ Months"/>
    <n v="0"/>
  </r>
  <r>
    <s v="CUST0446"/>
    <s v="Male"/>
    <n v="30"/>
    <n v="48"/>
    <s v="Month-to-Month"/>
    <x v="3"/>
    <x v="0"/>
    <n v="42.04"/>
    <n v="2133.48"/>
    <x v="0"/>
    <s v="25-48 Months"/>
    <n v="0"/>
  </r>
  <r>
    <s v="CUST0447"/>
    <s v="Male"/>
    <n v="48"/>
    <n v="66"/>
    <s v="Month-to-Month"/>
    <x v="0"/>
    <x v="0"/>
    <n v="26.63"/>
    <n v="1724.22"/>
    <x v="0"/>
    <s v="49+ Months"/>
    <n v="0"/>
  </r>
  <r>
    <s v="CUST0448"/>
    <s v="Female"/>
    <n v="64"/>
    <n v="70"/>
    <s v="Month-to-Month"/>
    <x v="0"/>
    <x v="2"/>
    <n v="100.28"/>
    <n v="6321.44"/>
    <x v="0"/>
    <s v="49+ Months"/>
    <n v="0"/>
  </r>
  <r>
    <s v="CUST0449"/>
    <s v="Male"/>
    <n v="53"/>
    <n v="28"/>
    <s v="Month-to-Month"/>
    <x v="0"/>
    <x v="2"/>
    <n v="47.01"/>
    <n v="1408.41"/>
    <x v="1"/>
    <s v="25-48 Months"/>
    <n v="1"/>
  </r>
  <r>
    <s v="CUST0450"/>
    <s v="Female"/>
    <n v="62"/>
    <n v="26"/>
    <s v="Two Year"/>
    <x v="2"/>
    <x v="2"/>
    <n v="96.4"/>
    <n v="2446.69"/>
    <x v="0"/>
    <s v="25-48 Months"/>
    <n v="0"/>
  </r>
  <r>
    <s v="CUST0451"/>
    <s v="Female"/>
    <n v="41"/>
    <n v="25"/>
    <s v="Month-to-Month"/>
    <x v="1"/>
    <x v="0"/>
    <n v="34.61"/>
    <n v="864.57"/>
    <x v="0"/>
    <s v="25-48 Months"/>
    <n v="0"/>
  </r>
  <r>
    <s v="CUST0452"/>
    <s v="Female"/>
    <n v="69"/>
    <n v="12"/>
    <s v="Month-to-Month"/>
    <x v="1"/>
    <x v="2"/>
    <n v="63.16"/>
    <n v="683.31"/>
    <x v="0"/>
    <s v="0-12 Months"/>
    <n v="0"/>
  </r>
  <r>
    <s v="CUST0453"/>
    <s v="Female"/>
    <n v="32"/>
    <n v="5"/>
    <s v="One Year"/>
    <x v="1"/>
    <x v="0"/>
    <n v="121.61"/>
    <n v="607.09"/>
    <x v="1"/>
    <s v="0-12 Months"/>
    <n v="1"/>
  </r>
  <r>
    <s v="CUST0454"/>
    <s v="Female"/>
    <n v="46"/>
    <n v="48"/>
    <s v="Month-to-Month"/>
    <x v="2"/>
    <x v="0"/>
    <n v="76.819999999999993"/>
    <n v="4046.13"/>
    <x v="0"/>
    <s v="25-48 Months"/>
    <n v="0"/>
  </r>
  <r>
    <s v="CUST0455"/>
    <s v="Male"/>
    <n v="25"/>
    <n v="37"/>
    <s v="Month-to-Month"/>
    <x v="4"/>
    <x v="1"/>
    <n v="101.61"/>
    <n v="3592.85"/>
    <x v="0"/>
    <s v="25-48 Months"/>
    <n v="0"/>
  </r>
  <r>
    <s v="CUST0456"/>
    <s v="Male"/>
    <n v="22"/>
    <n v="44"/>
    <s v="Two Year"/>
    <x v="0"/>
    <x v="1"/>
    <n v="104.17"/>
    <n v="4487.6099999999997"/>
    <x v="0"/>
    <s v="25-48 Months"/>
    <n v="0"/>
  </r>
  <r>
    <s v="CUST0457"/>
    <s v="Female"/>
    <n v="46"/>
    <n v="15"/>
    <s v="One Year"/>
    <x v="3"/>
    <x v="0"/>
    <n v="129.69"/>
    <n v="2018.18"/>
    <x v="0"/>
    <s v="13-24 Months"/>
    <n v="0"/>
  </r>
  <r>
    <s v="CUST0458"/>
    <s v="Female"/>
    <n v="64"/>
    <n v="43"/>
    <s v="Two Year"/>
    <x v="0"/>
    <x v="2"/>
    <n v="62.24"/>
    <n v="2844.82"/>
    <x v="0"/>
    <s v="25-48 Months"/>
    <n v="0"/>
  </r>
  <r>
    <s v="CUST0459"/>
    <s v="Male"/>
    <n v="21"/>
    <n v="48"/>
    <s v="Month-to-Month"/>
    <x v="0"/>
    <x v="1"/>
    <n v="109.35"/>
    <n v="5162.08"/>
    <x v="0"/>
    <s v="25-48 Months"/>
    <n v="0"/>
  </r>
  <r>
    <s v="CUST0460"/>
    <s v="Male"/>
    <n v="29"/>
    <n v="70"/>
    <s v="Month-to-Month"/>
    <x v="1"/>
    <x v="1"/>
    <n v="145.01"/>
    <n v="9764.2999999999993"/>
    <x v="0"/>
    <s v="49+ Months"/>
    <n v="0"/>
  </r>
  <r>
    <s v="CUST0461"/>
    <s v="Female"/>
    <n v="62"/>
    <n v="46"/>
    <s v="Month-to-Month"/>
    <x v="1"/>
    <x v="2"/>
    <n v="114.93"/>
    <n v="5749.72"/>
    <x v="1"/>
    <s v="25-48 Months"/>
    <n v="1"/>
  </r>
  <r>
    <s v="CUST0462"/>
    <s v="Male"/>
    <n v="19"/>
    <n v="43"/>
    <s v="Month-to-Month"/>
    <x v="0"/>
    <x v="1"/>
    <n v="83.68"/>
    <n v="3725.72"/>
    <x v="0"/>
    <s v="25-48 Months"/>
    <n v="0"/>
  </r>
  <r>
    <s v="CUST0463"/>
    <s v="Female"/>
    <n v="44"/>
    <n v="21"/>
    <s v="Two Year"/>
    <x v="0"/>
    <x v="0"/>
    <n v="101.99"/>
    <n v="1978.59"/>
    <x v="0"/>
    <s v="13-24 Months"/>
    <n v="0"/>
  </r>
  <r>
    <s v="CUST0464"/>
    <s v="Male"/>
    <n v="48"/>
    <n v="23"/>
    <s v="Month-to-Month"/>
    <x v="0"/>
    <x v="0"/>
    <n v="116.16"/>
    <n v="2441.34"/>
    <x v="1"/>
    <s v="13-24 Months"/>
    <n v="1"/>
  </r>
  <r>
    <s v="CUST0465"/>
    <s v="Female"/>
    <n v="68"/>
    <n v="47"/>
    <s v="Two Year"/>
    <x v="3"/>
    <x v="2"/>
    <n v="99.6"/>
    <n v="4665.8"/>
    <x v="0"/>
    <s v="25-48 Months"/>
    <n v="0"/>
  </r>
  <r>
    <s v="CUST0466"/>
    <s v="Male"/>
    <n v="68"/>
    <n v="15"/>
    <s v="One Year"/>
    <x v="0"/>
    <x v="2"/>
    <n v="22.17"/>
    <n v="313.93"/>
    <x v="0"/>
    <s v="13-24 Months"/>
    <n v="0"/>
  </r>
  <r>
    <s v="CUST0467"/>
    <s v="Female"/>
    <n v="53"/>
    <n v="25"/>
    <s v="Month-to-Month"/>
    <x v="3"/>
    <x v="2"/>
    <n v="45.32"/>
    <n v="1077.25"/>
    <x v="0"/>
    <s v="25-48 Months"/>
    <n v="0"/>
  </r>
  <r>
    <s v="CUST0468"/>
    <s v="Male"/>
    <n v="53"/>
    <n v="36"/>
    <s v="Month-to-Month"/>
    <x v="0"/>
    <x v="2"/>
    <n v="125.36"/>
    <n v="4853.8599999999997"/>
    <x v="1"/>
    <s v="25-48 Months"/>
    <n v="1"/>
  </r>
  <r>
    <s v="CUST0469"/>
    <s v="Male"/>
    <n v="43"/>
    <n v="51"/>
    <s v="One Year"/>
    <x v="3"/>
    <x v="0"/>
    <n v="55.44"/>
    <n v="2595.34"/>
    <x v="0"/>
    <s v="49+ Months"/>
    <n v="0"/>
  </r>
  <r>
    <s v="CUST0470"/>
    <s v="Female"/>
    <n v="60"/>
    <n v="15"/>
    <s v="Month-to-Month"/>
    <x v="3"/>
    <x v="2"/>
    <n v="115.1"/>
    <n v="1800.87"/>
    <x v="1"/>
    <s v="13-24 Months"/>
    <n v="1"/>
  </r>
  <r>
    <s v="CUST0471"/>
    <s v="Male"/>
    <n v="44"/>
    <n v="68"/>
    <s v="Two Year"/>
    <x v="0"/>
    <x v="0"/>
    <n v="68.38"/>
    <n v="4437.01"/>
    <x v="1"/>
    <s v="49+ Months"/>
    <n v="1"/>
  </r>
  <r>
    <s v="CUST0472"/>
    <s v="Female"/>
    <n v="22"/>
    <n v="21"/>
    <s v="Month-to-Month"/>
    <x v="3"/>
    <x v="1"/>
    <n v="87.84"/>
    <n v="1940.68"/>
    <x v="1"/>
    <s v="13-24 Months"/>
    <n v="1"/>
  </r>
  <r>
    <s v="CUST0473"/>
    <s v="Male"/>
    <n v="37"/>
    <n v="13"/>
    <s v="Month-to-Month"/>
    <x v="2"/>
    <x v="0"/>
    <n v="28.84"/>
    <n v="391.6"/>
    <x v="0"/>
    <s v="13-24 Months"/>
    <n v="0"/>
  </r>
  <r>
    <s v="CUST0474"/>
    <s v="Female"/>
    <n v="28"/>
    <n v="19"/>
    <s v="One Year"/>
    <x v="3"/>
    <x v="1"/>
    <n v="43.56"/>
    <n v="746.1"/>
    <x v="0"/>
    <s v="13-24 Months"/>
    <n v="0"/>
  </r>
  <r>
    <s v="CUST0475"/>
    <s v="Male"/>
    <n v="27"/>
    <n v="34"/>
    <s v="Two Year"/>
    <x v="1"/>
    <x v="1"/>
    <n v="144.44"/>
    <n v="4919.93"/>
    <x v="1"/>
    <s v="25-48 Months"/>
    <n v="1"/>
  </r>
  <r>
    <s v="CUST0476"/>
    <s v="Female"/>
    <n v="57"/>
    <n v="68"/>
    <s v="Month-to-Month"/>
    <x v="2"/>
    <x v="2"/>
    <n v="135.72"/>
    <n v="8563.2199999999993"/>
    <x v="0"/>
    <s v="49+ Months"/>
    <n v="0"/>
  </r>
  <r>
    <s v="CUST0477"/>
    <s v="Male"/>
    <n v="55"/>
    <n v="52"/>
    <s v="Two Year"/>
    <x v="1"/>
    <x v="2"/>
    <n v="104.8"/>
    <n v="5848.76"/>
    <x v="0"/>
    <s v="49+ Months"/>
    <n v="0"/>
  </r>
  <r>
    <s v="CUST0478"/>
    <s v="Female"/>
    <n v="23"/>
    <n v="27"/>
    <s v="Month-to-Month"/>
    <x v="3"/>
    <x v="1"/>
    <n v="79.75"/>
    <n v="2313.27"/>
    <x v="0"/>
    <s v="25-48 Months"/>
    <n v="0"/>
  </r>
  <r>
    <s v="CUST0479"/>
    <s v="Male"/>
    <n v="25"/>
    <n v="29"/>
    <s v="One Year"/>
    <x v="2"/>
    <x v="1"/>
    <n v="107.85"/>
    <n v="3076.57"/>
    <x v="0"/>
    <s v="25-48 Months"/>
    <n v="0"/>
  </r>
  <r>
    <s v="CUST0480"/>
    <s v="Female"/>
    <n v="40"/>
    <n v="28"/>
    <s v="One Year"/>
    <x v="0"/>
    <x v="0"/>
    <n v="100.42"/>
    <n v="2780.49"/>
    <x v="0"/>
    <s v="25-48 Months"/>
    <n v="0"/>
  </r>
  <r>
    <s v="CUST0481"/>
    <s v="Female"/>
    <n v="64"/>
    <n v="35"/>
    <s v="Month-to-Month"/>
    <x v="1"/>
    <x v="2"/>
    <n v="93.91"/>
    <n v="3157.53"/>
    <x v="0"/>
    <s v="25-48 Months"/>
    <n v="0"/>
  </r>
  <r>
    <s v="CUST0482"/>
    <s v="Female"/>
    <n v="43"/>
    <n v="8"/>
    <s v="Month-to-Month"/>
    <x v="3"/>
    <x v="0"/>
    <n v="27.69"/>
    <n v="231.12"/>
    <x v="0"/>
    <s v="0-12 Months"/>
    <n v="0"/>
  </r>
  <r>
    <s v="CUST0483"/>
    <s v="Male"/>
    <n v="63"/>
    <n v="16"/>
    <s v="One Year"/>
    <x v="0"/>
    <x v="2"/>
    <n v="102.26"/>
    <n v="1589.91"/>
    <x v="0"/>
    <s v="13-24 Months"/>
    <n v="0"/>
  </r>
  <r>
    <s v="CUST0484"/>
    <s v="Female"/>
    <n v="60"/>
    <n v="36"/>
    <s v="Month-to-Month"/>
    <x v="2"/>
    <x v="2"/>
    <n v="119.96"/>
    <n v="4118"/>
    <x v="0"/>
    <s v="25-48 Months"/>
    <n v="0"/>
  </r>
  <r>
    <s v="CUST0485"/>
    <s v="Male"/>
    <n v="29"/>
    <n v="30"/>
    <s v="One Year"/>
    <x v="2"/>
    <x v="1"/>
    <n v="149.22999999999999"/>
    <n v="4416.22"/>
    <x v="0"/>
    <s v="25-48 Months"/>
    <n v="0"/>
  </r>
  <r>
    <s v="CUST0486"/>
    <s v="Female"/>
    <n v="43"/>
    <n v="18"/>
    <s v="Month-to-Month"/>
    <x v="0"/>
    <x v="0"/>
    <n v="21.44"/>
    <n v="354.39"/>
    <x v="0"/>
    <s v="13-24 Months"/>
    <n v="0"/>
  </r>
  <r>
    <s v="CUST0487"/>
    <s v="Male"/>
    <n v="30"/>
    <n v="2"/>
    <s v="Two Year"/>
    <x v="0"/>
    <x v="0"/>
    <n v="114.92"/>
    <n v="241.18"/>
    <x v="1"/>
    <s v="0-12 Months"/>
    <n v="1"/>
  </r>
  <r>
    <s v="CUST0488"/>
    <s v="Female"/>
    <n v="57"/>
    <n v="49"/>
    <s v="One Year"/>
    <x v="3"/>
    <x v="2"/>
    <n v="94.33"/>
    <n v="4171.6000000000004"/>
    <x v="0"/>
    <s v="49+ Months"/>
    <n v="0"/>
  </r>
  <r>
    <s v="CUST0489"/>
    <s v="Male"/>
    <n v="35"/>
    <n v="4"/>
    <s v="Two Year"/>
    <x v="2"/>
    <x v="0"/>
    <n v="76.430000000000007"/>
    <n v="314.55"/>
    <x v="0"/>
    <s v="0-12 Months"/>
    <n v="0"/>
  </r>
  <r>
    <s v="CUST0490"/>
    <s v="Male"/>
    <n v="42"/>
    <n v="7"/>
    <s v="Month-to-Month"/>
    <x v="1"/>
    <x v="0"/>
    <n v="36.58"/>
    <n v="239.82"/>
    <x v="1"/>
    <s v="0-12 Months"/>
    <n v="1"/>
  </r>
  <r>
    <s v="CUST0491"/>
    <s v="Female"/>
    <n v="50"/>
    <n v="39"/>
    <s v="One Year"/>
    <x v="2"/>
    <x v="2"/>
    <n v="73.180000000000007"/>
    <n v="2701.28"/>
    <x v="0"/>
    <s v="25-48 Months"/>
    <n v="0"/>
  </r>
  <r>
    <s v="CUST0492"/>
    <s v="Male"/>
    <n v="64"/>
    <n v="13"/>
    <s v="One Year"/>
    <x v="2"/>
    <x v="2"/>
    <n v="66.069999999999993"/>
    <n v="882.21"/>
    <x v="0"/>
    <s v="13-24 Months"/>
    <n v="0"/>
  </r>
  <r>
    <s v="CUST0493"/>
    <s v="Male"/>
    <n v="57"/>
    <n v="31"/>
    <s v="Month-to-Month"/>
    <x v="0"/>
    <x v="2"/>
    <n v="59.37"/>
    <n v="2021.92"/>
    <x v="0"/>
    <s v="25-48 Months"/>
    <n v="0"/>
  </r>
  <r>
    <s v="CUST0494"/>
    <s v="Female"/>
    <n v="60"/>
    <n v="71"/>
    <s v="Month-to-Month"/>
    <x v="0"/>
    <x v="2"/>
    <n v="115.01"/>
    <n v="8619.26"/>
    <x v="0"/>
    <s v="49+ Months"/>
    <n v="0"/>
  </r>
  <r>
    <s v="CUST0495"/>
    <s v="Male"/>
    <n v="29"/>
    <n v="63"/>
    <s v="Month-to-Month"/>
    <x v="1"/>
    <x v="1"/>
    <n v="111.09"/>
    <n v="6614.92"/>
    <x v="0"/>
    <s v="49+ Months"/>
    <n v="0"/>
  </r>
  <r>
    <s v="CUST0496"/>
    <s v="Male"/>
    <n v="61"/>
    <n v="56"/>
    <s v="One Year"/>
    <x v="3"/>
    <x v="2"/>
    <n v="96.57"/>
    <n v="5057.51"/>
    <x v="0"/>
    <s v="49+ Months"/>
    <n v="0"/>
  </r>
  <r>
    <s v="CUST0497"/>
    <s v="Male"/>
    <n v="53"/>
    <n v="42"/>
    <s v="Month-to-Month"/>
    <x v="1"/>
    <x v="2"/>
    <n v="142.03"/>
    <n v="6402.19"/>
    <x v="0"/>
    <s v="25-48 Months"/>
    <n v="0"/>
  </r>
  <r>
    <s v="CUST0498"/>
    <s v="Female"/>
    <n v="65"/>
    <n v="61"/>
    <s v="Month-to-Month"/>
    <x v="3"/>
    <x v="2"/>
    <n v="65.48"/>
    <n v="3949.69"/>
    <x v="0"/>
    <s v="49+ Months"/>
    <n v="0"/>
  </r>
  <r>
    <s v="CUST0499"/>
    <s v="Male"/>
    <n v="21"/>
    <n v="42"/>
    <s v="One Year"/>
    <x v="3"/>
    <x v="1"/>
    <n v="51.69"/>
    <n v="2013.39"/>
    <x v="0"/>
    <s v="25-48 Months"/>
    <n v="0"/>
  </r>
  <r>
    <s v="CUST0500"/>
    <s v="Female"/>
    <n v="22"/>
    <n v="56"/>
    <s v="Month-to-Month"/>
    <x v="0"/>
    <x v="1"/>
    <n v="105.27"/>
    <n v="6322.18"/>
    <x v="0"/>
    <s v="49+ Months"/>
    <n v="0"/>
  </r>
  <r>
    <s v="CUST0501"/>
    <s v="Male"/>
    <n v="54"/>
    <n v="36"/>
    <s v="Month-to-Month"/>
    <x v="3"/>
    <x v="2"/>
    <n v="45.85"/>
    <n v="1754.95"/>
    <x v="0"/>
    <s v="25-48 Months"/>
    <n v="0"/>
  </r>
  <r>
    <s v="CUST0502"/>
    <s v="Male"/>
    <n v="25"/>
    <n v="68"/>
    <s v="Two Year"/>
    <x v="1"/>
    <x v="1"/>
    <n v="60.95"/>
    <n v="4545.72"/>
    <x v="0"/>
    <s v="49+ Months"/>
    <n v="0"/>
  </r>
  <r>
    <s v="CUST0503"/>
    <s v="Male"/>
    <n v="59"/>
    <n v="7"/>
    <s v="Two Year"/>
    <x v="2"/>
    <x v="2"/>
    <n v="49.2"/>
    <n v="372.62"/>
    <x v="0"/>
    <s v="0-12 Months"/>
    <n v="0"/>
  </r>
  <r>
    <s v="CUST0504"/>
    <s v="Female"/>
    <n v="66"/>
    <n v="54"/>
    <s v="Month-to-Month"/>
    <x v="1"/>
    <x v="2"/>
    <n v="28.99"/>
    <n v="1675.6"/>
    <x v="1"/>
    <s v="49+ Months"/>
    <n v="1"/>
  </r>
  <r>
    <s v="CUST0505"/>
    <s v="Male"/>
    <n v="45"/>
    <n v="1"/>
    <s v="Month-to-Month"/>
    <x v="2"/>
    <x v="0"/>
    <n v="127.57"/>
    <n v="116.15"/>
    <x v="1"/>
    <s v="0-12 Months"/>
    <n v="1"/>
  </r>
  <r>
    <s v="CUST0506"/>
    <s v="Male"/>
    <n v="48"/>
    <n v="44"/>
    <s v="One Year"/>
    <x v="0"/>
    <x v="0"/>
    <n v="53.09"/>
    <n v="2151.15"/>
    <x v="0"/>
    <s v="25-48 Months"/>
    <n v="0"/>
  </r>
  <r>
    <s v="CUST0507"/>
    <s v="Female"/>
    <n v="26"/>
    <n v="45"/>
    <s v="Month-to-Month"/>
    <x v="1"/>
    <x v="1"/>
    <n v="81.489999999999995"/>
    <n v="3717.64"/>
    <x v="0"/>
    <s v="25-48 Months"/>
    <n v="0"/>
  </r>
  <r>
    <s v="CUST0508"/>
    <s v="Male"/>
    <n v="68"/>
    <n v="47"/>
    <s v="Month-to-Month"/>
    <x v="2"/>
    <x v="2"/>
    <n v="25.63"/>
    <n v="1212.19"/>
    <x v="1"/>
    <s v="25-48 Months"/>
    <n v="1"/>
  </r>
  <r>
    <s v="CUST0509"/>
    <s v="Female"/>
    <n v="46"/>
    <n v="13"/>
    <s v="Month-to-Month"/>
    <x v="2"/>
    <x v="0"/>
    <n v="110.91"/>
    <n v="1429.71"/>
    <x v="1"/>
    <s v="13-24 Months"/>
    <n v="1"/>
  </r>
  <r>
    <s v="CUST0510"/>
    <s v="Female"/>
    <n v="31"/>
    <n v="22"/>
    <s v="Month-to-Month"/>
    <x v="3"/>
    <x v="0"/>
    <n v="62.97"/>
    <n v="1356.74"/>
    <x v="1"/>
    <s v="13-24 Months"/>
    <n v="1"/>
  </r>
  <r>
    <s v="CUST0511"/>
    <s v="Male"/>
    <n v="57"/>
    <n v="21"/>
    <s v="One Year"/>
    <x v="1"/>
    <x v="2"/>
    <n v="116.82"/>
    <n v="2419.4699999999998"/>
    <x v="0"/>
    <s v="13-24 Months"/>
    <n v="0"/>
  </r>
  <r>
    <s v="CUST0512"/>
    <s v="Female"/>
    <n v="58"/>
    <n v="9"/>
    <s v="Month-to-Month"/>
    <x v="2"/>
    <x v="2"/>
    <n v="73.61"/>
    <n v="671.67"/>
    <x v="1"/>
    <s v="0-12 Months"/>
    <n v="1"/>
  </r>
  <r>
    <s v="CUST0513"/>
    <s v="Male"/>
    <n v="39"/>
    <n v="26"/>
    <s v="One Year"/>
    <x v="1"/>
    <x v="0"/>
    <n v="45.45"/>
    <n v="1064.02"/>
    <x v="0"/>
    <s v="25-48 Months"/>
    <n v="0"/>
  </r>
  <r>
    <s v="CUST0514"/>
    <s v="Female"/>
    <n v="28"/>
    <n v="9"/>
    <s v="Two Year"/>
    <x v="0"/>
    <x v="1"/>
    <n v="86.71"/>
    <n v="743.04"/>
    <x v="0"/>
    <s v="0-12 Months"/>
    <n v="0"/>
  </r>
  <r>
    <s v="CUST0515"/>
    <s v="Female"/>
    <n v="40"/>
    <n v="15"/>
    <s v="Month-to-Month"/>
    <x v="0"/>
    <x v="0"/>
    <n v="36.97"/>
    <n v="556.58000000000004"/>
    <x v="0"/>
    <s v="13-24 Months"/>
    <n v="0"/>
  </r>
  <r>
    <s v="CUST0516"/>
    <s v="Male"/>
    <n v="18"/>
    <n v="10"/>
    <s v="One Year"/>
    <x v="3"/>
    <x v="1"/>
    <n v="77.27"/>
    <n v="807.04"/>
    <x v="0"/>
    <s v="0-12 Months"/>
    <n v="0"/>
  </r>
  <r>
    <s v="CUST0517"/>
    <s v="Female"/>
    <n v="63"/>
    <n v="42"/>
    <s v="Two Year"/>
    <x v="1"/>
    <x v="2"/>
    <n v="61.25"/>
    <n v="2404.85"/>
    <x v="0"/>
    <s v="25-48 Months"/>
    <n v="0"/>
  </r>
  <r>
    <s v="CUST0518"/>
    <s v="Female"/>
    <n v="54"/>
    <n v="72"/>
    <s v="Month-to-Month"/>
    <x v="0"/>
    <x v="2"/>
    <n v="138.55000000000001"/>
    <n v="10069.129999999999"/>
    <x v="0"/>
    <s v="49+ Months"/>
    <n v="0"/>
  </r>
  <r>
    <s v="CUST0519"/>
    <s v="Female"/>
    <n v="38"/>
    <n v="24"/>
    <s v="Month-to-Month"/>
    <x v="3"/>
    <x v="0"/>
    <n v="27.92"/>
    <n v="698.82"/>
    <x v="0"/>
    <s v="13-24 Months"/>
    <n v="0"/>
  </r>
  <r>
    <s v="CUST0520"/>
    <s v="Female"/>
    <n v="43"/>
    <n v="49"/>
    <s v="One Year"/>
    <x v="3"/>
    <x v="0"/>
    <n v="110.22"/>
    <n v="5340.97"/>
    <x v="0"/>
    <s v="49+ Months"/>
    <n v="0"/>
  </r>
  <r>
    <s v="CUST0521"/>
    <s v="Female"/>
    <n v="63"/>
    <n v="26"/>
    <s v="One Year"/>
    <x v="2"/>
    <x v="2"/>
    <n v="43.76"/>
    <n v="1030.1500000000001"/>
    <x v="0"/>
    <s v="25-48 Months"/>
    <n v="0"/>
  </r>
  <r>
    <s v="CUST0522"/>
    <s v="Male"/>
    <n v="53"/>
    <n v="37"/>
    <s v="Two Year"/>
    <x v="2"/>
    <x v="2"/>
    <n v="61.48"/>
    <n v="2251.6799999999998"/>
    <x v="0"/>
    <s v="25-48 Months"/>
    <n v="0"/>
  </r>
  <r>
    <s v="CUST0523"/>
    <s v="Female"/>
    <n v="40"/>
    <n v="68"/>
    <s v="Month-to-Month"/>
    <x v="2"/>
    <x v="0"/>
    <n v="74.02"/>
    <n v="4828.45"/>
    <x v="1"/>
    <s v="49+ Months"/>
    <n v="1"/>
  </r>
  <r>
    <s v="CUST0524"/>
    <s v="Male"/>
    <n v="18"/>
    <n v="50"/>
    <s v="Two Year"/>
    <x v="1"/>
    <x v="1"/>
    <n v="138.04"/>
    <n v="7495.09"/>
    <x v="0"/>
    <s v="49+ Months"/>
    <n v="0"/>
  </r>
  <r>
    <s v="CUST0525"/>
    <s v="Female"/>
    <n v="68"/>
    <n v="24"/>
    <s v="Month-to-Month"/>
    <x v="1"/>
    <x v="2"/>
    <n v="51.54"/>
    <n v="1144.0899999999999"/>
    <x v="0"/>
    <s v="13-24 Months"/>
    <n v="0"/>
  </r>
  <r>
    <s v="CUST0526"/>
    <s v="Male"/>
    <n v="57"/>
    <n v="19"/>
    <s v="Month-to-Month"/>
    <x v="1"/>
    <x v="2"/>
    <n v="31.87"/>
    <n v="624"/>
    <x v="0"/>
    <s v="13-24 Months"/>
    <n v="0"/>
  </r>
  <r>
    <s v="CUST0527"/>
    <s v="Male"/>
    <n v="32"/>
    <n v="60"/>
    <s v="One Year"/>
    <x v="3"/>
    <x v="0"/>
    <n v="61.43"/>
    <n v="3356.08"/>
    <x v="0"/>
    <s v="49+ Months"/>
    <n v="0"/>
  </r>
  <r>
    <s v="CUST0528"/>
    <s v="Female"/>
    <n v="38"/>
    <n v="39"/>
    <s v="Month-to-Month"/>
    <x v="1"/>
    <x v="0"/>
    <n v="33.61"/>
    <n v="1296.68"/>
    <x v="0"/>
    <s v="25-48 Months"/>
    <n v="0"/>
  </r>
  <r>
    <s v="CUST0529"/>
    <s v="Female"/>
    <n v="64"/>
    <n v="18"/>
    <s v="Month-to-Month"/>
    <x v="2"/>
    <x v="2"/>
    <n v="36.72"/>
    <n v="668.1"/>
    <x v="0"/>
    <s v="13-24 Months"/>
    <n v="0"/>
  </r>
  <r>
    <s v="CUST0530"/>
    <s v="Female"/>
    <n v="26"/>
    <n v="19"/>
    <s v="Month-to-Month"/>
    <x v="2"/>
    <x v="1"/>
    <n v="94.6"/>
    <n v="1724.77"/>
    <x v="1"/>
    <s v="13-24 Months"/>
    <n v="1"/>
  </r>
  <r>
    <s v="CUST0531"/>
    <s v="Male"/>
    <n v="70"/>
    <n v="36"/>
    <s v="Month-to-Month"/>
    <x v="0"/>
    <x v="2"/>
    <n v="27.92"/>
    <n v="996.09"/>
    <x v="0"/>
    <s v="25-48 Months"/>
    <n v="0"/>
  </r>
  <r>
    <s v="CUST0532"/>
    <s v="Female"/>
    <n v="26"/>
    <n v="55"/>
    <s v="Month-to-Month"/>
    <x v="0"/>
    <x v="1"/>
    <n v="24.02"/>
    <n v="1232.2"/>
    <x v="1"/>
    <s v="49+ Months"/>
    <n v="1"/>
  </r>
  <r>
    <s v="CUST0533"/>
    <s v="Male"/>
    <n v="27"/>
    <n v="69"/>
    <s v="Two Year"/>
    <x v="1"/>
    <x v="1"/>
    <n v="112.87"/>
    <n v="7482.93"/>
    <x v="1"/>
    <s v="49+ Months"/>
    <n v="1"/>
  </r>
  <r>
    <s v="CUST0534"/>
    <s v="Male"/>
    <n v="69"/>
    <n v="47"/>
    <s v="Month-to-Month"/>
    <x v="3"/>
    <x v="2"/>
    <n v="67.010000000000005"/>
    <n v="3225.75"/>
    <x v="0"/>
    <s v="25-48 Months"/>
    <n v="0"/>
  </r>
  <r>
    <s v="CUST0535"/>
    <s v="Male"/>
    <n v="70"/>
    <n v="49"/>
    <s v="One Year"/>
    <x v="2"/>
    <x v="2"/>
    <n v="36.299999999999997"/>
    <n v="1708.19"/>
    <x v="0"/>
    <s v="49+ Months"/>
    <n v="0"/>
  </r>
  <r>
    <s v="CUST0536"/>
    <s v="Female"/>
    <n v="43"/>
    <n v="33"/>
    <s v="One Year"/>
    <x v="0"/>
    <x v="0"/>
    <n v="52.97"/>
    <n v="1887.76"/>
    <x v="0"/>
    <s v="25-48 Months"/>
    <n v="0"/>
  </r>
  <r>
    <s v="CUST0537"/>
    <s v="Female"/>
    <n v="58"/>
    <n v="21"/>
    <s v="Two Year"/>
    <x v="1"/>
    <x v="2"/>
    <n v="103.47"/>
    <n v="2228.67"/>
    <x v="0"/>
    <s v="13-24 Months"/>
    <n v="0"/>
  </r>
  <r>
    <s v="CUST0538"/>
    <s v="Male"/>
    <n v="52"/>
    <n v="22"/>
    <s v="Month-to-Month"/>
    <x v="0"/>
    <x v="2"/>
    <n v="55.82"/>
    <n v="1212.97"/>
    <x v="0"/>
    <s v="13-24 Months"/>
    <n v="0"/>
  </r>
  <r>
    <s v="CUST0539"/>
    <s v="Male"/>
    <n v="69"/>
    <n v="48"/>
    <s v="Two Year"/>
    <x v="2"/>
    <x v="2"/>
    <n v="84.29"/>
    <n v="3672.69"/>
    <x v="0"/>
    <s v="25-48 Months"/>
    <n v="0"/>
  </r>
  <r>
    <s v="CUST0540"/>
    <s v="Female"/>
    <n v="42"/>
    <n v="37"/>
    <s v="Month-to-Month"/>
    <x v="0"/>
    <x v="0"/>
    <n v="35.82"/>
    <n v="1325.22"/>
    <x v="0"/>
    <s v="25-48 Months"/>
    <n v="0"/>
  </r>
  <r>
    <s v="CUST0541"/>
    <s v="Male"/>
    <n v="43"/>
    <n v="15"/>
    <s v="One Year"/>
    <x v="2"/>
    <x v="0"/>
    <n v="96.45"/>
    <n v="1523.36"/>
    <x v="0"/>
    <s v="13-24 Months"/>
    <n v="0"/>
  </r>
  <r>
    <s v="CUST0542"/>
    <s v="Female"/>
    <n v="28"/>
    <n v="35"/>
    <s v="One Year"/>
    <x v="3"/>
    <x v="1"/>
    <n v="61.09"/>
    <n v="2037.9"/>
    <x v="0"/>
    <s v="25-48 Months"/>
    <n v="0"/>
  </r>
  <r>
    <s v="CUST0543"/>
    <s v="Male"/>
    <n v="55"/>
    <n v="71"/>
    <s v="Two Year"/>
    <x v="2"/>
    <x v="2"/>
    <n v="101.51"/>
    <n v="7649.41"/>
    <x v="0"/>
    <s v="49+ Months"/>
    <n v="0"/>
  </r>
  <r>
    <s v="CUST0544"/>
    <s v="Female"/>
    <n v="19"/>
    <n v="32"/>
    <s v="Month-to-Month"/>
    <x v="0"/>
    <x v="1"/>
    <n v="125.09"/>
    <n v="3804.18"/>
    <x v="0"/>
    <s v="25-48 Months"/>
    <n v="0"/>
  </r>
  <r>
    <s v="CUST0545"/>
    <s v="Male"/>
    <n v="24"/>
    <n v="11"/>
    <s v="One Year"/>
    <x v="0"/>
    <x v="1"/>
    <n v="99.51"/>
    <n v="1165.49"/>
    <x v="0"/>
    <s v="0-12 Months"/>
    <n v="0"/>
  </r>
  <r>
    <s v="CUST0546"/>
    <s v="Female"/>
    <n v="35"/>
    <n v="10"/>
    <s v="Month-to-Month"/>
    <x v="3"/>
    <x v="0"/>
    <n v="58.45"/>
    <n v="536.02"/>
    <x v="0"/>
    <s v="0-12 Months"/>
    <n v="0"/>
  </r>
  <r>
    <s v="CUST0547"/>
    <s v="Male"/>
    <n v="44"/>
    <n v="57"/>
    <s v="One Year"/>
    <x v="2"/>
    <x v="0"/>
    <n v="53.25"/>
    <n v="3257.54"/>
    <x v="1"/>
    <s v="49+ Months"/>
    <n v="1"/>
  </r>
  <r>
    <s v="CUST0548"/>
    <s v="Female"/>
    <n v="51"/>
    <n v="25"/>
    <s v="Two Year"/>
    <x v="2"/>
    <x v="2"/>
    <n v="62.56"/>
    <n v="1563.75"/>
    <x v="0"/>
    <s v="25-48 Months"/>
    <n v="0"/>
  </r>
  <r>
    <s v="CUST0549"/>
    <s v="Female"/>
    <n v="44"/>
    <n v="2"/>
    <s v="Month-to-Month"/>
    <x v="2"/>
    <x v="0"/>
    <n v="41.4"/>
    <n v="79.430000000000007"/>
    <x v="0"/>
    <s v="0-12 Months"/>
    <n v="0"/>
  </r>
  <r>
    <s v="CUST0550"/>
    <s v="Male"/>
    <n v="34"/>
    <n v="64"/>
    <s v="Two Year"/>
    <x v="2"/>
    <x v="0"/>
    <n v="43.55"/>
    <n v="2656.26"/>
    <x v="0"/>
    <s v="49+ Months"/>
    <n v="0"/>
  </r>
  <r>
    <s v="CUST0551"/>
    <s v="Male"/>
    <n v="60"/>
    <n v="35"/>
    <s v="Month-to-Month"/>
    <x v="2"/>
    <x v="2"/>
    <n v="122.79"/>
    <n v="4239.21"/>
    <x v="1"/>
    <s v="25-48 Months"/>
    <n v="1"/>
  </r>
  <r>
    <s v="CUST0552"/>
    <s v="Female"/>
    <n v="61"/>
    <n v="7"/>
    <s v="Month-to-Month"/>
    <x v="1"/>
    <x v="2"/>
    <n v="70.02"/>
    <n v="539.05999999999995"/>
    <x v="1"/>
    <s v="0-12 Months"/>
    <n v="1"/>
  </r>
  <r>
    <s v="CUST0553"/>
    <s v="Male"/>
    <n v="68"/>
    <n v="18"/>
    <s v="Month-to-Month"/>
    <x v="2"/>
    <x v="2"/>
    <n v="76.680000000000007"/>
    <n v="1303.04"/>
    <x v="1"/>
    <s v="13-24 Months"/>
    <n v="1"/>
  </r>
  <r>
    <s v="CUST0554"/>
    <s v="Female"/>
    <n v="41"/>
    <n v="67"/>
    <s v="Month-to-Month"/>
    <x v="2"/>
    <x v="0"/>
    <n v="97.23"/>
    <n v="5997.45"/>
    <x v="0"/>
    <s v="49+ Months"/>
    <n v="0"/>
  </r>
  <r>
    <s v="CUST0555"/>
    <s v="Male"/>
    <n v="42"/>
    <n v="42"/>
    <s v="One Year"/>
    <x v="3"/>
    <x v="0"/>
    <n v="96.65"/>
    <n v="4128.34"/>
    <x v="0"/>
    <s v="25-48 Months"/>
    <n v="0"/>
  </r>
  <r>
    <s v="CUST0556"/>
    <s v="Female"/>
    <n v="24"/>
    <n v="39"/>
    <s v="Month-to-Month"/>
    <x v="0"/>
    <x v="1"/>
    <n v="28.76"/>
    <n v="1119.07"/>
    <x v="0"/>
    <s v="25-48 Months"/>
    <n v="0"/>
  </r>
  <r>
    <s v="CUST0557"/>
    <s v="Female"/>
    <n v="69"/>
    <n v="41"/>
    <s v="Month-to-Month"/>
    <x v="0"/>
    <x v="2"/>
    <n v="128.1"/>
    <n v="5277.52"/>
    <x v="1"/>
    <s v="25-48 Months"/>
    <n v="1"/>
  </r>
  <r>
    <s v="CUST0558"/>
    <s v="Female"/>
    <n v="23"/>
    <n v="24"/>
    <s v="Two Year"/>
    <x v="2"/>
    <x v="1"/>
    <n v="43.05"/>
    <n v="1067.7"/>
    <x v="0"/>
    <s v="13-24 Months"/>
    <n v="0"/>
  </r>
  <r>
    <s v="CUST0559"/>
    <s v="Female"/>
    <n v="70"/>
    <n v="60"/>
    <s v="Two Year"/>
    <x v="3"/>
    <x v="2"/>
    <n v="114"/>
    <n v="6521.45"/>
    <x v="0"/>
    <s v="49+ Months"/>
    <n v="0"/>
  </r>
  <r>
    <s v="CUST0560"/>
    <s v="Female"/>
    <n v="41"/>
    <n v="46"/>
    <s v="Two Year"/>
    <x v="2"/>
    <x v="0"/>
    <n v="120.45"/>
    <n v="5995.77"/>
    <x v="0"/>
    <s v="25-48 Months"/>
    <n v="0"/>
  </r>
  <r>
    <s v="CUST0561"/>
    <s v="Female"/>
    <n v="50"/>
    <n v="19"/>
    <s v="Two Year"/>
    <x v="3"/>
    <x v="2"/>
    <n v="112.94"/>
    <n v="2118.25"/>
    <x v="0"/>
    <s v="13-24 Months"/>
    <n v="0"/>
  </r>
  <r>
    <s v="CUST0562"/>
    <s v="Male"/>
    <n v="66"/>
    <n v="68"/>
    <s v="One Year"/>
    <x v="1"/>
    <x v="2"/>
    <n v="95.27"/>
    <n v="5997.78"/>
    <x v="0"/>
    <s v="49+ Months"/>
    <n v="0"/>
  </r>
  <r>
    <s v="CUST0563"/>
    <s v="Male"/>
    <n v="46"/>
    <n v="42"/>
    <s v="Month-to-Month"/>
    <x v="2"/>
    <x v="0"/>
    <n v="21.9"/>
    <n v="964.37"/>
    <x v="0"/>
    <s v="25-48 Months"/>
    <n v="0"/>
  </r>
  <r>
    <s v="CUST0564"/>
    <s v="Male"/>
    <n v="60"/>
    <n v="32"/>
    <s v="Month-to-Month"/>
    <x v="3"/>
    <x v="2"/>
    <n v="66.849999999999994"/>
    <n v="2200.4299999999998"/>
    <x v="0"/>
    <s v="25-48 Months"/>
    <n v="0"/>
  </r>
  <r>
    <s v="CUST0565"/>
    <s v="Female"/>
    <n v="39"/>
    <n v="39"/>
    <s v="One Year"/>
    <x v="2"/>
    <x v="0"/>
    <n v="98.63"/>
    <n v="3704.82"/>
    <x v="0"/>
    <s v="25-48 Months"/>
    <n v="0"/>
  </r>
  <r>
    <s v="CUST0566"/>
    <s v="Female"/>
    <n v="43"/>
    <n v="36"/>
    <s v="Month-to-Month"/>
    <x v="2"/>
    <x v="0"/>
    <n v="70.37"/>
    <n v="2594.89"/>
    <x v="0"/>
    <s v="25-48 Months"/>
    <n v="0"/>
  </r>
  <r>
    <s v="CUST0567"/>
    <s v="Female"/>
    <n v="45"/>
    <n v="36"/>
    <s v="One Year"/>
    <x v="3"/>
    <x v="0"/>
    <n v="132.25"/>
    <n v="4494.25"/>
    <x v="0"/>
    <s v="25-48 Months"/>
    <n v="0"/>
  </r>
  <r>
    <s v="CUST0568"/>
    <s v="Female"/>
    <n v="67"/>
    <n v="3"/>
    <s v="Month-to-Month"/>
    <x v="1"/>
    <x v="2"/>
    <n v="60.14"/>
    <n v="178.43"/>
    <x v="0"/>
    <s v="0-12 Months"/>
    <n v="0"/>
  </r>
  <r>
    <s v="CUST0569"/>
    <s v="Male"/>
    <n v="38"/>
    <n v="8"/>
    <s v="Month-to-Month"/>
    <x v="1"/>
    <x v="0"/>
    <n v="58.16"/>
    <n v="502.45"/>
    <x v="0"/>
    <s v="0-12 Months"/>
    <n v="0"/>
  </r>
  <r>
    <s v="CUST0570"/>
    <s v="Male"/>
    <n v="66"/>
    <n v="70"/>
    <s v="Month-to-Month"/>
    <x v="2"/>
    <x v="2"/>
    <n v="54.58"/>
    <n v="3540.58"/>
    <x v="1"/>
    <s v="49+ Months"/>
    <n v="1"/>
  </r>
  <r>
    <s v="CUST0571"/>
    <s v="Female"/>
    <n v="24"/>
    <n v="41"/>
    <s v="One Year"/>
    <x v="0"/>
    <x v="1"/>
    <n v="63.26"/>
    <n v="2534.89"/>
    <x v="0"/>
    <s v="25-48 Months"/>
    <n v="0"/>
  </r>
  <r>
    <s v="CUST0572"/>
    <s v="Male"/>
    <n v="34"/>
    <n v="68"/>
    <s v="One Year"/>
    <x v="1"/>
    <x v="0"/>
    <n v="92.46"/>
    <n v="6691.1"/>
    <x v="0"/>
    <s v="49+ Months"/>
    <n v="0"/>
  </r>
  <r>
    <s v="CUST0573"/>
    <s v="Male"/>
    <n v="37"/>
    <n v="13"/>
    <s v="One Year"/>
    <x v="2"/>
    <x v="0"/>
    <n v="111.91"/>
    <n v="1591.44"/>
    <x v="0"/>
    <s v="13-24 Months"/>
    <n v="0"/>
  </r>
  <r>
    <s v="CUST0574"/>
    <s v="Female"/>
    <n v="58"/>
    <n v="49"/>
    <s v="Month-to-Month"/>
    <x v="2"/>
    <x v="2"/>
    <n v="106.13"/>
    <n v="5152.45"/>
    <x v="1"/>
    <s v="49+ Months"/>
    <n v="1"/>
  </r>
  <r>
    <s v="CUST0575"/>
    <s v="Male"/>
    <n v="66"/>
    <n v="60"/>
    <s v="Month-to-Month"/>
    <x v="2"/>
    <x v="2"/>
    <n v="125"/>
    <n v="7510.5"/>
    <x v="1"/>
    <s v="49+ Months"/>
    <n v="1"/>
  </r>
  <r>
    <s v="CUST0576"/>
    <s v="Female"/>
    <n v="37"/>
    <n v="2"/>
    <s v="Two Year"/>
    <x v="2"/>
    <x v="0"/>
    <n v="135.16999999999999"/>
    <n v="274.24"/>
    <x v="0"/>
    <s v="0-12 Months"/>
    <n v="0"/>
  </r>
  <r>
    <s v="CUST0577"/>
    <s v="Male"/>
    <n v="39"/>
    <n v="60"/>
    <s v="One Year"/>
    <x v="3"/>
    <x v="0"/>
    <n v="126.09"/>
    <n v="8219.58"/>
    <x v="1"/>
    <s v="49+ Months"/>
    <n v="1"/>
  </r>
  <r>
    <s v="CUST0578"/>
    <s v="Female"/>
    <n v="45"/>
    <n v="5"/>
    <s v="Month-to-Month"/>
    <x v="0"/>
    <x v="0"/>
    <n v="22.46"/>
    <n v="120.35"/>
    <x v="1"/>
    <s v="0-12 Months"/>
    <n v="1"/>
  </r>
  <r>
    <s v="CUST0579"/>
    <s v="Female"/>
    <n v="57"/>
    <n v="44"/>
    <s v="Two Year"/>
    <x v="3"/>
    <x v="2"/>
    <n v="115.67"/>
    <n v="4754.1899999999996"/>
    <x v="0"/>
    <s v="25-48 Months"/>
    <n v="0"/>
  </r>
  <r>
    <s v="CUST0580"/>
    <s v="Female"/>
    <n v="66"/>
    <n v="27"/>
    <s v="Month-to-Month"/>
    <x v="0"/>
    <x v="2"/>
    <n v="47.09"/>
    <n v="1255.3499999999999"/>
    <x v="0"/>
    <s v="25-48 Months"/>
    <n v="0"/>
  </r>
  <r>
    <s v="CUST0581"/>
    <s v="Female"/>
    <n v="24"/>
    <n v="32"/>
    <s v="Month-to-Month"/>
    <x v="1"/>
    <x v="1"/>
    <n v="83.07"/>
    <n v="1184.3699999999999"/>
    <x v="0"/>
    <s v="25-48 Months"/>
    <n v="0"/>
  </r>
  <r>
    <s v="CUST0582"/>
    <s v="Male"/>
    <n v="18"/>
    <n v="21"/>
    <s v="Month-to-Month"/>
    <x v="2"/>
    <x v="1"/>
    <n v="103"/>
    <n v="2288.06"/>
    <x v="0"/>
    <s v="13-24 Months"/>
    <n v="0"/>
  </r>
  <r>
    <s v="CUST0583"/>
    <s v="Female"/>
    <n v="49"/>
    <n v="8"/>
    <s v="One Year"/>
    <x v="0"/>
    <x v="0"/>
    <n v="61.57"/>
    <n v="502.7"/>
    <x v="0"/>
    <s v="0-12 Months"/>
    <n v="0"/>
  </r>
  <r>
    <s v="CUST0584"/>
    <s v="Female"/>
    <n v="30"/>
    <n v="72"/>
    <s v="One Year"/>
    <x v="2"/>
    <x v="0"/>
    <n v="27.43"/>
    <n v="2035.88"/>
    <x v="0"/>
    <s v="49+ Months"/>
    <n v="0"/>
  </r>
  <r>
    <s v="CUST0585"/>
    <s v="Female"/>
    <n v="47"/>
    <n v="50"/>
    <s v="Month-to-Month"/>
    <x v="2"/>
    <x v="0"/>
    <n v="37.89"/>
    <n v="2083.27"/>
    <x v="0"/>
    <s v="49+ Months"/>
    <n v="0"/>
  </r>
  <r>
    <s v="CUST0586"/>
    <s v="Male"/>
    <n v="40"/>
    <n v="67"/>
    <s v="Two Year"/>
    <x v="0"/>
    <x v="0"/>
    <n v="20.12"/>
    <n v="1233.45"/>
    <x v="0"/>
    <s v="49+ Months"/>
    <n v="0"/>
  </r>
  <r>
    <s v="CUST0587"/>
    <s v="Female"/>
    <n v="68"/>
    <n v="44"/>
    <s v="Month-to-Month"/>
    <x v="3"/>
    <x v="2"/>
    <n v="137.41999999999999"/>
    <n v="5711.52"/>
    <x v="0"/>
    <s v="25-48 Months"/>
    <n v="0"/>
  </r>
  <r>
    <s v="CUST0588"/>
    <s v="Male"/>
    <n v="36"/>
    <n v="58"/>
    <s v="Month-to-Month"/>
    <x v="1"/>
    <x v="0"/>
    <n v="23.2"/>
    <n v="1320.81"/>
    <x v="0"/>
    <s v="49+ Months"/>
    <n v="0"/>
  </r>
  <r>
    <s v="CUST0589"/>
    <s v="Female"/>
    <n v="49"/>
    <n v="3"/>
    <s v="Month-to-Month"/>
    <x v="2"/>
    <x v="0"/>
    <n v="47.23"/>
    <n v="137.38"/>
    <x v="0"/>
    <s v="0-12 Months"/>
    <n v="0"/>
  </r>
  <r>
    <s v="CUST0590"/>
    <s v="Male"/>
    <n v="47"/>
    <n v="70"/>
    <s v="Month-to-Month"/>
    <x v="2"/>
    <x v="0"/>
    <n v="74.11"/>
    <n v="4691.3900000000003"/>
    <x v="0"/>
    <s v="49+ Months"/>
    <n v="0"/>
  </r>
  <r>
    <s v="CUST0591"/>
    <s v="Male"/>
    <n v="46"/>
    <n v="2"/>
    <s v="Month-to-Month"/>
    <x v="2"/>
    <x v="0"/>
    <n v="66.349999999999994"/>
    <n v="121.87"/>
    <x v="1"/>
    <s v="0-12 Months"/>
    <n v="1"/>
  </r>
  <r>
    <s v="CUST0592"/>
    <s v="Female"/>
    <n v="66"/>
    <n v="44"/>
    <s v="One Year"/>
    <x v="0"/>
    <x v="2"/>
    <n v="138.52000000000001"/>
    <n v="6315.46"/>
    <x v="1"/>
    <s v="25-48 Months"/>
    <n v="1"/>
  </r>
  <r>
    <s v="CUST0593"/>
    <s v="Male"/>
    <n v="62"/>
    <n v="2"/>
    <s v="Two Year"/>
    <x v="1"/>
    <x v="2"/>
    <n v="25.24"/>
    <n v="54.31"/>
    <x v="0"/>
    <s v="0-12 Months"/>
    <n v="0"/>
  </r>
  <r>
    <s v="CUST0594"/>
    <s v="Female"/>
    <n v="46"/>
    <n v="35"/>
    <s v="Month-to-Month"/>
    <x v="3"/>
    <x v="0"/>
    <n v="86.59"/>
    <n v="3039.27"/>
    <x v="0"/>
    <s v="25-48 Months"/>
    <n v="0"/>
  </r>
  <r>
    <s v="CUST0595"/>
    <s v="Female"/>
    <n v="47"/>
    <n v="30"/>
    <s v="Month-to-Month"/>
    <x v="2"/>
    <x v="0"/>
    <n v="108.46"/>
    <n v="3279.3"/>
    <x v="0"/>
    <s v="25-48 Months"/>
    <n v="0"/>
  </r>
  <r>
    <s v="CUST0596"/>
    <s v="Female"/>
    <n v="33"/>
    <n v="8"/>
    <s v="Month-to-Month"/>
    <x v="0"/>
    <x v="0"/>
    <n v="141.12"/>
    <n v="1073.6600000000001"/>
    <x v="1"/>
    <s v="0-12 Months"/>
    <n v="1"/>
  </r>
  <r>
    <s v="CUST0597"/>
    <s v="Male"/>
    <n v="57"/>
    <n v="22"/>
    <s v="Month-to-Month"/>
    <x v="0"/>
    <x v="2"/>
    <n v="100.65"/>
    <n v="2332.9299999999998"/>
    <x v="0"/>
    <s v="13-24 Months"/>
    <n v="0"/>
  </r>
  <r>
    <s v="CUST0598"/>
    <s v="Male"/>
    <n v="36"/>
    <n v="44"/>
    <s v="Month-to-Month"/>
    <x v="1"/>
    <x v="0"/>
    <n v="124.49"/>
    <n v="5753.4"/>
    <x v="0"/>
    <s v="25-48 Months"/>
    <n v="0"/>
  </r>
  <r>
    <s v="CUST0599"/>
    <s v="Female"/>
    <n v="35"/>
    <n v="58"/>
    <s v="One Year"/>
    <x v="0"/>
    <x v="0"/>
    <n v="30.88"/>
    <n v="1822.69"/>
    <x v="0"/>
    <s v="49+ Months"/>
    <n v="0"/>
  </r>
  <r>
    <s v="CUST0600"/>
    <s v="Female"/>
    <n v="18"/>
    <n v="36"/>
    <s v="Month-to-Month"/>
    <x v="1"/>
    <x v="1"/>
    <n v="70.17"/>
    <n v="2380.9499999999998"/>
    <x v="0"/>
    <s v="25-48 Months"/>
    <n v="0"/>
  </r>
  <r>
    <s v="CUST0601"/>
    <s v="Male"/>
    <n v="31"/>
    <n v="69"/>
    <s v="One Year"/>
    <x v="1"/>
    <x v="0"/>
    <n v="68.61"/>
    <n v="4352.54"/>
    <x v="0"/>
    <s v="49+ Months"/>
    <n v="0"/>
  </r>
  <r>
    <s v="CUST0602"/>
    <s v="Female"/>
    <n v="68"/>
    <n v="31"/>
    <s v="Two Year"/>
    <x v="2"/>
    <x v="2"/>
    <n v="135.22"/>
    <n v="3826.49"/>
    <x v="0"/>
    <s v="25-48 Months"/>
    <n v="0"/>
  </r>
  <r>
    <s v="CUST0603"/>
    <s v="Female"/>
    <n v="64"/>
    <n v="47"/>
    <s v="Month-to-Month"/>
    <x v="1"/>
    <x v="2"/>
    <n v="39.68"/>
    <n v="1899.53"/>
    <x v="0"/>
    <s v="25-48 Months"/>
    <n v="0"/>
  </r>
  <r>
    <s v="CUST0604"/>
    <s v="Female"/>
    <n v="67"/>
    <n v="55"/>
    <s v="Two Year"/>
    <x v="2"/>
    <x v="2"/>
    <n v="39.75"/>
    <n v="2328.37"/>
    <x v="0"/>
    <s v="49+ Months"/>
    <n v="0"/>
  </r>
  <r>
    <s v="CUST0605"/>
    <s v="Male"/>
    <n v="19"/>
    <n v="62"/>
    <s v="One Year"/>
    <x v="1"/>
    <x v="1"/>
    <n v="62.71"/>
    <n v="4166.66"/>
    <x v="0"/>
    <s v="49+ Months"/>
    <n v="0"/>
  </r>
  <r>
    <s v="CUST0606"/>
    <s v="Male"/>
    <n v="45"/>
    <n v="30"/>
    <s v="One Year"/>
    <x v="0"/>
    <x v="0"/>
    <n v="27.08"/>
    <n v="806.49"/>
    <x v="0"/>
    <s v="25-48 Months"/>
    <n v="0"/>
  </r>
  <r>
    <s v="CUST0607"/>
    <s v="Male"/>
    <n v="66"/>
    <n v="55"/>
    <s v="Month-to-Month"/>
    <x v="0"/>
    <x v="2"/>
    <n v="43.72"/>
    <n v="2541.31"/>
    <x v="0"/>
    <s v="49+ Months"/>
    <n v="0"/>
  </r>
  <r>
    <s v="CUST0608"/>
    <s v="Female"/>
    <n v="67"/>
    <n v="16"/>
    <s v="Month-to-Month"/>
    <x v="3"/>
    <x v="2"/>
    <n v="145.47999999999999"/>
    <n v="2535.7199999999998"/>
    <x v="1"/>
    <s v="13-24 Months"/>
    <n v="1"/>
  </r>
  <r>
    <s v="CUST0609"/>
    <s v="Female"/>
    <n v="47"/>
    <n v="12"/>
    <s v="Month-to-Month"/>
    <x v="3"/>
    <x v="0"/>
    <n v="75.66"/>
    <n v="867.09"/>
    <x v="1"/>
    <s v="0-12 Months"/>
    <n v="1"/>
  </r>
  <r>
    <s v="CUST0610"/>
    <s v="Female"/>
    <n v="55"/>
    <n v="17"/>
    <s v="Month-to-Month"/>
    <x v="3"/>
    <x v="2"/>
    <n v="102.16"/>
    <n v="1701.28"/>
    <x v="1"/>
    <s v="13-24 Months"/>
    <n v="1"/>
  </r>
  <r>
    <s v="CUST0611"/>
    <s v="Male"/>
    <n v="68"/>
    <n v="16"/>
    <s v="Month-to-Month"/>
    <x v="0"/>
    <x v="2"/>
    <n v="114.39"/>
    <n v="1988.18"/>
    <x v="0"/>
    <s v="13-24 Months"/>
    <n v="0"/>
  </r>
  <r>
    <s v="CUST0612"/>
    <s v="Female"/>
    <n v="21"/>
    <n v="12"/>
    <s v="One Year"/>
    <x v="1"/>
    <x v="1"/>
    <n v="67.7"/>
    <n v="786.12"/>
    <x v="0"/>
    <s v="0-12 Months"/>
    <n v="0"/>
  </r>
  <r>
    <s v="CUST0613"/>
    <s v="Female"/>
    <n v="18"/>
    <n v="8"/>
    <s v="Month-to-Month"/>
    <x v="0"/>
    <x v="1"/>
    <n v="39.14"/>
    <n v="339.04"/>
    <x v="0"/>
    <s v="0-12 Months"/>
    <n v="0"/>
  </r>
  <r>
    <s v="CUST0614"/>
    <s v="Female"/>
    <n v="25"/>
    <n v="3"/>
    <s v="Two Year"/>
    <x v="3"/>
    <x v="1"/>
    <n v="46.86"/>
    <n v="154.11000000000001"/>
    <x v="0"/>
    <s v="0-12 Months"/>
    <n v="0"/>
  </r>
  <r>
    <s v="CUST0615"/>
    <s v="Female"/>
    <n v="46"/>
    <n v="16"/>
    <s v="One Year"/>
    <x v="0"/>
    <x v="0"/>
    <n v="60.72"/>
    <n v="1002.96"/>
    <x v="0"/>
    <s v="13-24 Months"/>
    <n v="0"/>
  </r>
  <r>
    <s v="CUST0616"/>
    <s v="Male"/>
    <n v="56"/>
    <n v="30"/>
    <s v="Month-to-Month"/>
    <x v="3"/>
    <x v="2"/>
    <n v="102.69"/>
    <n v="3275.95"/>
    <x v="1"/>
    <s v="25-48 Months"/>
    <n v="1"/>
  </r>
  <r>
    <s v="CUST0617"/>
    <s v="Male"/>
    <n v="20"/>
    <n v="23"/>
    <s v="Month-to-Month"/>
    <x v="3"/>
    <x v="1"/>
    <n v="71.78"/>
    <n v="1733.34"/>
    <x v="0"/>
    <s v="13-24 Months"/>
    <n v="0"/>
  </r>
  <r>
    <s v="CUST0618"/>
    <s v="Female"/>
    <n v="49"/>
    <n v="5"/>
    <s v="Two Year"/>
    <x v="1"/>
    <x v="0"/>
    <n v="20.89"/>
    <n v="108.62"/>
    <x v="0"/>
    <s v="0-12 Months"/>
    <n v="0"/>
  </r>
  <r>
    <s v="CUST0619"/>
    <s v="Male"/>
    <n v="27"/>
    <n v="65"/>
    <s v="Two Year"/>
    <x v="2"/>
    <x v="1"/>
    <n v="88.04"/>
    <n v="5501.63"/>
    <x v="0"/>
    <s v="49+ Months"/>
    <n v="0"/>
  </r>
  <r>
    <s v="CUST0620"/>
    <s v="Male"/>
    <n v="27"/>
    <n v="30"/>
    <s v="One Year"/>
    <x v="2"/>
    <x v="1"/>
    <n v="139.80000000000001"/>
    <n v="3822.49"/>
    <x v="0"/>
    <s v="25-48 Months"/>
    <n v="0"/>
  </r>
  <r>
    <s v="CUST0621"/>
    <s v="Female"/>
    <n v="36"/>
    <n v="21"/>
    <s v="Month-to-Month"/>
    <x v="3"/>
    <x v="0"/>
    <n v="125.57"/>
    <n v="2554.1999999999998"/>
    <x v="0"/>
    <s v="13-24 Months"/>
    <n v="0"/>
  </r>
  <r>
    <s v="CUST0622"/>
    <s v="Female"/>
    <n v="63"/>
    <n v="70"/>
    <s v="Month-to-Month"/>
    <x v="2"/>
    <x v="2"/>
    <n v="127.28"/>
    <n v="9207.07"/>
    <x v="1"/>
    <s v="49+ Months"/>
    <n v="1"/>
  </r>
  <r>
    <s v="CUST0623"/>
    <s v="Male"/>
    <n v="51"/>
    <n v="22"/>
    <s v="Month-to-Month"/>
    <x v="3"/>
    <x v="2"/>
    <n v="123.36"/>
    <n v="2498.1799999999998"/>
    <x v="0"/>
    <s v="13-24 Months"/>
    <n v="0"/>
  </r>
  <r>
    <s v="CUST0624"/>
    <s v="Female"/>
    <n v="50"/>
    <n v="72"/>
    <s v="Month-to-Month"/>
    <x v="0"/>
    <x v="2"/>
    <n v="62.09"/>
    <n v="4034.09"/>
    <x v="0"/>
    <s v="49+ Months"/>
    <n v="0"/>
  </r>
  <r>
    <s v="CUST0625"/>
    <s v="Male"/>
    <n v="40"/>
    <n v="32"/>
    <s v="One Year"/>
    <x v="0"/>
    <x v="0"/>
    <n v="119.48"/>
    <n v="3547.84"/>
    <x v="0"/>
    <s v="25-48 Months"/>
    <n v="0"/>
  </r>
  <r>
    <s v="CUST0626"/>
    <s v="Female"/>
    <n v="45"/>
    <n v="33"/>
    <s v="One Year"/>
    <x v="3"/>
    <x v="0"/>
    <n v="38.61"/>
    <n v="1329.11"/>
    <x v="0"/>
    <s v="25-48 Months"/>
    <n v="0"/>
  </r>
  <r>
    <s v="CUST0627"/>
    <s v="Male"/>
    <n v="49"/>
    <n v="16"/>
    <s v="One Year"/>
    <x v="1"/>
    <x v="0"/>
    <n v="105.5"/>
    <n v="1847.62"/>
    <x v="0"/>
    <s v="13-24 Months"/>
    <n v="0"/>
  </r>
  <r>
    <s v="CUST0628"/>
    <s v="Female"/>
    <n v="67"/>
    <n v="38"/>
    <s v="Two Year"/>
    <x v="0"/>
    <x v="2"/>
    <n v="103.4"/>
    <n v="4308.8100000000004"/>
    <x v="0"/>
    <s v="25-48 Months"/>
    <n v="0"/>
  </r>
  <r>
    <s v="CUST0629"/>
    <s v="Male"/>
    <n v="24"/>
    <n v="14"/>
    <s v="One Year"/>
    <x v="0"/>
    <x v="1"/>
    <n v="23.32"/>
    <n v="326.08999999999997"/>
    <x v="0"/>
    <s v="13-24 Months"/>
    <n v="0"/>
  </r>
  <r>
    <s v="CUST0630"/>
    <s v="Male"/>
    <n v="46"/>
    <n v="36"/>
    <s v="Month-to-Month"/>
    <x v="0"/>
    <x v="0"/>
    <n v="122.44"/>
    <n v="4733.45"/>
    <x v="1"/>
    <s v="25-48 Months"/>
    <n v="1"/>
  </r>
  <r>
    <s v="CUST0631"/>
    <s v="Male"/>
    <n v="25"/>
    <n v="23"/>
    <s v="Month-to-Month"/>
    <x v="1"/>
    <x v="1"/>
    <n v="137.41999999999999"/>
    <n v="3310.37"/>
    <x v="0"/>
    <s v="13-24 Months"/>
    <n v="0"/>
  </r>
  <r>
    <s v="CUST0632"/>
    <s v="Female"/>
    <n v="18"/>
    <n v="66"/>
    <s v="Two Year"/>
    <x v="2"/>
    <x v="1"/>
    <n v="54.76"/>
    <n v="3614.91"/>
    <x v="1"/>
    <s v="49+ Months"/>
    <n v="1"/>
  </r>
  <r>
    <s v="CUST0633"/>
    <s v="Male"/>
    <n v="20"/>
    <n v="2"/>
    <s v="Month-to-Month"/>
    <x v="3"/>
    <x v="1"/>
    <n v="125.61"/>
    <n v="254.88"/>
    <x v="0"/>
    <s v="0-12 Months"/>
    <n v="0"/>
  </r>
  <r>
    <s v="CUST0634"/>
    <s v="Male"/>
    <n v="41"/>
    <n v="65"/>
    <s v="Two Year"/>
    <x v="3"/>
    <x v="0"/>
    <n v="30.71"/>
    <n v="1851.32"/>
    <x v="0"/>
    <s v="49+ Months"/>
    <n v="0"/>
  </r>
  <r>
    <s v="CUST0635"/>
    <s v="Female"/>
    <n v="40"/>
    <n v="67"/>
    <s v="Two Year"/>
    <x v="2"/>
    <x v="0"/>
    <n v="98"/>
    <n v="7140.74"/>
    <x v="0"/>
    <s v="49+ Months"/>
    <n v="0"/>
  </r>
  <r>
    <s v="CUST0636"/>
    <s v="Female"/>
    <n v="25"/>
    <n v="52"/>
    <s v="Month-to-Month"/>
    <x v="1"/>
    <x v="1"/>
    <n v="83.13"/>
    <n v="4194.75"/>
    <x v="0"/>
    <s v="49+ Months"/>
    <n v="0"/>
  </r>
  <r>
    <s v="CUST0637"/>
    <s v="Male"/>
    <n v="64"/>
    <n v="62"/>
    <s v="One Year"/>
    <x v="0"/>
    <x v="2"/>
    <n v="90.97"/>
    <n v="5579.39"/>
    <x v="0"/>
    <s v="49+ Months"/>
    <n v="0"/>
  </r>
  <r>
    <s v="CUST0638"/>
    <s v="Male"/>
    <n v="54"/>
    <n v="23"/>
    <s v="Two Year"/>
    <x v="2"/>
    <x v="2"/>
    <n v="140.41"/>
    <n v="3340.3"/>
    <x v="1"/>
    <s v="13-24 Months"/>
    <n v="1"/>
  </r>
  <r>
    <s v="CUST0639"/>
    <s v="Female"/>
    <n v="20"/>
    <n v="26"/>
    <s v="One Year"/>
    <x v="3"/>
    <x v="1"/>
    <n v="133.27000000000001"/>
    <n v="3349.91"/>
    <x v="0"/>
    <s v="25-48 Months"/>
    <n v="0"/>
  </r>
  <r>
    <s v="CUST0640"/>
    <s v="Female"/>
    <n v="68"/>
    <n v="68"/>
    <s v="Two Year"/>
    <x v="2"/>
    <x v="2"/>
    <n v="122.06"/>
    <n v="7892.15"/>
    <x v="0"/>
    <s v="49+ Months"/>
    <n v="0"/>
  </r>
  <r>
    <s v="CUST0641"/>
    <s v="Female"/>
    <n v="50"/>
    <n v="55"/>
    <s v="Two Year"/>
    <x v="2"/>
    <x v="2"/>
    <n v="55.58"/>
    <n v="3137.02"/>
    <x v="0"/>
    <s v="49+ Months"/>
    <n v="0"/>
  </r>
  <r>
    <s v="CUST0642"/>
    <s v="Female"/>
    <n v="45"/>
    <n v="6"/>
    <s v="Month-to-Month"/>
    <x v="0"/>
    <x v="0"/>
    <n v="138.54"/>
    <n v="752.27"/>
    <x v="0"/>
    <s v="0-12 Months"/>
    <n v="0"/>
  </r>
  <r>
    <s v="CUST0643"/>
    <s v="Female"/>
    <n v="64"/>
    <n v="35"/>
    <s v="Month-to-Month"/>
    <x v="0"/>
    <x v="2"/>
    <n v="32.68"/>
    <n v="1194.29"/>
    <x v="0"/>
    <s v="25-48 Months"/>
    <n v="0"/>
  </r>
  <r>
    <s v="CUST0644"/>
    <s v="Male"/>
    <n v="25"/>
    <n v="22"/>
    <s v="Two Year"/>
    <x v="0"/>
    <x v="1"/>
    <n v="130.93"/>
    <n v="2888.54"/>
    <x v="0"/>
    <s v="13-24 Months"/>
    <n v="0"/>
  </r>
  <r>
    <s v="CUST0645"/>
    <s v="Female"/>
    <n v="51"/>
    <n v="43"/>
    <s v="One Year"/>
    <x v="1"/>
    <x v="2"/>
    <n v="62.66"/>
    <n v="2751.37"/>
    <x v="0"/>
    <s v="25-48 Months"/>
    <n v="0"/>
  </r>
  <r>
    <s v="CUST0646"/>
    <s v="Male"/>
    <n v="52"/>
    <n v="15"/>
    <s v="Month-to-Month"/>
    <x v="1"/>
    <x v="2"/>
    <n v="26.99"/>
    <n v="415.53"/>
    <x v="1"/>
    <s v="13-24 Months"/>
    <n v="1"/>
  </r>
  <r>
    <s v="CUST0647"/>
    <s v="Male"/>
    <n v="49"/>
    <n v="60"/>
    <s v="Month-to-Month"/>
    <x v="1"/>
    <x v="0"/>
    <n v="107.02"/>
    <n v="6455.94"/>
    <x v="0"/>
    <s v="49+ Months"/>
    <n v="0"/>
  </r>
  <r>
    <s v="CUST0648"/>
    <s v="Male"/>
    <n v="41"/>
    <n v="12"/>
    <s v="One Year"/>
    <x v="2"/>
    <x v="0"/>
    <n v="50.07"/>
    <n v="610.76"/>
    <x v="0"/>
    <s v="0-12 Months"/>
    <n v="0"/>
  </r>
  <r>
    <s v="CUST0649"/>
    <s v="Female"/>
    <n v="31"/>
    <n v="49"/>
    <s v="Two Year"/>
    <x v="0"/>
    <x v="0"/>
    <n v="51.66"/>
    <n v="2624.39"/>
    <x v="0"/>
    <s v="49+ Months"/>
    <n v="0"/>
  </r>
  <r>
    <s v="CUST0650"/>
    <s v="Male"/>
    <n v="49"/>
    <n v="42"/>
    <s v="Two Year"/>
    <x v="2"/>
    <x v="0"/>
    <n v="59.79"/>
    <n v="2638.31"/>
    <x v="0"/>
    <s v="25-48 Months"/>
    <n v="0"/>
  </r>
  <r>
    <s v="CUST0651"/>
    <s v="Male"/>
    <n v="63"/>
    <n v="38"/>
    <s v="One Year"/>
    <x v="2"/>
    <x v="2"/>
    <n v="28.28"/>
    <n v="1123.53"/>
    <x v="0"/>
    <s v="25-48 Months"/>
    <n v="0"/>
  </r>
  <r>
    <s v="CUST0652"/>
    <s v="Female"/>
    <n v="60"/>
    <n v="45"/>
    <s v="Month-to-Month"/>
    <x v="0"/>
    <x v="2"/>
    <n v="43.03"/>
    <n v="2079.4899999999998"/>
    <x v="0"/>
    <s v="25-48 Months"/>
    <n v="0"/>
  </r>
  <r>
    <s v="CUST0653"/>
    <s v="Male"/>
    <n v="33"/>
    <n v="35"/>
    <s v="Month-to-Month"/>
    <x v="2"/>
    <x v="0"/>
    <n v="20.67"/>
    <n v="678.52"/>
    <x v="0"/>
    <s v="25-48 Months"/>
    <n v="0"/>
  </r>
  <r>
    <s v="CUST0654"/>
    <s v="Male"/>
    <n v="21"/>
    <n v="30"/>
    <s v="Two Year"/>
    <x v="2"/>
    <x v="1"/>
    <n v="77.900000000000006"/>
    <n v="2290.8000000000002"/>
    <x v="1"/>
    <s v="25-48 Months"/>
    <n v="1"/>
  </r>
  <r>
    <s v="CUST0655"/>
    <s v="Female"/>
    <n v="69"/>
    <n v="30"/>
    <s v="Month-to-Month"/>
    <x v="2"/>
    <x v="2"/>
    <n v="30.95"/>
    <n v="1011.66"/>
    <x v="0"/>
    <s v="25-48 Months"/>
    <n v="0"/>
  </r>
  <r>
    <s v="CUST0656"/>
    <s v="Male"/>
    <n v="54"/>
    <n v="6"/>
    <s v="Month-to-Month"/>
    <x v="3"/>
    <x v="2"/>
    <n v="108.74"/>
    <n v="638.95000000000005"/>
    <x v="0"/>
    <s v="0-12 Months"/>
    <n v="0"/>
  </r>
  <r>
    <s v="CUST0657"/>
    <s v="Male"/>
    <n v="38"/>
    <n v="67"/>
    <s v="Month-to-Month"/>
    <x v="3"/>
    <x v="0"/>
    <n v="50.63"/>
    <n v="3137.71"/>
    <x v="0"/>
    <s v="49+ Months"/>
    <n v="0"/>
  </r>
  <r>
    <s v="CUST0658"/>
    <s v="Male"/>
    <n v="31"/>
    <n v="7"/>
    <s v="One Year"/>
    <x v="1"/>
    <x v="0"/>
    <n v="142.66"/>
    <n v="1003.7"/>
    <x v="0"/>
    <s v="0-12 Months"/>
    <n v="0"/>
  </r>
  <r>
    <s v="CUST0659"/>
    <s v="Female"/>
    <n v="48"/>
    <n v="52"/>
    <s v="Two Year"/>
    <x v="3"/>
    <x v="0"/>
    <n v="133.26"/>
    <n v="6388.31"/>
    <x v="0"/>
    <s v="49+ Months"/>
    <n v="0"/>
  </r>
  <r>
    <s v="CUST0660"/>
    <s v="Female"/>
    <n v="65"/>
    <n v="14"/>
    <s v="Month-to-Month"/>
    <x v="1"/>
    <x v="2"/>
    <n v="57.63"/>
    <n v="758.87"/>
    <x v="1"/>
    <s v="13-24 Months"/>
    <n v="1"/>
  </r>
  <r>
    <s v="CUST0661"/>
    <s v="Female"/>
    <n v="35"/>
    <n v="15"/>
    <s v="Month-to-Month"/>
    <x v="0"/>
    <x v="0"/>
    <n v="121.82"/>
    <n v="2009.42"/>
    <x v="0"/>
    <s v="13-24 Months"/>
    <n v="0"/>
  </r>
  <r>
    <s v="CUST0662"/>
    <s v="Male"/>
    <n v="24"/>
    <n v="21"/>
    <s v="One Year"/>
    <x v="2"/>
    <x v="1"/>
    <n v="124.42"/>
    <n v="2634.43"/>
    <x v="0"/>
    <s v="13-24 Months"/>
    <n v="0"/>
  </r>
  <r>
    <s v="CUST0663"/>
    <s v="Male"/>
    <n v="27"/>
    <n v="35"/>
    <s v="Two Year"/>
    <x v="1"/>
    <x v="1"/>
    <n v="148.25"/>
    <n v="4964.66"/>
    <x v="1"/>
    <s v="25-48 Months"/>
    <n v="1"/>
  </r>
  <r>
    <s v="CUST0664"/>
    <s v="Female"/>
    <n v="24"/>
    <n v="66"/>
    <s v="Month-to-Month"/>
    <x v="1"/>
    <x v="1"/>
    <n v="97.72"/>
    <n v="7087.73"/>
    <x v="0"/>
    <s v="49+ Months"/>
    <n v="0"/>
  </r>
  <r>
    <s v="CUST0665"/>
    <s v="Male"/>
    <n v="50"/>
    <n v="2"/>
    <s v="Month-to-Month"/>
    <x v="1"/>
    <x v="2"/>
    <n v="30.66"/>
    <n v="67.040000000000006"/>
    <x v="1"/>
    <s v="0-12 Months"/>
    <n v="1"/>
  </r>
  <r>
    <s v="CUST0666"/>
    <s v="Male"/>
    <n v="40"/>
    <n v="35"/>
    <s v="Month-to-Month"/>
    <x v="1"/>
    <x v="0"/>
    <n v="104.09"/>
    <n v="3599.97"/>
    <x v="0"/>
    <s v="25-48 Months"/>
    <n v="0"/>
  </r>
  <r>
    <s v="CUST0667"/>
    <s v="Female"/>
    <n v="38"/>
    <n v="20"/>
    <s v="Two Year"/>
    <x v="0"/>
    <x v="0"/>
    <n v="101.25"/>
    <n v="1927.96"/>
    <x v="0"/>
    <s v="13-24 Months"/>
    <n v="0"/>
  </r>
  <r>
    <s v="CUST0668"/>
    <s v="Female"/>
    <n v="36"/>
    <n v="10"/>
    <s v="Month-to-Month"/>
    <x v="1"/>
    <x v="0"/>
    <n v="102.99"/>
    <n v="1099.5999999999999"/>
    <x v="0"/>
    <s v="0-12 Months"/>
    <n v="0"/>
  </r>
  <r>
    <s v="CUST0669"/>
    <s v="Male"/>
    <n v="65"/>
    <n v="25"/>
    <s v="Month-to-Month"/>
    <x v="3"/>
    <x v="2"/>
    <n v="59.93"/>
    <n v="1562.86"/>
    <x v="0"/>
    <s v="25-48 Months"/>
    <n v="0"/>
  </r>
  <r>
    <s v="CUST0670"/>
    <s v="Male"/>
    <n v="36"/>
    <n v="66"/>
    <s v="One Year"/>
    <x v="0"/>
    <x v="0"/>
    <n v="131.76"/>
    <n v="9021.2900000000009"/>
    <x v="0"/>
    <s v="49+ Months"/>
    <n v="0"/>
  </r>
  <r>
    <s v="CUST0671"/>
    <s v="Male"/>
    <n v="53"/>
    <n v="25"/>
    <s v="One Year"/>
    <x v="1"/>
    <x v="2"/>
    <n v="144.72999999999999"/>
    <n v="3902.73"/>
    <x v="0"/>
    <s v="25-48 Months"/>
    <n v="0"/>
  </r>
  <r>
    <s v="CUST0672"/>
    <s v="Female"/>
    <n v="46"/>
    <n v="54"/>
    <s v="Month-to-Month"/>
    <x v="0"/>
    <x v="0"/>
    <n v="48.3"/>
    <n v="2707.01"/>
    <x v="0"/>
    <s v="49+ Months"/>
    <n v="0"/>
  </r>
  <r>
    <s v="CUST0673"/>
    <s v="Female"/>
    <n v="35"/>
    <n v="33"/>
    <s v="Two Year"/>
    <x v="1"/>
    <x v="0"/>
    <n v="31.46"/>
    <n v="993.29"/>
    <x v="0"/>
    <s v="25-48 Months"/>
    <n v="0"/>
  </r>
  <r>
    <s v="CUST0674"/>
    <s v="Female"/>
    <n v="19"/>
    <n v="36"/>
    <s v="Month-to-Month"/>
    <x v="1"/>
    <x v="1"/>
    <n v="45.29"/>
    <n v="1693.66"/>
    <x v="0"/>
    <s v="25-48 Months"/>
    <n v="0"/>
  </r>
  <r>
    <s v="CUST0675"/>
    <s v="Female"/>
    <n v="18"/>
    <n v="14"/>
    <s v="One Year"/>
    <x v="2"/>
    <x v="1"/>
    <n v="126.67"/>
    <n v="1704.51"/>
    <x v="0"/>
    <s v="13-24 Months"/>
    <n v="0"/>
  </r>
  <r>
    <s v="CUST0676"/>
    <s v="Male"/>
    <n v="64"/>
    <n v="65"/>
    <s v="Month-to-Month"/>
    <x v="1"/>
    <x v="2"/>
    <n v="107.96"/>
    <n v="7381.24"/>
    <x v="1"/>
    <s v="49+ Months"/>
    <n v="1"/>
  </r>
  <r>
    <s v="CUST0677"/>
    <s v="Female"/>
    <n v="22"/>
    <n v="54"/>
    <s v="One Year"/>
    <x v="2"/>
    <x v="1"/>
    <n v="102.69"/>
    <n v="5678.07"/>
    <x v="1"/>
    <s v="49+ Months"/>
    <n v="1"/>
  </r>
  <r>
    <s v="CUST0678"/>
    <s v="Female"/>
    <n v="37"/>
    <n v="52"/>
    <s v="Month-to-Month"/>
    <x v="1"/>
    <x v="0"/>
    <n v="72.23"/>
    <n v="3438.51"/>
    <x v="0"/>
    <s v="49+ Months"/>
    <n v="0"/>
  </r>
  <r>
    <s v="CUST0679"/>
    <s v="Female"/>
    <n v="28"/>
    <n v="3"/>
    <s v="Two Year"/>
    <x v="0"/>
    <x v="1"/>
    <n v="95.12"/>
    <n v="286.08999999999997"/>
    <x v="0"/>
    <s v="0-12 Months"/>
    <n v="0"/>
  </r>
  <r>
    <s v="CUST0680"/>
    <s v="Female"/>
    <n v="59"/>
    <n v="41"/>
    <s v="One Year"/>
    <x v="1"/>
    <x v="2"/>
    <n v="60.02"/>
    <n v="2383.6999999999998"/>
    <x v="0"/>
    <s v="25-48 Months"/>
    <n v="0"/>
  </r>
  <r>
    <s v="CUST0681"/>
    <s v="Female"/>
    <n v="19"/>
    <n v="6"/>
    <s v="One Year"/>
    <x v="2"/>
    <x v="1"/>
    <n v="82.04"/>
    <n v="475.36"/>
    <x v="0"/>
    <s v="0-12 Months"/>
    <n v="0"/>
  </r>
  <r>
    <s v="CUST0682"/>
    <s v="Male"/>
    <n v="20"/>
    <n v="25"/>
    <s v="One Year"/>
    <x v="1"/>
    <x v="1"/>
    <n v="123.1"/>
    <n v="3140.44"/>
    <x v="0"/>
    <s v="25-48 Months"/>
    <n v="0"/>
  </r>
  <r>
    <s v="CUST0683"/>
    <s v="Male"/>
    <n v="40"/>
    <n v="13"/>
    <s v="One Year"/>
    <x v="2"/>
    <x v="0"/>
    <n v="147.56"/>
    <n v="1850.11"/>
    <x v="0"/>
    <s v="13-24 Months"/>
    <n v="0"/>
  </r>
  <r>
    <s v="CUST0684"/>
    <s v="Female"/>
    <n v="29"/>
    <n v="8"/>
    <s v="Month-to-Month"/>
    <x v="3"/>
    <x v="1"/>
    <n v="141.22"/>
    <n v="1192.32"/>
    <x v="1"/>
    <s v="0-12 Months"/>
    <n v="1"/>
  </r>
  <r>
    <s v="CUST0685"/>
    <s v="Male"/>
    <n v="37"/>
    <n v="21"/>
    <s v="Month-to-Month"/>
    <x v="3"/>
    <x v="0"/>
    <n v="141.4"/>
    <n v="2714.5"/>
    <x v="1"/>
    <s v="13-24 Months"/>
    <n v="1"/>
  </r>
  <r>
    <s v="CUST0686"/>
    <s v="Female"/>
    <n v="22"/>
    <n v="68"/>
    <s v="Two Year"/>
    <x v="3"/>
    <x v="1"/>
    <n v="72.290000000000006"/>
    <n v="5073.3999999999996"/>
    <x v="0"/>
    <s v="49+ Months"/>
    <n v="0"/>
  </r>
  <r>
    <s v="CUST0687"/>
    <s v="Female"/>
    <n v="54"/>
    <n v="25"/>
    <s v="Month-to-Month"/>
    <x v="1"/>
    <x v="2"/>
    <n v="80.94"/>
    <n v="2148.63"/>
    <x v="0"/>
    <s v="25-48 Months"/>
    <n v="0"/>
  </r>
  <r>
    <s v="CUST0688"/>
    <s v="Male"/>
    <n v="55"/>
    <n v="68"/>
    <s v="One Year"/>
    <x v="1"/>
    <x v="2"/>
    <n v="111.73"/>
    <n v="7860.26"/>
    <x v="0"/>
    <s v="49+ Months"/>
    <n v="0"/>
  </r>
  <r>
    <s v="CUST0689"/>
    <s v="Male"/>
    <n v="47"/>
    <n v="45"/>
    <s v="Two Year"/>
    <x v="2"/>
    <x v="0"/>
    <n v="139.88"/>
    <n v="6291.11"/>
    <x v="0"/>
    <s v="25-48 Months"/>
    <n v="0"/>
  </r>
  <r>
    <s v="CUST0690"/>
    <s v="Female"/>
    <n v="26"/>
    <n v="60"/>
    <s v="Month-to-Month"/>
    <x v="2"/>
    <x v="1"/>
    <n v="38.46"/>
    <n v="2515.4299999999998"/>
    <x v="0"/>
    <s v="49+ Months"/>
    <n v="0"/>
  </r>
  <r>
    <s v="CUST0691"/>
    <s v="Female"/>
    <n v="51"/>
    <n v="12"/>
    <s v="One Year"/>
    <x v="0"/>
    <x v="2"/>
    <n v="59.55"/>
    <n v="686.01"/>
    <x v="0"/>
    <s v="0-12 Months"/>
    <n v="0"/>
  </r>
  <r>
    <s v="CUST0692"/>
    <s v="Female"/>
    <n v="70"/>
    <n v="32"/>
    <s v="Month-to-Month"/>
    <x v="1"/>
    <x v="2"/>
    <n v="38.1"/>
    <n v="1101.95"/>
    <x v="1"/>
    <s v="25-48 Months"/>
    <n v="1"/>
  </r>
  <r>
    <s v="CUST0693"/>
    <s v="Male"/>
    <n v="61"/>
    <n v="13"/>
    <s v="One Year"/>
    <x v="3"/>
    <x v="2"/>
    <n v="99.56"/>
    <n v="1276.68"/>
    <x v="0"/>
    <s v="13-24 Months"/>
    <n v="0"/>
  </r>
  <r>
    <s v="CUST0694"/>
    <s v="Female"/>
    <n v="52"/>
    <n v="31"/>
    <s v="Month-to-Month"/>
    <x v="2"/>
    <x v="2"/>
    <n v="59.82"/>
    <n v="1681.22"/>
    <x v="0"/>
    <s v="25-48 Months"/>
    <n v="0"/>
  </r>
  <r>
    <s v="CUST0695"/>
    <s v="Female"/>
    <n v="69"/>
    <n v="20"/>
    <s v="Month-to-Month"/>
    <x v="3"/>
    <x v="2"/>
    <n v="62.39"/>
    <n v="1361.08"/>
    <x v="0"/>
    <s v="13-24 Months"/>
    <n v="0"/>
  </r>
  <r>
    <s v="CUST0696"/>
    <s v="Female"/>
    <n v="39"/>
    <n v="18"/>
    <s v="One Year"/>
    <x v="1"/>
    <x v="0"/>
    <n v="29.22"/>
    <n v="495.45"/>
    <x v="0"/>
    <s v="13-24 Months"/>
    <n v="0"/>
  </r>
  <r>
    <s v="CUST0697"/>
    <s v="Male"/>
    <n v="61"/>
    <n v="60"/>
    <s v="Two Year"/>
    <x v="1"/>
    <x v="2"/>
    <n v="65.47"/>
    <n v="4155.1899999999996"/>
    <x v="0"/>
    <s v="49+ Months"/>
    <n v="0"/>
  </r>
  <r>
    <s v="CUST0698"/>
    <s v="Female"/>
    <n v="41"/>
    <n v="63"/>
    <s v="One Year"/>
    <x v="2"/>
    <x v="0"/>
    <n v="132.12"/>
    <n v="8780.64"/>
    <x v="1"/>
    <s v="49+ Months"/>
    <n v="1"/>
  </r>
  <r>
    <s v="CUST0699"/>
    <s v="Female"/>
    <n v="34"/>
    <n v="6"/>
    <s v="Month-to-Month"/>
    <x v="2"/>
    <x v="0"/>
    <n v="50.3"/>
    <n v="284.76"/>
    <x v="1"/>
    <s v="0-12 Months"/>
    <n v="1"/>
  </r>
  <r>
    <s v="CUST0700"/>
    <s v="Male"/>
    <n v="27"/>
    <n v="32"/>
    <s v="Month-to-Month"/>
    <x v="0"/>
    <x v="1"/>
    <n v="110.37"/>
    <n v="3617.47"/>
    <x v="0"/>
    <s v="25-48 Months"/>
    <n v="0"/>
  </r>
  <r>
    <s v="CUST0701"/>
    <s v="Female"/>
    <n v="47"/>
    <n v="43"/>
    <s v="One Year"/>
    <x v="1"/>
    <x v="0"/>
    <n v="101.85"/>
    <n v="3983.71"/>
    <x v="0"/>
    <s v="25-48 Months"/>
    <n v="0"/>
  </r>
  <r>
    <s v="CUST0702"/>
    <s v="Female"/>
    <n v="63"/>
    <n v="2"/>
    <s v="Month-to-Month"/>
    <x v="2"/>
    <x v="2"/>
    <n v="132.25"/>
    <n v="263.63"/>
    <x v="1"/>
    <s v="0-12 Months"/>
    <n v="1"/>
  </r>
  <r>
    <s v="CUST0703"/>
    <s v="Male"/>
    <n v="40"/>
    <n v="60"/>
    <s v="Two Year"/>
    <x v="0"/>
    <x v="0"/>
    <n v="37.200000000000003"/>
    <n v="2015.34"/>
    <x v="0"/>
    <s v="49+ Months"/>
    <n v="0"/>
  </r>
  <r>
    <s v="CUST0704"/>
    <s v="Female"/>
    <n v="49"/>
    <n v="23"/>
    <s v="Two Year"/>
    <x v="3"/>
    <x v="0"/>
    <n v="147.09"/>
    <n v="3668.02"/>
    <x v="0"/>
    <s v="13-24 Months"/>
    <n v="0"/>
  </r>
  <r>
    <s v="CUST0705"/>
    <s v="Male"/>
    <n v="34"/>
    <n v="31"/>
    <s v="One Year"/>
    <x v="3"/>
    <x v="0"/>
    <n v="95.74"/>
    <n v="3250.54"/>
    <x v="0"/>
    <s v="25-48 Months"/>
    <n v="0"/>
  </r>
  <r>
    <s v="CUST0706"/>
    <s v="Male"/>
    <n v="67"/>
    <n v="5"/>
    <s v="Two Year"/>
    <x v="3"/>
    <x v="2"/>
    <n v="149.41"/>
    <n v="705.56"/>
    <x v="1"/>
    <s v="0-12 Months"/>
    <n v="1"/>
  </r>
  <r>
    <s v="CUST0707"/>
    <s v="Female"/>
    <n v="68"/>
    <n v="34"/>
    <s v="Month-to-Month"/>
    <x v="0"/>
    <x v="2"/>
    <n v="138.5"/>
    <n v="4434.09"/>
    <x v="0"/>
    <s v="25-48 Months"/>
    <n v="0"/>
  </r>
  <r>
    <s v="CUST0708"/>
    <s v="Female"/>
    <n v="34"/>
    <n v="10"/>
    <s v="One Year"/>
    <x v="2"/>
    <x v="0"/>
    <n v="48.8"/>
    <n v="512.76"/>
    <x v="1"/>
    <s v="0-12 Months"/>
    <n v="1"/>
  </r>
  <r>
    <s v="CUST0709"/>
    <s v="Female"/>
    <n v="31"/>
    <n v="2"/>
    <s v="Month-to-Month"/>
    <x v="1"/>
    <x v="0"/>
    <n v="27.3"/>
    <n v="51.91"/>
    <x v="0"/>
    <s v="0-12 Months"/>
    <n v="0"/>
  </r>
  <r>
    <s v="CUST0710"/>
    <s v="Female"/>
    <n v="26"/>
    <n v="11"/>
    <s v="Two Year"/>
    <x v="0"/>
    <x v="1"/>
    <n v="53.23"/>
    <n v="631.79999999999995"/>
    <x v="0"/>
    <s v="0-12 Months"/>
    <n v="0"/>
  </r>
  <r>
    <s v="CUST0711"/>
    <s v="Male"/>
    <n v="57"/>
    <n v="50"/>
    <s v="Month-to-Month"/>
    <x v="2"/>
    <x v="2"/>
    <n v="88.58"/>
    <n v="4494.49"/>
    <x v="0"/>
    <s v="49+ Months"/>
    <n v="0"/>
  </r>
  <r>
    <s v="CUST0712"/>
    <s v="Female"/>
    <n v="19"/>
    <n v="31"/>
    <s v="One Year"/>
    <x v="2"/>
    <x v="1"/>
    <n v="42.31"/>
    <n v="1272.47"/>
    <x v="0"/>
    <s v="25-48 Months"/>
    <n v="0"/>
  </r>
  <r>
    <s v="CUST0713"/>
    <s v="Male"/>
    <n v="62"/>
    <n v="56"/>
    <s v="Two Year"/>
    <x v="0"/>
    <x v="2"/>
    <n v="41.77"/>
    <n v="2494.7600000000002"/>
    <x v="0"/>
    <s v="49+ Months"/>
    <n v="0"/>
  </r>
  <r>
    <s v="CUST0714"/>
    <s v="Female"/>
    <n v="42"/>
    <n v="9"/>
    <s v="Month-to-Month"/>
    <x v="2"/>
    <x v="0"/>
    <n v="80.14"/>
    <n v="720.31"/>
    <x v="1"/>
    <s v="0-12 Months"/>
    <n v="1"/>
  </r>
  <r>
    <s v="CUST0715"/>
    <s v="Female"/>
    <n v="56"/>
    <n v="21"/>
    <s v="Month-to-Month"/>
    <x v="2"/>
    <x v="2"/>
    <n v="24.32"/>
    <n v="552.77"/>
    <x v="0"/>
    <s v="13-24 Months"/>
    <n v="0"/>
  </r>
  <r>
    <s v="CUST0716"/>
    <s v="Female"/>
    <n v="26"/>
    <n v="28"/>
    <s v="One Year"/>
    <x v="2"/>
    <x v="1"/>
    <n v="35.85"/>
    <n v="1089.73"/>
    <x v="0"/>
    <s v="25-48 Months"/>
    <n v="0"/>
  </r>
  <r>
    <s v="CUST0717"/>
    <s v="Male"/>
    <n v="39"/>
    <n v="62"/>
    <s v="Month-to-Month"/>
    <x v="2"/>
    <x v="0"/>
    <n v="74.06"/>
    <n v="4284.46"/>
    <x v="0"/>
    <s v="49+ Months"/>
    <n v="0"/>
  </r>
  <r>
    <s v="CUST0718"/>
    <s v="Female"/>
    <n v="60"/>
    <n v="7"/>
    <s v="Month-to-Month"/>
    <x v="1"/>
    <x v="2"/>
    <n v="28.21"/>
    <n v="177.81"/>
    <x v="1"/>
    <s v="0-12 Months"/>
    <n v="1"/>
  </r>
  <r>
    <s v="CUST0719"/>
    <s v="Female"/>
    <n v="63"/>
    <n v="16"/>
    <s v="Month-to-Month"/>
    <x v="0"/>
    <x v="2"/>
    <n v="71.58"/>
    <n v="1256.1300000000001"/>
    <x v="0"/>
    <s v="13-24 Months"/>
    <n v="0"/>
  </r>
  <r>
    <s v="CUST0720"/>
    <s v="Female"/>
    <n v="21"/>
    <n v="4"/>
    <s v="Month-to-Month"/>
    <x v="1"/>
    <x v="1"/>
    <n v="81.62"/>
    <n v="353"/>
    <x v="1"/>
    <s v="0-12 Months"/>
    <n v="1"/>
  </r>
  <r>
    <s v="CUST0721"/>
    <s v="Female"/>
    <n v="43"/>
    <n v="4"/>
    <s v="Two Year"/>
    <x v="2"/>
    <x v="0"/>
    <n v="78.66"/>
    <n v="286.67"/>
    <x v="1"/>
    <s v="0-12 Months"/>
    <n v="1"/>
  </r>
  <r>
    <s v="CUST0722"/>
    <s v="Male"/>
    <n v="46"/>
    <n v="40"/>
    <s v="One Year"/>
    <x v="2"/>
    <x v="0"/>
    <n v="132.99"/>
    <n v="5673.92"/>
    <x v="1"/>
    <s v="25-48 Months"/>
    <n v="1"/>
  </r>
  <r>
    <s v="CUST0723"/>
    <s v="Female"/>
    <n v="62"/>
    <n v="17"/>
    <s v="Month-to-Month"/>
    <x v="1"/>
    <x v="2"/>
    <n v="88.91"/>
    <n v="1498.71"/>
    <x v="0"/>
    <s v="13-24 Months"/>
    <n v="0"/>
  </r>
  <r>
    <s v="CUST0724"/>
    <s v="Male"/>
    <n v="51"/>
    <n v="52"/>
    <s v="Month-to-Month"/>
    <x v="0"/>
    <x v="2"/>
    <n v="80.84"/>
    <n v="4001.03"/>
    <x v="0"/>
    <s v="49+ Months"/>
    <n v="0"/>
  </r>
  <r>
    <s v="CUST0725"/>
    <s v="Male"/>
    <n v="40"/>
    <n v="52"/>
    <s v="Month-to-Month"/>
    <x v="0"/>
    <x v="0"/>
    <n v="73.39"/>
    <n v="4105.3599999999997"/>
    <x v="0"/>
    <s v="49+ Months"/>
    <n v="0"/>
  </r>
  <r>
    <s v="CUST0726"/>
    <s v="Male"/>
    <n v="54"/>
    <n v="36"/>
    <s v="Month-to-Month"/>
    <x v="0"/>
    <x v="2"/>
    <n v="126.29"/>
    <n v="4270.62"/>
    <x v="1"/>
    <s v="25-48 Months"/>
    <n v="1"/>
  </r>
  <r>
    <s v="CUST0727"/>
    <s v="Male"/>
    <n v="28"/>
    <n v="38"/>
    <s v="Month-to-Month"/>
    <x v="3"/>
    <x v="1"/>
    <n v="136.36000000000001"/>
    <n v="5645.23"/>
    <x v="1"/>
    <s v="25-48 Months"/>
    <n v="1"/>
  </r>
  <r>
    <s v="CUST0728"/>
    <s v="Male"/>
    <n v="23"/>
    <n v="50"/>
    <s v="Month-to-Month"/>
    <x v="2"/>
    <x v="1"/>
    <n v="130.91999999999999"/>
    <n v="6160.6"/>
    <x v="1"/>
    <s v="49+ Months"/>
    <n v="1"/>
  </r>
  <r>
    <s v="CUST0729"/>
    <s v="Male"/>
    <n v="35"/>
    <n v="63"/>
    <s v="Month-to-Month"/>
    <x v="0"/>
    <x v="0"/>
    <n v="107.56"/>
    <n v="6930.35"/>
    <x v="0"/>
    <s v="49+ Months"/>
    <n v="0"/>
  </r>
  <r>
    <s v="CUST0730"/>
    <s v="Female"/>
    <n v="38"/>
    <n v="63"/>
    <s v="One Year"/>
    <x v="1"/>
    <x v="0"/>
    <n v="37.86"/>
    <n v="2253.08"/>
    <x v="0"/>
    <s v="49+ Months"/>
    <n v="0"/>
  </r>
  <r>
    <s v="CUST0731"/>
    <s v="Male"/>
    <n v="59"/>
    <n v="62"/>
    <s v="Month-to-Month"/>
    <x v="0"/>
    <x v="2"/>
    <n v="55.99"/>
    <n v="3503.09"/>
    <x v="0"/>
    <s v="49+ Months"/>
    <n v="0"/>
  </r>
  <r>
    <s v="CUST0732"/>
    <s v="Male"/>
    <n v="53"/>
    <n v="7"/>
    <s v="One Year"/>
    <x v="2"/>
    <x v="2"/>
    <n v="25.99"/>
    <n v="188.62"/>
    <x v="1"/>
    <s v="0-12 Months"/>
    <n v="1"/>
  </r>
  <r>
    <s v="CUST0733"/>
    <s v="Male"/>
    <n v="58"/>
    <n v="27"/>
    <s v="One Year"/>
    <x v="0"/>
    <x v="2"/>
    <n v="141.01"/>
    <n v="3571.39"/>
    <x v="1"/>
    <s v="25-48 Months"/>
    <n v="1"/>
  </r>
  <r>
    <s v="CUST0734"/>
    <s v="Female"/>
    <n v="55"/>
    <n v="14"/>
    <s v="One Year"/>
    <x v="1"/>
    <x v="2"/>
    <n v="105.9"/>
    <n v="1488.79"/>
    <x v="1"/>
    <s v="13-24 Months"/>
    <n v="1"/>
  </r>
  <r>
    <s v="CUST0735"/>
    <s v="Female"/>
    <n v="51"/>
    <n v="71"/>
    <s v="One Year"/>
    <x v="2"/>
    <x v="2"/>
    <n v="117.03"/>
    <n v="8257.7099999999991"/>
    <x v="1"/>
    <s v="49+ Months"/>
    <n v="1"/>
  </r>
  <r>
    <s v="CUST0736"/>
    <s v="Male"/>
    <n v="34"/>
    <n v="5"/>
    <s v="Month-to-Month"/>
    <x v="2"/>
    <x v="0"/>
    <n v="60.5"/>
    <n v="276.55"/>
    <x v="0"/>
    <s v="0-12 Months"/>
    <n v="0"/>
  </r>
  <r>
    <s v="CUST0737"/>
    <s v="Female"/>
    <n v="54"/>
    <n v="55"/>
    <s v="Two Year"/>
    <x v="2"/>
    <x v="2"/>
    <n v="129.93"/>
    <n v="7601.09"/>
    <x v="1"/>
    <s v="49+ Months"/>
    <n v="1"/>
  </r>
  <r>
    <s v="CUST0738"/>
    <s v="Male"/>
    <n v="42"/>
    <n v="2"/>
    <s v="One Year"/>
    <x v="3"/>
    <x v="0"/>
    <n v="53.75"/>
    <n v="103.97"/>
    <x v="0"/>
    <s v="0-12 Months"/>
    <n v="0"/>
  </r>
  <r>
    <s v="CUST0739"/>
    <s v="Male"/>
    <n v="55"/>
    <n v="62"/>
    <s v="Month-to-Month"/>
    <x v="2"/>
    <x v="2"/>
    <n v="20.21"/>
    <n v="1271.71"/>
    <x v="0"/>
    <s v="49+ Months"/>
    <n v="0"/>
  </r>
  <r>
    <s v="CUST0740"/>
    <s v="Female"/>
    <n v="29"/>
    <n v="21"/>
    <s v="Two Year"/>
    <x v="3"/>
    <x v="1"/>
    <n v="68.930000000000007"/>
    <n v="1451.81"/>
    <x v="0"/>
    <s v="13-24 Months"/>
    <n v="0"/>
  </r>
  <r>
    <s v="CUST0741"/>
    <s v="Male"/>
    <n v="40"/>
    <n v="21"/>
    <s v="One Year"/>
    <x v="0"/>
    <x v="0"/>
    <n v="94.2"/>
    <n v="1983.45"/>
    <x v="0"/>
    <s v="13-24 Months"/>
    <n v="0"/>
  </r>
  <r>
    <s v="CUST0742"/>
    <s v="Female"/>
    <n v="70"/>
    <n v="10"/>
    <s v="Month-to-Month"/>
    <x v="3"/>
    <x v="2"/>
    <n v="82.23"/>
    <n v="757.7"/>
    <x v="0"/>
    <s v="0-12 Months"/>
    <n v="0"/>
  </r>
  <r>
    <s v="CUST0743"/>
    <s v="Female"/>
    <n v="59"/>
    <n v="58"/>
    <s v="Month-to-Month"/>
    <x v="3"/>
    <x v="2"/>
    <n v="132.07"/>
    <n v="7542.83"/>
    <x v="1"/>
    <s v="49+ Months"/>
    <n v="1"/>
  </r>
  <r>
    <s v="CUST0744"/>
    <s v="Male"/>
    <n v="39"/>
    <n v="39"/>
    <s v="Month-to-Month"/>
    <x v="0"/>
    <x v="0"/>
    <n v="33.700000000000003"/>
    <n v="1301.78"/>
    <x v="0"/>
    <s v="25-48 Months"/>
    <n v="0"/>
  </r>
  <r>
    <s v="CUST0745"/>
    <s v="Male"/>
    <n v="38"/>
    <n v="5"/>
    <s v="Two Year"/>
    <x v="2"/>
    <x v="0"/>
    <n v="92"/>
    <n v="481.5"/>
    <x v="0"/>
    <s v="0-12 Months"/>
    <n v="0"/>
  </r>
  <r>
    <s v="CUST0746"/>
    <s v="Female"/>
    <n v="44"/>
    <n v="65"/>
    <s v="One Year"/>
    <x v="2"/>
    <x v="0"/>
    <n v="86.69"/>
    <n v="6018.04"/>
    <x v="1"/>
    <s v="49+ Months"/>
    <n v="1"/>
  </r>
  <r>
    <s v="CUST0747"/>
    <s v="Male"/>
    <n v="48"/>
    <n v="13"/>
    <s v="Two Year"/>
    <x v="2"/>
    <x v="0"/>
    <n v="56.58"/>
    <n v="742.16"/>
    <x v="0"/>
    <s v="13-24 Months"/>
    <n v="0"/>
  </r>
  <r>
    <s v="CUST0748"/>
    <s v="Male"/>
    <n v="23"/>
    <n v="53"/>
    <s v="One Year"/>
    <x v="1"/>
    <x v="1"/>
    <n v="126.89"/>
    <n v="6169.38"/>
    <x v="0"/>
    <s v="49+ Months"/>
    <n v="0"/>
  </r>
  <r>
    <s v="CUST0749"/>
    <s v="Male"/>
    <n v="44"/>
    <n v="45"/>
    <s v="Month-to-Month"/>
    <x v="2"/>
    <x v="0"/>
    <n v="117.87"/>
    <n v="5024.99"/>
    <x v="0"/>
    <s v="25-48 Months"/>
    <n v="0"/>
  </r>
  <r>
    <s v="CUST0750"/>
    <s v="Female"/>
    <n v="57"/>
    <n v="32"/>
    <s v="Month-to-Month"/>
    <x v="2"/>
    <x v="2"/>
    <n v="115.27"/>
    <n v="3441.45"/>
    <x v="1"/>
    <s v="25-48 Months"/>
    <n v="1"/>
  </r>
  <r>
    <s v="CUST0751"/>
    <s v="Female"/>
    <n v="51"/>
    <n v="36"/>
    <s v="One Year"/>
    <x v="0"/>
    <x v="2"/>
    <n v="133.91"/>
    <n v="4458.83"/>
    <x v="1"/>
    <s v="25-48 Months"/>
    <n v="1"/>
  </r>
  <r>
    <s v="CUST0752"/>
    <s v="Male"/>
    <n v="29"/>
    <n v="60"/>
    <s v="One Year"/>
    <x v="3"/>
    <x v="1"/>
    <n v="113.96"/>
    <n v="6654.21"/>
    <x v="0"/>
    <s v="49+ Months"/>
    <n v="0"/>
  </r>
  <r>
    <s v="CUST0753"/>
    <s v="Female"/>
    <n v="62"/>
    <n v="11"/>
    <s v="Two Year"/>
    <x v="2"/>
    <x v="2"/>
    <n v="50.14"/>
    <n v="521.69000000000005"/>
    <x v="1"/>
    <s v="0-12 Months"/>
    <n v="1"/>
  </r>
  <r>
    <s v="CUST0754"/>
    <s v="Female"/>
    <n v="70"/>
    <n v="63"/>
    <s v="Month-to-Month"/>
    <x v="2"/>
    <x v="2"/>
    <n v="111.72"/>
    <n v="6641.82"/>
    <x v="0"/>
    <s v="49+ Months"/>
    <n v="0"/>
  </r>
  <r>
    <s v="CUST0755"/>
    <s v="Female"/>
    <n v="24"/>
    <n v="21"/>
    <s v="Month-to-Month"/>
    <x v="2"/>
    <x v="1"/>
    <n v="60"/>
    <n v="1147.78"/>
    <x v="0"/>
    <s v="13-24 Months"/>
    <n v="0"/>
  </r>
  <r>
    <s v="CUST0756"/>
    <s v="Female"/>
    <n v="27"/>
    <n v="52"/>
    <s v="One Year"/>
    <x v="3"/>
    <x v="1"/>
    <n v="51.48"/>
    <n v="2418.7199999999998"/>
    <x v="0"/>
    <s v="49+ Months"/>
    <n v="0"/>
  </r>
  <r>
    <s v="CUST0757"/>
    <s v="Female"/>
    <n v="62"/>
    <n v="55"/>
    <s v="One Year"/>
    <x v="1"/>
    <x v="2"/>
    <n v="29.49"/>
    <n v="1493.09"/>
    <x v="0"/>
    <s v="49+ Months"/>
    <n v="0"/>
  </r>
  <r>
    <s v="CUST0758"/>
    <s v="Male"/>
    <n v="34"/>
    <n v="26"/>
    <s v="One Year"/>
    <x v="2"/>
    <x v="0"/>
    <n v="116.72"/>
    <n v="2835.76"/>
    <x v="0"/>
    <s v="25-48 Months"/>
    <n v="0"/>
  </r>
  <r>
    <s v="CUST0759"/>
    <s v="Male"/>
    <n v="43"/>
    <n v="68"/>
    <s v="One Year"/>
    <x v="2"/>
    <x v="0"/>
    <n v="112.43"/>
    <n v="7539.71"/>
    <x v="1"/>
    <s v="49+ Months"/>
    <n v="1"/>
  </r>
  <r>
    <s v="CUST0760"/>
    <s v="Male"/>
    <n v="38"/>
    <n v="34"/>
    <s v="Month-to-Month"/>
    <x v="2"/>
    <x v="0"/>
    <n v="50.48"/>
    <n v="1719.93"/>
    <x v="0"/>
    <s v="25-48 Months"/>
    <n v="0"/>
  </r>
  <r>
    <s v="CUST0761"/>
    <s v="Female"/>
    <n v="45"/>
    <n v="52"/>
    <s v="One Year"/>
    <x v="2"/>
    <x v="0"/>
    <n v="117.42"/>
    <n v="5666.94"/>
    <x v="0"/>
    <s v="49+ Months"/>
    <n v="0"/>
  </r>
  <r>
    <s v="CUST0762"/>
    <s v="Female"/>
    <n v="63"/>
    <n v="52"/>
    <s v="One Year"/>
    <x v="3"/>
    <x v="2"/>
    <n v="139.32"/>
    <n v="7135.66"/>
    <x v="0"/>
    <s v="49+ Months"/>
    <n v="0"/>
  </r>
  <r>
    <s v="CUST0763"/>
    <s v="Male"/>
    <n v="19"/>
    <n v="29"/>
    <s v="Two Year"/>
    <x v="1"/>
    <x v="1"/>
    <n v="34.04"/>
    <n v="955.92"/>
    <x v="0"/>
    <s v="25-48 Months"/>
    <n v="0"/>
  </r>
  <r>
    <s v="CUST0764"/>
    <s v="Female"/>
    <n v="60"/>
    <n v="38"/>
    <s v="Two Year"/>
    <x v="0"/>
    <x v="2"/>
    <n v="50.24"/>
    <n v="1788.24"/>
    <x v="0"/>
    <s v="25-48 Months"/>
    <n v="0"/>
  </r>
  <r>
    <s v="CUST0765"/>
    <s v="Male"/>
    <n v="18"/>
    <n v="42"/>
    <s v="Month-to-Month"/>
    <x v="3"/>
    <x v="1"/>
    <n v="117.53"/>
    <n v="4449.3900000000003"/>
    <x v="0"/>
    <s v="25-48 Months"/>
    <n v="0"/>
  </r>
  <r>
    <s v="CUST0766"/>
    <s v="Male"/>
    <n v="68"/>
    <n v="21"/>
    <s v="Month-to-Month"/>
    <x v="2"/>
    <x v="2"/>
    <n v="55.69"/>
    <n v="1161.78"/>
    <x v="0"/>
    <s v="13-24 Months"/>
    <n v="0"/>
  </r>
  <r>
    <s v="CUST0767"/>
    <s v="Male"/>
    <n v="70"/>
    <n v="42"/>
    <s v="Two Year"/>
    <x v="1"/>
    <x v="2"/>
    <n v="101.21"/>
    <n v="4408.6499999999996"/>
    <x v="0"/>
    <s v="25-48 Months"/>
    <n v="0"/>
  </r>
  <r>
    <s v="CUST0768"/>
    <s v="Female"/>
    <n v="53"/>
    <n v="13"/>
    <s v="Month-to-Month"/>
    <x v="3"/>
    <x v="2"/>
    <n v="30.55"/>
    <n v="375.41"/>
    <x v="0"/>
    <s v="13-24 Months"/>
    <n v="0"/>
  </r>
  <r>
    <s v="CUST0769"/>
    <s v="Female"/>
    <n v="68"/>
    <n v="64"/>
    <s v="Two Year"/>
    <x v="0"/>
    <x v="2"/>
    <n v="78.790000000000006"/>
    <n v="4671.2299999999996"/>
    <x v="0"/>
    <s v="49+ Months"/>
    <n v="0"/>
  </r>
  <r>
    <s v="CUST0770"/>
    <s v="Male"/>
    <n v="43"/>
    <n v="17"/>
    <s v="Month-to-Month"/>
    <x v="1"/>
    <x v="0"/>
    <n v="116.08"/>
    <n v="2126.11"/>
    <x v="1"/>
    <s v="13-24 Months"/>
    <n v="1"/>
  </r>
  <r>
    <s v="CUST0771"/>
    <s v="Male"/>
    <n v="46"/>
    <n v="9"/>
    <s v="One Year"/>
    <x v="2"/>
    <x v="0"/>
    <n v="109.25"/>
    <n v="939.01"/>
    <x v="0"/>
    <s v="0-12 Months"/>
    <n v="0"/>
  </r>
  <r>
    <s v="CUST0772"/>
    <s v="Male"/>
    <n v="38"/>
    <n v="41"/>
    <s v="Two Year"/>
    <x v="2"/>
    <x v="0"/>
    <n v="125.96"/>
    <n v="4878.8900000000003"/>
    <x v="0"/>
    <s v="25-48 Months"/>
    <n v="0"/>
  </r>
  <r>
    <s v="CUST0773"/>
    <s v="Male"/>
    <n v="28"/>
    <n v="1"/>
    <s v="Two Year"/>
    <x v="2"/>
    <x v="1"/>
    <n v="134.07"/>
    <n v="143.65"/>
    <x v="1"/>
    <s v="0-12 Months"/>
    <n v="1"/>
  </r>
  <r>
    <s v="CUST0774"/>
    <s v="Female"/>
    <n v="57"/>
    <n v="2"/>
    <s v="Month-to-Month"/>
    <x v="0"/>
    <x v="2"/>
    <n v="120.51"/>
    <n v="256.31"/>
    <x v="0"/>
    <s v="0-12 Months"/>
    <n v="0"/>
  </r>
  <r>
    <s v="CUST0775"/>
    <s v="Female"/>
    <n v="28"/>
    <n v="60"/>
    <s v="One Year"/>
    <x v="1"/>
    <x v="1"/>
    <n v="107.31"/>
    <n v="6372.08"/>
    <x v="0"/>
    <s v="49+ Months"/>
    <n v="0"/>
  </r>
  <r>
    <s v="CUST0776"/>
    <s v="Male"/>
    <n v="53"/>
    <n v="48"/>
    <s v="Month-to-Month"/>
    <x v="3"/>
    <x v="2"/>
    <n v="24.12"/>
    <n v="1155.27"/>
    <x v="1"/>
    <s v="25-48 Months"/>
    <n v="1"/>
  </r>
  <r>
    <s v="CUST0777"/>
    <s v="Male"/>
    <n v="66"/>
    <n v="29"/>
    <s v="Month-to-Month"/>
    <x v="1"/>
    <x v="2"/>
    <n v="89.55"/>
    <n v="2450.35"/>
    <x v="0"/>
    <s v="25-48 Months"/>
    <n v="0"/>
  </r>
  <r>
    <s v="CUST0778"/>
    <s v="Female"/>
    <n v="56"/>
    <n v="10"/>
    <s v="One Year"/>
    <x v="3"/>
    <x v="2"/>
    <n v="24.9"/>
    <n v="228"/>
    <x v="0"/>
    <s v="0-12 Months"/>
    <n v="0"/>
  </r>
  <r>
    <s v="CUST0779"/>
    <s v="Female"/>
    <n v="57"/>
    <n v="58"/>
    <s v="One Year"/>
    <x v="3"/>
    <x v="2"/>
    <n v="125.05"/>
    <n v="7359.42"/>
    <x v="1"/>
    <s v="49+ Months"/>
    <n v="1"/>
  </r>
  <r>
    <s v="CUST0780"/>
    <s v="Male"/>
    <n v="52"/>
    <n v="60"/>
    <s v="Two Year"/>
    <x v="2"/>
    <x v="2"/>
    <n v="61.69"/>
    <n v="3404.06"/>
    <x v="0"/>
    <s v="49+ Months"/>
    <n v="0"/>
  </r>
  <r>
    <s v="CUST0781"/>
    <s v="Male"/>
    <n v="51"/>
    <n v="21"/>
    <s v="Month-to-Month"/>
    <x v="0"/>
    <x v="2"/>
    <n v="93.12"/>
    <n v="1935.68"/>
    <x v="0"/>
    <s v="13-24 Months"/>
    <n v="0"/>
  </r>
  <r>
    <s v="CUST0782"/>
    <s v="Male"/>
    <n v="64"/>
    <n v="28"/>
    <s v="Month-to-Month"/>
    <x v="2"/>
    <x v="2"/>
    <n v="56.33"/>
    <n v="1716.19"/>
    <x v="1"/>
    <s v="25-48 Months"/>
    <n v="1"/>
  </r>
  <r>
    <s v="CUST0783"/>
    <s v="Female"/>
    <n v="41"/>
    <n v="34"/>
    <s v="Month-to-Month"/>
    <x v="1"/>
    <x v="0"/>
    <n v="121.73"/>
    <n v="4513.66"/>
    <x v="0"/>
    <s v="25-48 Months"/>
    <n v="0"/>
  </r>
  <r>
    <s v="CUST0784"/>
    <s v="Female"/>
    <n v="39"/>
    <n v="8"/>
    <s v="Month-to-Month"/>
    <x v="3"/>
    <x v="0"/>
    <n v="135.25"/>
    <n v="1025.5899999999999"/>
    <x v="0"/>
    <s v="0-12 Months"/>
    <n v="0"/>
  </r>
  <r>
    <s v="CUST0785"/>
    <s v="Female"/>
    <n v="22"/>
    <n v="59"/>
    <s v="Month-to-Month"/>
    <x v="2"/>
    <x v="1"/>
    <n v="71.819999999999993"/>
    <n v="4342.5600000000004"/>
    <x v="0"/>
    <s v="49+ Months"/>
    <n v="0"/>
  </r>
  <r>
    <s v="CUST0786"/>
    <s v="Male"/>
    <n v="50"/>
    <n v="72"/>
    <s v="One Year"/>
    <x v="1"/>
    <x v="2"/>
    <n v="132.18"/>
    <n v="9467.6200000000008"/>
    <x v="0"/>
    <s v="49+ Months"/>
    <n v="0"/>
  </r>
  <r>
    <s v="CUST0787"/>
    <s v="Male"/>
    <n v="53"/>
    <n v="49"/>
    <s v="Month-to-Month"/>
    <x v="1"/>
    <x v="2"/>
    <n v="54.72"/>
    <n v="2882.74"/>
    <x v="0"/>
    <s v="49+ Months"/>
    <n v="0"/>
  </r>
  <r>
    <s v="CUST0788"/>
    <s v="Female"/>
    <n v="64"/>
    <n v="17"/>
    <s v="Two Year"/>
    <x v="0"/>
    <x v="2"/>
    <n v="89.51"/>
    <n v="1452.11"/>
    <x v="0"/>
    <s v="13-24 Months"/>
    <n v="0"/>
  </r>
  <r>
    <s v="CUST0789"/>
    <s v="Female"/>
    <n v="37"/>
    <n v="60"/>
    <s v="Two Year"/>
    <x v="0"/>
    <x v="0"/>
    <n v="131.63999999999999"/>
    <n v="7114.41"/>
    <x v="0"/>
    <s v="49+ Months"/>
    <n v="0"/>
  </r>
  <r>
    <s v="CUST0790"/>
    <s v="Male"/>
    <n v="36"/>
    <n v="45"/>
    <s v="One Year"/>
    <x v="0"/>
    <x v="0"/>
    <n v="62.36"/>
    <n v="2616.8200000000002"/>
    <x v="0"/>
    <s v="25-48 Months"/>
    <n v="0"/>
  </r>
  <r>
    <s v="CUST0791"/>
    <s v="Female"/>
    <n v="52"/>
    <n v="69"/>
    <s v="Two Year"/>
    <x v="2"/>
    <x v="2"/>
    <n v="144.03"/>
    <n v="9638.98"/>
    <x v="0"/>
    <s v="49+ Months"/>
    <n v="0"/>
  </r>
  <r>
    <s v="CUST0792"/>
    <s v="Female"/>
    <n v="69"/>
    <n v="32"/>
    <s v="One Year"/>
    <x v="2"/>
    <x v="2"/>
    <n v="35.840000000000003"/>
    <n v="1104.6099999999999"/>
    <x v="1"/>
    <s v="25-48 Months"/>
    <n v="1"/>
  </r>
  <r>
    <s v="CUST0793"/>
    <s v="Male"/>
    <n v="60"/>
    <n v="44"/>
    <s v="Month-to-Month"/>
    <x v="2"/>
    <x v="2"/>
    <n v="22.38"/>
    <n v="1042.0999999999999"/>
    <x v="0"/>
    <s v="25-48 Months"/>
    <n v="0"/>
  </r>
  <r>
    <s v="CUST0794"/>
    <s v="Female"/>
    <n v="34"/>
    <n v="65"/>
    <s v="Month-to-Month"/>
    <x v="0"/>
    <x v="0"/>
    <n v="137.54"/>
    <n v="9262.9500000000007"/>
    <x v="0"/>
    <s v="49+ Months"/>
    <n v="0"/>
  </r>
  <r>
    <s v="CUST0795"/>
    <s v="Male"/>
    <n v="62"/>
    <n v="8"/>
    <s v="Month-to-Month"/>
    <x v="2"/>
    <x v="2"/>
    <n v="28.92"/>
    <n v="222.09"/>
    <x v="1"/>
    <s v="0-12 Months"/>
    <n v="1"/>
  </r>
  <r>
    <s v="CUST0796"/>
    <s v="Male"/>
    <n v="60"/>
    <n v="72"/>
    <s v="One Year"/>
    <x v="3"/>
    <x v="2"/>
    <n v="148.94999999999999"/>
    <n v="10633.77"/>
    <x v="1"/>
    <s v="49+ Months"/>
    <n v="1"/>
  </r>
  <r>
    <s v="CUST0797"/>
    <s v="Male"/>
    <n v="51"/>
    <n v="43"/>
    <s v="Two Year"/>
    <x v="0"/>
    <x v="2"/>
    <n v="143.68"/>
    <n v="5678.49"/>
    <x v="0"/>
    <s v="25-48 Months"/>
    <n v="0"/>
  </r>
  <r>
    <s v="CUST0798"/>
    <s v="Male"/>
    <n v="26"/>
    <n v="1"/>
    <s v="Month-to-Month"/>
    <x v="1"/>
    <x v="1"/>
    <n v="37.81"/>
    <n v="40.82"/>
    <x v="0"/>
    <s v="0-12 Months"/>
    <n v="0"/>
  </r>
  <r>
    <s v="CUST0799"/>
    <s v="Male"/>
    <n v="43"/>
    <n v="51"/>
    <s v="Two Year"/>
    <x v="0"/>
    <x v="0"/>
    <n v="89.89"/>
    <n v="4983.62"/>
    <x v="0"/>
    <s v="49+ Months"/>
    <n v="0"/>
  </r>
  <r>
    <s v="CUST0800"/>
    <s v="Male"/>
    <n v="19"/>
    <n v="24"/>
    <s v="One Year"/>
    <x v="0"/>
    <x v="1"/>
    <n v="44.04"/>
    <n v="1158.3900000000001"/>
    <x v="0"/>
    <s v="13-24 Months"/>
    <n v="0"/>
  </r>
  <r>
    <s v="CUST0801"/>
    <s v="Male"/>
    <n v="70"/>
    <n v="24"/>
    <s v="Month-to-Month"/>
    <x v="3"/>
    <x v="2"/>
    <n v="75.66"/>
    <n v="1949.69"/>
    <x v="0"/>
    <s v="13-24 Months"/>
    <n v="0"/>
  </r>
  <r>
    <s v="CUST0802"/>
    <s v="Female"/>
    <n v="26"/>
    <n v="17"/>
    <s v="Two Year"/>
    <x v="2"/>
    <x v="1"/>
    <n v="27.99"/>
    <n v="444.8"/>
    <x v="0"/>
    <s v="13-24 Months"/>
    <n v="0"/>
  </r>
  <r>
    <s v="CUST0803"/>
    <s v="Male"/>
    <n v="26"/>
    <n v="5"/>
    <s v="Month-to-Month"/>
    <x v="2"/>
    <x v="1"/>
    <n v="49.11"/>
    <n v="223.26"/>
    <x v="1"/>
    <s v="0-12 Months"/>
    <n v="1"/>
  </r>
  <r>
    <s v="CUST0804"/>
    <s v="Male"/>
    <n v="57"/>
    <n v="20"/>
    <s v="Month-to-Month"/>
    <x v="1"/>
    <x v="2"/>
    <n v="67.23"/>
    <n v="1366.01"/>
    <x v="0"/>
    <s v="13-24 Months"/>
    <n v="0"/>
  </r>
  <r>
    <s v="CUST0805"/>
    <s v="Female"/>
    <n v="34"/>
    <n v="21"/>
    <s v="One Year"/>
    <x v="2"/>
    <x v="0"/>
    <n v="77.02"/>
    <n v="1750.89"/>
    <x v="0"/>
    <s v="13-24 Months"/>
    <n v="0"/>
  </r>
  <r>
    <s v="CUST0806"/>
    <s v="Female"/>
    <n v="18"/>
    <n v="58"/>
    <s v="Month-to-Month"/>
    <x v="2"/>
    <x v="1"/>
    <n v="147.07"/>
    <n v="7979.62"/>
    <x v="0"/>
    <s v="49+ Months"/>
    <n v="0"/>
  </r>
  <r>
    <s v="CUST0807"/>
    <s v="Female"/>
    <n v="42"/>
    <n v="31"/>
    <s v="One Year"/>
    <x v="0"/>
    <x v="0"/>
    <n v="125.02"/>
    <n v="3493.52"/>
    <x v="0"/>
    <s v="25-48 Months"/>
    <n v="0"/>
  </r>
  <r>
    <s v="CUST0808"/>
    <s v="Male"/>
    <n v="60"/>
    <n v="11"/>
    <s v="Month-to-Month"/>
    <x v="2"/>
    <x v="2"/>
    <n v="115.86"/>
    <n v="1352.33"/>
    <x v="1"/>
    <s v="0-12 Months"/>
    <n v="1"/>
  </r>
  <r>
    <s v="CUST0809"/>
    <s v="Female"/>
    <n v="57"/>
    <n v="52"/>
    <s v="Month-to-Month"/>
    <x v="4"/>
    <x v="2"/>
    <n v="89.82"/>
    <n v="4275.3100000000004"/>
    <x v="0"/>
    <s v="49+ Months"/>
    <n v="0"/>
  </r>
  <r>
    <s v="CUST0810"/>
    <s v="Male"/>
    <n v="59"/>
    <n v="15"/>
    <s v="Two Year"/>
    <x v="2"/>
    <x v="2"/>
    <n v="129.19999999999999"/>
    <n v="1904.55"/>
    <x v="0"/>
    <s v="13-24 Months"/>
    <n v="0"/>
  </r>
  <r>
    <s v="CUST0811"/>
    <s v="Male"/>
    <n v="42"/>
    <n v="7"/>
    <s v="Month-to-Month"/>
    <x v="3"/>
    <x v="0"/>
    <n v="64.11"/>
    <n v="464.83"/>
    <x v="1"/>
    <s v="0-12 Months"/>
    <n v="1"/>
  </r>
  <r>
    <s v="CUST0812"/>
    <s v="Male"/>
    <n v="56"/>
    <n v="28"/>
    <s v="Month-to-Month"/>
    <x v="1"/>
    <x v="2"/>
    <n v="112.16"/>
    <n v="2975.16"/>
    <x v="1"/>
    <s v="25-48 Months"/>
    <n v="1"/>
  </r>
  <r>
    <s v="CUST0813"/>
    <s v="Male"/>
    <n v="52"/>
    <n v="51"/>
    <s v="Month-to-Month"/>
    <x v="1"/>
    <x v="2"/>
    <n v="149.19"/>
    <n v="6975.59"/>
    <x v="0"/>
    <s v="49+ Months"/>
    <n v="0"/>
  </r>
  <r>
    <s v="CUST0814"/>
    <s v="Female"/>
    <n v="20"/>
    <n v="58"/>
    <s v="Two Year"/>
    <x v="1"/>
    <x v="1"/>
    <n v="60.9"/>
    <n v="3722.95"/>
    <x v="0"/>
    <s v="49+ Months"/>
    <n v="0"/>
  </r>
  <r>
    <s v="CUST0815"/>
    <s v="Female"/>
    <n v="67"/>
    <n v="5"/>
    <s v="Month-to-Month"/>
    <x v="3"/>
    <x v="2"/>
    <n v="107.62"/>
    <n v="552.11"/>
    <x v="1"/>
    <s v="0-12 Months"/>
    <n v="1"/>
  </r>
  <r>
    <s v="CUST0816"/>
    <s v="Male"/>
    <n v="54"/>
    <n v="5"/>
    <s v="Month-to-Month"/>
    <x v="2"/>
    <x v="2"/>
    <n v="129.76"/>
    <n v="712.19"/>
    <x v="0"/>
    <s v="0-12 Months"/>
    <n v="0"/>
  </r>
  <r>
    <s v="CUST0817"/>
    <s v="Male"/>
    <n v="61"/>
    <n v="8"/>
    <s v="Month-to-Month"/>
    <x v="3"/>
    <x v="2"/>
    <n v="139.05000000000001"/>
    <n v="1077.76"/>
    <x v="1"/>
    <s v="0-12 Months"/>
    <n v="1"/>
  </r>
  <r>
    <s v="CUST0818"/>
    <s v="Male"/>
    <n v="61"/>
    <n v="64"/>
    <s v="Month-to-Month"/>
    <x v="1"/>
    <x v="2"/>
    <n v="113.33"/>
    <n v="6617.4"/>
    <x v="1"/>
    <s v="49+ Months"/>
    <n v="1"/>
  </r>
  <r>
    <s v="CUST0819"/>
    <s v="Female"/>
    <n v="68"/>
    <n v="10"/>
    <s v="Two Year"/>
    <x v="1"/>
    <x v="2"/>
    <n v="56.87"/>
    <n v="595.35"/>
    <x v="1"/>
    <s v="0-12 Months"/>
    <n v="1"/>
  </r>
  <r>
    <s v="CUST0820"/>
    <s v="Male"/>
    <n v="47"/>
    <n v="38"/>
    <s v="One Year"/>
    <x v="0"/>
    <x v="0"/>
    <n v="62.42"/>
    <n v="2382.27"/>
    <x v="0"/>
    <s v="25-48 Months"/>
    <n v="0"/>
  </r>
  <r>
    <s v="CUST0821"/>
    <s v="Male"/>
    <n v="55"/>
    <n v="8"/>
    <s v="Month-to-Month"/>
    <x v="2"/>
    <x v="2"/>
    <n v="22.7"/>
    <n v="171.18"/>
    <x v="0"/>
    <s v="0-12 Months"/>
    <n v="0"/>
  </r>
  <r>
    <s v="CUST0822"/>
    <s v="Female"/>
    <n v="51"/>
    <n v="25"/>
    <s v="One Year"/>
    <x v="0"/>
    <x v="2"/>
    <n v="118.92"/>
    <n v="3140.52"/>
    <x v="0"/>
    <s v="25-48 Months"/>
    <n v="0"/>
  </r>
  <r>
    <s v="CUST0823"/>
    <s v="Female"/>
    <n v="29"/>
    <n v="66"/>
    <s v="Month-to-Month"/>
    <x v="1"/>
    <x v="1"/>
    <n v="25.56"/>
    <n v="1587.01"/>
    <x v="0"/>
    <s v="49+ Months"/>
    <n v="0"/>
  </r>
  <r>
    <s v="CUST0824"/>
    <s v="Male"/>
    <n v="36"/>
    <n v="50"/>
    <s v="Two Year"/>
    <x v="2"/>
    <x v="0"/>
    <n v="132.4"/>
    <n v="6303.12"/>
    <x v="0"/>
    <s v="49+ Months"/>
    <n v="0"/>
  </r>
  <r>
    <s v="CUST0825"/>
    <s v="Female"/>
    <n v="54"/>
    <n v="67"/>
    <s v="Two Year"/>
    <x v="1"/>
    <x v="2"/>
    <n v="35.43"/>
    <n v="2180.36"/>
    <x v="0"/>
    <s v="49+ Months"/>
    <n v="0"/>
  </r>
  <r>
    <s v="CUST0826"/>
    <s v="Female"/>
    <n v="61"/>
    <n v="49"/>
    <s v="Month-to-Month"/>
    <x v="2"/>
    <x v="2"/>
    <n v="42.34"/>
    <n v="2032.93"/>
    <x v="0"/>
    <s v="49+ Months"/>
    <n v="0"/>
  </r>
  <r>
    <s v="CUST0827"/>
    <s v="Male"/>
    <n v="66"/>
    <n v="36"/>
    <s v="Two Year"/>
    <x v="2"/>
    <x v="2"/>
    <n v="81.95"/>
    <n v="2902.36"/>
    <x v="0"/>
    <s v="25-48 Months"/>
    <n v="0"/>
  </r>
  <r>
    <s v="CUST0828"/>
    <s v="Female"/>
    <n v="34"/>
    <n v="68"/>
    <s v="One Year"/>
    <x v="2"/>
    <x v="0"/>
    <n v="115.92"/>
    <n v="7905.52"/>
    <x v="0"/>
    <s v="49+ Months"/>
    <n v="0"/>
  </r>
  <r>
    <s v="CUST0829"/>
    <s v="Male"/>
    <n v="27"/>
    <n v="41"/>
    <s v="Month-to-Month"/>
    <x v="2"/>
    <x v="1"/>
    <n v="38.07"/>
    <n v="1626.1"/>
    <x v="1"/>
    <s v="25-48 Months"/>
    <n v="1"/>
  </r>
  <r>
    <s v="CUST0830"/>
    <s v="Female"/>
    <n v="66"/>
    <n v="62"/>
    <s v="Month-to-Month"/>
    <x v="0"/>
    <x v="2"/>
    <n v="77.209999999999994"/>
    <n v="5175.82"/>
    <x v="1"/>
    <s v="49+ Months"/>
    <n v="1"/>
  </r>
  <r>
    <s v="CUST0831"/>
    <s v="Male"/>
    <n v="64"/>
    <n v="10"/>
    <s v="Month-to-Month"/>
    <x v="2"/>
    <x v="2"/>
    <n v="82.77"/>
    <n v="767.73"/>
    <x v="1"/>
    <s v="0-12 Months"/>
    <n v="1"/>
  </r>
  <r>
    <s v="CUST0832"/>
    <s v="Male"/>
    <n v="29"/>
    <n v="21"/>
    <s v="One Year"/>
    <x v="3"/>
    <x v="1"/>
    <n v="47.6"/>
    <n v="910.51"/>
    <x v="0"/>
    <s v="13-24 Months"/>
    <n v="0"/>
  </r>
  <r>
    <s v="CUST0833"/>
    <s v="Male"/>
    <n v="33"/>
    <n v="36"/>
    <s v="Two Year"/>
    <x v="0"/>
    <x v="0"/>
    <n v="35.020000000000003"/>
    <n v="1139.32"/>
    <x v="0"/>
    <s v="25-48 Months"/>
    <n v="0"/>
  </r>
  <r>
    <s v="CUST0834"/>
    <s v="Female"/>
    <n v="41"/>
    <n v="12"/>
    <s v="One Year"/>
    <x v="2"/>
    <x v="0"/>
    <n v="128.72999999999999"/>
    <n v="1434.66"/>
    <x v="0"/>
    <s v="0-12 Months"/>
    <n v="0"/>
  </r>
  <r>
    <s v="CUST0835"/>
    <s v="Male"/>
    <n v="36"/>
    <n v="2"/>
    <s v="Two Year"/>
    <x v="1"/>
    <x v="0"/>
    <n v="85.32"/>
    <n v="176.03"/>
    <x v="1"/>
    <s v="0-12 Months"/>
    <n v="1"/>
  </r>
  <r>
    <s v="CUST0836"/>
    <s v="Female"/>
    <n v="25"/>
    <n v="13"/>
    <s v="One Year"/>
    <x v="3"/>
    <x v="1"/>
    <n v="21.87"/>
    <n v="297.24"/>
    <x v="0"/>
    <s v="13-24 Months"/>
    <n v="0"/>
  </r>
  <r>
    <s v="CUST0837"/>
    <s v="Male"/>
    <n v="48"/>
    <n v="53"/>
    <s v="Two Year"/>
    <x v="1"/>
    <x v="0"/>
    <n v="124.39"/>
    <n v="6970.44"/>
    <x v="0"/>
    <s v="49+ Months"/>
    <n v="0"/>
  </r>
  <r>
    <s v="CUST0838"/>
    <s v="Male"/>
    <n v="38"/>
    <n v="32"/>
    <s v="One Year"/>
    <x v="2"/>
    <x v="0"/>
    <n v="147.5"/>
    <n v="4478.0600000000004"/>
    <x v="0"/>
    <s v="25-48 Months"/>
    <n v="0"/>
  </r>
  <r>
    <s v="CUST0839"/>
    <s v="Female"/>
    <n v="34"/>
    <n v="16"/>
    <s v="Month-to-Month"/>
    <x v="3"/>
    <x v="0"/>
    <n v="98.77"/>
    <n v="1518.97"/>
    <x v="0"/>
    <s v="13-24 Months"/>
    <n v="0"/>
  </r>
  <r>
    <s v="CUST0840"/>
    <s v="Male"/>
    <n v="40"/>
    <n v="32"/>
    <s v="One Year"/>
    <x v="1"/>
    <x v="0"/>
    <n v="85.48"/>
    <n v="2726.13"/>
    <x v="0"/>
    <s v="25-48 Months"/>
    <n v="0"/>
  </r>
  <r>
    <s v="CUST0841"/>
    <s v="Male"/>
    <n v="54"/>
    <n v="32"/>
    <s v="Two Year"/>
    <x v="2"/>
    <x v="2"/>
    <n v="134.19"/>
    <n v="3918.93"/>
    <x v="0"/>
    <s v="25-48 Months"/>
    <n v="0"/>
  </r>
  <r>
    <s v="CUST0842"/>
    <s v="Female"/>
    <n v="33"/>
    <n v="11"/>
    <s v="Month-to-Month"/>
    <x v="2"/>
    <x v="0"/>
    <n v="143.83000000000001"/>
    <n v="1617.3"/>
    <x v="0"/>
    <s v="0-12 Months"/>
    <n v="0"/>
  </r>
  <r>
    <s v="CUST0843"/>
    <s v="Male"/>
    <n v="23"/>
    <n v="10"/>
    <s v="Two Year"/>
    <x v="0"/>
    <x v="1"/>
    <n v="118.09"/>
    <n v="1295.1500000000001"/>
    <x v="0"/>
    <s v="0-12 Months"/>
    <n v="0"/>
  </r>
  <r>
    <s v="CUST0844"/>
    <s v="Male"/>
    <n v="25"/>
    <n v="15"/>
    <s v="Month-to-Month"/>
    <x v="2"/>
    <x v="1"/>
    <n v="77.91"/>
    <n v="1136.1199999999999"/>
    <x v="1"/>
    <s v="13-24 Months"/>
    <n v="1"/>
  </r>
  <r>
    <s v="CUST0845"/>
    <s v="Male"/>
    <n v="42"/>
    <n v="17"/>
    <s v="Month-to-Month"/>
    <x v="3"/>
    <x v="0"/>
    <n v="96.99"/>
    <n v="1732.21"/>
    <x v="1"/>
    <s v="13-24 Months"/>
    <n v="1"/>
  </r>
  <r>
    <s v="CUST0846"/>
    <s v="Male"/>
    <n v="35"/>
    <n v="40"/>
    <s v="Two Year"/>
    <x v="0"/>
    <x v="0"/>
    <n v="111.12"/>
    <n v="4444.83"/>
    <x v="0"/>
    <s v="25-48 Months"/>
    <n v="0"/>
  </r>
  <r>
    <s v="CUST0847"/>
    <s v="Female"/>
    <n v="42"/>
    <n v="18"/>
    <s v="Month-to-Month"/>
    <x v="3"/>
    <x v="0"/>
    <n v="45.26"/>
    <n v="754.04"/>
    <x v="1"/>
    <s v="13-24 Months"/>
    <n v="1"/>
  </r>
  <r>
    <s v="CUST0848"/>
    <s v="Female"/>
    <n v="29"/>
    <n v="55"/>
    <s v="Month-to-Month"/>
    <x v="0"/>
    <x v="1"/>
    <n v="83.07"/>
    <n v="4368.3900000000003"/>
    <x v="0"/>
    <s v="49+ Months"/>
    <n v="0"/>
  </r>
  <r>
    <s v="CUST0849"/>
    <s v="Male"/>
    <n v="32"/>
    <n v="25"/>
    <s v="Month-to-Month"/>
    <x v="2"/>
    <x v="0"/>
    <n v="127.88"/>
    <n v="3069.04"/>
    <x v="1"/>
    <s v="25-48 Months"/>
    <n v="1"/>
  </r>
  <r>
    <s v="CUST0850"/>
    <s v="Female"/>
    <n v="43"/>
    <n v="59"/>
    <s v="Two Year"/>
    <x v="2"/>
    <x v="0"/>
    <n v="105.11"/>
    <n v="5624.01"/>
    <x v="0"/>
    <s v="49+ Months"/>
    <n v="0"/>
  </r>
  <r>
    <s v="CUST0851"/>
    <s v="Male"/>
    <n v="58"/>
    <n v="22"/>
    <s v="Month-to-Month"/>
    <x v="0"/>
    <x v="2"/>
    <n v="73.459999999999994"/>
    <n v="1659.73"/>
    <x v="0"/>
    <s v="13-24 Months"/>
    <n v="0"/>
  </r>
  <r>
    <s v="CUST0852"/>
    <s v="Female"/>
    <n v="62"/>
    <n v="30"/>
    <s v="Two Year"/>
    <x v="1"/>
    <x v="2"/>
    <n v="106.24"/>
    <n v="3416"/>
    <x v="0"/>
    <s v="25-48 Months"/>
    <n v="0"/>
  </r>
  <r>
    <s v="CUST0853"/>
    <s v="Male"/>
    <n v="43"/>
    <n v="44"/>
    <s v="Month-to-Month"/>
    <x v="1"/>
    <x v="0"/>
    <n v="35.369999999999997"/>
    <n v="1507.96"/>
    <x v="0"/>
    <s v="25-48 Months"/>
    <n v="0"/>
  </r>
  <r>
    <s v="CUST0854"/>
    <s v="Male"/>
    <n v="64"/>
    <n v="32"/>
    <s v="Two Year"/>
    <x v="2"/>
    <x v="2"/>
    <n v="72.19"/>
    <n v="2259.39"/>
    <x v="0"/>
    <s v="25-48 Months"/>
    <n v="0"/>
  </r>
  <r>
    <s v="CUST0855"/>
    <s v="Male"/>
    <n v="49"/>
    <n v="51"/>
    <s v="Two Year"/>
    <x v="2"/>
    <x v="0"/>
    <n v="123.11"/>
    <n v="6769.62"/>
    <x v="0"/>
    <s v="49+ Months"/>
    <n v="0"/>
  </r>
  <r>
    <s v="CUST0856"/>
    <s v="Male"/>
    <n v="27"/>
    <n v="46"/>
    <s v="Month-to-Month"/>
    <x v="2"/>
    <x v="1"/>
    <n v="48.67"/>
    <n v="2379.2399999999998"/>
    <x v="1"/>
    <s v="25-48 Months"/>
    <n v="1"/>
  </r>
  <r>
    <s v="CUST0857"/>
    <s v="Male"/>
    <n v="33"/>
    <n v="21"/>
    <s v="Month-to-Month"/>
    <x v="1"/>
    <x v="0"/>
    <n v="44.17"/>
    <n v="967.45"/>
    <x v="0"/>
    <s v="13-24 Months"/>
    <n v="0"/>
  </r>
  <r>
    <s v="CUST0858"/>
    <s v="Male"/>
    <n v="24"/>
    <n v="32"/>
    <s v="Month-to-Month"/>
    <x v="2"/>
    <x v="1"/>
    <n v="143.61000000000001"/>
    <n v="4364.6400000000003"/>
    <x v="1"/>
    <s v="25-48 Months"/>
    <n v="1"/>
  </r>
  <r>
    <s v="CUST0859"/>
    <s v="Female"/>
    <n v="34"/>
    <n v="39"/>
    <s v="One Year"/>
    <x v="0"/>
    <x v="0"/>
    <n v="47.29"/>
    <n v="1995.62"/>
    <x v="0"/>
    <s v="25-48 Months"/>
    <n v="0"/>
  </r>
  <r>
    <s v="CUST0860"/>
    <s v="Male"/>
    <n v="40"/>
    <n v="12"/>
    <s v="Month-to-Month"/>
    <x v="1"/>
    <x v="0"/>
    <n v="53.92"/>
    <n v="602.32000000000005"/>
    <x v="0"/>
    <s v="0-12 Months"/>
    <n v="0"/>
  </r>
  <r>
    <s v="CUST0861"/>
    <s v="Female"/>
    <n v="43"/>
    <n v="47"/>
    <s v="Month-to-Month"/>
    <x v="3"/>
    <x v="0"/>
    <n v="146.05000000000001"/>
    <n v="7038.39"/>
    <x v="0"/>
    <s v="25-48 Months"/>
    <n v="0"/>
  </r>
  <r>
    <s v="CUST0862"/>
    <s v="Male"/>
    <n v="38"/>
    <n v="18"/>
    <s v="Month-to-Month"/>
    <x v="2"/>
    <x v="0"/>
    <n v="115.51"/>
    <n v="1883.24"/>
    <x v="0"/>
    <s v="13-24 Months"/>
    <n v="0"/>
  </r>
  <r>
    <s v="CUST0863"/>
    <s v="Female"/>
    <n v="39"/>
    <n v="21"/>
    <s v="Month-to-Month"/>
    <x v="2"/>
    <x v="0"/>
    <n v="110.95"/>
    <n v="2396.92"/>
    <x v="0"/>
    <s v="13-24 Months"/>
    <n v="0"/>
  </r>
  <r>
    <s v="CUST0864"/>
    <s v="Female"/>
    <n v="24"/>
    <n v="13"/>
    <s v="Month-to-Month"/>
    <x v="1"/>
    <x v="1"/>
    <n v="130.88"/>
    <n v="1625.6"/>
    <x v="0"/>
    <s v="13-24 Months"/>
    <n v="0"/>
  </r>
  <r>
    <s v="CUST0865"/>
    <s v="Female"/>
    <n v="31"/>
    <n v="21"/>
    <s v="One Year"/>
    <x v="1"/>
    <x v="0"/>
    <n v="35.06"/>
    <n v="728.85"/>
    <x v="0"/>
    <s v="13-24 Months"/>
    <n v="0"/>
  </r>
  <r>
    <s v="CUST0866"/>
    <s v="Male"/>
    <n v="32"/>
    <n v="8"/>
    <s v="Two Year"/>
    <x v="2"/>
    <x v="0"/>
    <n v="111.77"/>
    <n v="866.49"/>
    <x v="1"/>
    <s v="0-12 Months"/>
    <n v="1"/>
  </r>
  <r>
    <s v="CUST0867"/>
    <s v="Male"/>
    <n v="70"/>
    <n v="46"/>
    <s v="Month-to-Month"/>
    <x v="3"/>
    <x v="2"/>
    <n v="85.48"/>
    <n v="3674.73"/>
    <x v="0"/>
    <s v="25-48 Months"/>
    <n v="0"/>
  </r>
  <r>
    <s v="CUST0868"/>
    <s v="Female"/>
    <n v="24"/>
    <n v="7"/>
    <s v="One Year"/>
    <x v="3"/>
    <x v="1"/>
    <n v="127.79"/>
    <n v="916.35"/>
    <x v="0"/>
    <s v="0-12 Months"/>
    <n v="0"/>
  </r>
  <r>
    <s v="CUST0869"/>
    <s v="Male"/>
    <n v="26"/>
    <n v="23"/>
    <s v="Month-to-Month"/>
    <x v="2"/>
    <x v="1"/>
    <n v="86.06"/>
    <n v="2130.59"/>
    <x v="0"/>
    <s v="13-24 Months"/>
    <n v="0"/>
  </r>
  <r>
    <s v="CUST0870"/>
    <s v="Female"/>
    <n v="68"/>
    <n v="22"/>
    <s v="Two Year"/>
    <x v="2"/>
    <x v="2"/>
    <n v="100.63"/>
    <n v="2417.13"/>
    <x v="0"/>
    <s v="13-24 Months"/>
    <n v="0"/>
  </r>
  <r>
    <s v="CUST0871"/>
    <s v="Male"/>
    <n v="65"/>
    <n v="22"/>
    <s v="Two Year"/>
    <x v="0"/>
    <x v="2"/>
    <n v="82.11"/>
    <n v="1695.27"/>
    <x v="0"/>
    <s v="13-24 Months"/>
    <n v="0"/>
  </r>
  <r>
    <s v="CUST0872"/>
    <s v="Female"/>
    <n v="25"/>
    <n v="29"/>
    <s v="Two Year"/>
    <x v="1"/>
    <x v="1"/>
    <n v="82.16"/>
    <n v="2486.2199999999998"/>
    <x v="0"/>
    <s v="25-48 Months"/>
    <n v="0"/>
  </r>
  <r>
    <s v="CUST0873"/>
    <s v="Female"/>
    <n v="67"/>
    <n v="13"/>
    <s v="Two Year"/>
    <x v="2"/>
    <x v="2"/>
    <n v="119.84"/>
    <n v="1609.13"/>
    <x v="0"/>
    <s v="13-24 Months"/>
    <n v="0"/>
  </r>
  <r>
    <s v="CUST0874"/>
    <s v="Male"/>
    <n v="40"/>
    <n v="2"/>
    <s v="Month-to-Month"/>
    <x v="1"/>
    <x v="0"/>
    <n v="101.71"/>
    <n v="197.05"/>
    <x v="1"/>
    <s v="0-12 Months"/>
    <n v="1"/>
  </r>
  <r>
    <s v="CUST0875"/>
    <s v="Female"/>
    <n v="46"/>
    <n v="29"/>
    <s v="Two Year"/>
    <x v="1"/>
    <x v="0"/>
    <n v="102.32"/>
    <n v="2681.89"/>
    <x v="0"/>
    <s v="25-48 Months"/>
    <n v="0"/>
  </r>
  <r>
    <s v="CUST0876"/>
    <s v="Male"/>
    <n v="35"/>
    <n v="52"/>
    <s v="One Year"/>
    <x v="2"/>
    <x v="0"/>
    <n v="78.540000000000006"/>
    <n v="4239.1000000000004"/>
    <x v="0"/>
    <s v="49+ Months"/>
    <n v="0"/>
  </r>
  <r>
    <s v="CUST0877"/>
    <s v="Female"/>
    <n v="48"/>
    <n v="27"/>
    <s v="Month-to-Month"/>
    <x v="1"/>
    <x v="0"/>
    <n v="89.04"/>
    <n v="2618.2800000000002"/>
    <x v="0"/>
    <s v="25-48 Months"/>
    <n v="0"/>
  </r>
  <r>
    <s v="CUST0878"/>
    <s v="Female"/>
    <n v="47"/>
    <n v="50"/>
    <s v="Two Year"/>
    <x v="3"/>
    <x v="0"/>
    <n v="116.94"/>
    <n v="6001.5"/>
    <x v="0"/>
    <s v="49+ Months"/>
    <n v="0"/>
  </r>
  <r>
    <s v="CUST0879"/>
    <s v="Male"/>
    <n v="69"/>
    <n v="23"/>
    <s v="Month-to-Month"/>
    <x v="2"/>
    <x v="2"/>
    <n v="127.37"/>
    <n v="2891.6"/>
    <x v="1"/>
    <s v="13-24 Months"/>
    <n v="1"/>
  </r>
  <r>
    <s v="CUST0880"/>
    <s v="Male"/>
    <n v="56"/>
    <n v="44"/>
    <s v="One Year"/>
    <x v="2"/>
    <x v="2"/>
    <n v="110.55"/>
    <n v="4888.67"/>
    <x v="1"/>
    <s v="25-48 Months"/>
    <n v="1"/>
  </r>
  <r>
    <s v="CUST0881"/>
    <s v="Male"/>
    <n v="52"/>
    <n v="22"/>
    <s v="Month-to-Month"/>
    <x v="0"/>
    <x v="2"/>
    <n v="140.13"/>
    <n v="2897.66"/>
    <x v="0"/>
    <s v="13-24 Months"/>
    <n v="0"/>
  </r>
  <r>
    <s v="CUST0882"/>
    <s v="Female"/>
    <n v="35"/>
    <n v="43"/>
    <s v="Month-to-Month"/>
    <x v="3"/>
    <x v="0"/>
    <n v="126.64"/>
    <n v="5718.39"/>
    <x v="0"/>
    <s v="25-48 Months"/>
    <n v="0"/>
  </r>
  <r>
    <s v="CUST0883"/>
    <s v="Male"/>
    <n v="59"/>
    <n v="37"/>
    <s v="One Year"/>
    <x v="3"/>
    <x v="2"/>
    <n v="93.04"/>
    <n v="3612.14"/>
    <x v="0"/>
    <s v="25-48 Months"/>
    <n v="0"/>
  </r>
  <r>
    <s v="CUST0884"/>
    <s v="Female"/>
    <n v="56"/>
    <n v="61"/>
    <s v="One Year"/>
    <x v="0"/>
    <x v="2"/>
    <n v="107.28"/>
    <n v="6080.13"/>
    <x v="0"/>
    <s v="49+ Months"/>
    <n v="0"/>
  </r>
  <r>
    <s v="CUST0885"/>
    <s v="Female"/>
    <n v="34"/>
    <n v="56"/>
    <s v="Month-to-Month"/>
    <x v="1"/>
    <x v="0"/>
    <n v="140.41999999999999"/>
    <n v="8457.9699999999993"/>
    <x v="0"/>
    <s v="49+ Months"/>
    <n v="0"/>
  </r>
  <r>
    <s v="CUST0886"/>
    <s v="Male"/>
    <n v="31"/>
    <n v="3"/>
    <s v="Month-to-Month"/>
    <x v="0"/>
    <x v="0"/>
    <n v="100.49"/>
    <n v="287.55"/>
    <x v="1"/>
    <s v="0-12 Months"/>
    <n v="1"/>
  </r>
  <r>
    <s v="CUST0887"/>
    <s v="Male"/>
    <n v="48"/>
    <n v="63"/>
    <s v="Two Year"/>
    <x v="0"/>
    <x v="0"/>
    <n v="127.22"/>
    <n v="8787.9"/>
    <x v="0"/>
    <s v="49+ Months"/>
    <n v="0"/>
  </r>
  <r>
    <s v="CUST0888"/>
    <s v="Female"/>
    <n v="41"/>
    <n v="19"/>
    <s v="Month-to-Month"/>
    <x v="2"/>
    <x v="0"/>
    <n v="109.55"/>
    <n v="2032.7"/>
    <x v="1"/>
    <s v="13-24 Months"/>
    <n v="1"/>
  </r>
  <r>
    <s v="CUST0889"/>
    <s v="Female"/>
    <n v="52"/>
    <n v="23"/>
    <s v="Month-to-Month"/>
    <x v="2"/>
    <x v="2"/>
    <n v="91.75"/>
    <n v="1974.3"/>
    <x v="1"/>
    <s v="13-24 Months"/>
    <n v="1"/>
  </r>
  <r>
    <s v="CUST0890"/>
    <s v="Male"/>
    <n v="61"/>
    <n v="29"/>
    <s v="Two Year"/>
    <x v="2"/>
    <x v="2"/>
    <n v="51.44"/>
    <n v="1447.52"/>
    <x v="0"/>
    <s v="25-48 Months"/>
    <n v="0"/>
  </r>
  <r>
    <s v="CUST0891"/>
    <s v="Male"/>
    <n v="62"/>
    <n v="30"/>
    <s v="Two Year"/>
    <x v="0"/>
    <x v="2"/>
    <n v="75.38"/>
    <n v="2234.34"/>
    <x v="0"/>
    <s v="25-48 Months"/>
    <n v="0"/>
  </r>
  <r>
    <s v="CUST0892"/>
    <s v="Male"/>
    <n v="51"/>
    <n v="39"/>
    <s v="Month-to-Month"/>
    <x v="2"/>
    <x v="2"/>
    <n v="145.81"/>
    <n v="5196.76"/>
    <x v="1"/>
    <s v="25-48 Months"/>
    <n v="1"/>
  </r>
  <r>
    <s v="CUST0893"/>
    <s v="Male"/>
    <n v="20"/>
    <n v="25"/>
    <s v="One Year"/>
    <x v="3"/>
    <x v="1"/>
    <n v="105.51"/>
    <n v="2679.01"/>
    <x v="0"/>
    <s v="25-48 Months"/>
    <n v="0"/>
  </r>
  <r>
    <s v="CUST0894"/>
    <s v="Male"/>
    <n v="54"/>
    <n v="8"/>
    <s v="Two Year"/>
    <x v="2"/>
    <x v="2"/>
    <n v="93.37"/>
    <n v="761.55"/>
    <x v="1"/>
    <s v="0-12 Months"/>
    <n v="1"/>
  </r>
  <r>
    <s v="CUST0895"/>
    <s v="Female"/>
    <n v="60"/>
    <n v="58"/>
    <s v="Two Year"/>
    <x v="2"/>
    <x v="2"/>
    <n v="141.28"/>
    <n v="8585.81"/>
    <x v="0"/>
    <s v="49+ Months"/>
    <n v="0"/>
  </r>
  <r>
    <s v="CUST0896"/>
    <s v="Female"/>
    <n v="57"/>
    <n v="16"/>
    <s v="Month-to-Month"/>
    <x v="0"/>
    <x v="2"/>
    <n v="96.25"/>
    <n v="1394.98"/>
    <x v="1"/>
    <s v="13-24 Months"/>
    <n v="1"/>
  </r>
  <r>
    <s v="CUST0897"/>
    <s v="Female"/>
    <n v="43"/>
    <n v="72"/>
    <s v="Month-to-Month"/>
    <x v="4"/>
    <x v="0"/>
    <n v="88.39"/>
    <n v="6416.57"/>
    <x v="0"/>
    <s v="49+ Months"/>
    <n v="0"/>
  </r>
  <r>
    <s v="CUST0898"/>
    <s v="Female"/>
    <n v="40"/>
    <n v="1"/>
    <s v="Month-to-Month"/>
    <x v="2"/>
    <x v="0"/>
    <n v="118.71"/>
    <n v="108.1"/>
    <x v="0"/>
    <s v="0-12 Months"/>
    <n v="0"/>
  </r>
  <r>
    <s v="CUST0899"/>
    <s v="Male"/>
    <n v="61"/>
    <n v="5"/>
    <s v="Month-to-Month"/>
    <x v="2"/>
    <x v="2"/>
    <n v="112.65"/>
    <n v="585.91"/>
    <x v="1"/>
    <s v="0-12 Months"/>
    <n v="1"/>
  </r>
  <r>
    <s v="CUST0900"/>
    <s v="Male"/>
    <n v="56"/>
    <n v="3"/>
    <s v="One Year"/>
    <x v="3"/>
    <x v="2"/>
    <n v="45.11"/>
    <n v="123.31"/>
    <x v="1"/>
    <s v="0-12 Months"/>
    <n v="1"/>
  </r>
  <r>
    <s v="CUST0901"/>
    <s v="Male"/>
    <n v="32"/>
    <n v="65"/>
    <s v="Month-to-Month"/>
    <x v="2"/>
    <x v="0"/>
    <n v="81.27"/>
    <n v="5717.54"/>
    <x v="1"/>
    <s v="49+ Months"/>
    <n v="1"/>
  </r>
  <r>
    <s v="CUST0902"/>
    <s v="Female"/>
    <n v="66"/>
    <n v="4"/>
    <s v="One Year"/>
    <x v="2"/>
    <x v="2"/>
    <n v="81.430000000000007"/>
    <n v="338.88"/>
    <x v="0"/>
    <s v="0-12 Months"/>
    <n v="0"/>
  </r>
  <r>
    <s v="CUST0903"/>
    <s v="Female"/>
    <n v="21"/>
    <n v="64"/>
    <s v="Month-to-Month"/>
    <x v="3"/>
    <x v="1"/>
    <n v="69.17"/>
    <n v="4433.42"/>
    <x v="0"/>
    <s v="49+ Months"/>
    <n v="0"/>
  </r>
  <r>
    <s v="CUST0904"/>
    <s v="Male"/>
    <n v="46"/>
    <n v="10"/>
    <s v="Month-to-Month"/>
    <x v="2"/>
    <x v="0"/>
    <n v="87.25"/>
    <n v="862.29"/>
    <x v="1"/>
    <s v="0-12 Months"/>
    <n v="1"/>
  </r>
  <r>
    <s v="CUST0905"/>
    <s v="Male"/>
    <n v="39"/>
    <n v="21"/>
    <s v="Two Year"/>
    <x v="0"/>
    <x v="0"/>
    <n v="73.7"/>
    <n v="1433.38"/>
    <x v="0"/>
    <s v="13-24 Months"/>
    <n v="0"/>
  </r>
  <r>
    <s v="CUST0906"/>
    <s v="Female"/>
    <n v="42"/>
    <n v="46"/>
    <s v="Month-to-Month"/>
    <x v="0"/>
    <x v="0"/>
    <n v="45.91"/>
    <n v="2023.58"/>
    <x v="1"/>
    <s v="25-48 Months"/>
    <n v="1"/>
  </r>
  <r>
    <s v="CUST0907"/>
    <s v="Female"/>
    <n v="30"/>
    <n v="27"/>
    <s v="Month-to-Month"/>
    <x v="2"/>
    <x v="0"/>
    <n v="73.61"/>
    <n v="2134.13"/>
    <x v="0"/>
    <s v="25-48 Months"/>
    <n v="0"/>
  </r>
  <r>
    <s v="CUST0908"/>
    <s v="Male"/>
    <n v="35"/>
    <n v="66"/>
    <s v="Two Year"/>
    <x v="2"/>
    <x v="0"/>
    <n v="29.4"/>
    <n v="2097.36"/>
    <x v="0"/>
    <s v="49+ Months"/>
    <n v="0"/>
  </r>
  <r>
    <s v="CUST0909"/>
    <s v="Male"/>
    <n v="50"/>
    <n v="41"/>
    <s v="Month-to-Month"/>
    <x v="2"/>
    <x v="2"/>
    <n v="94.85"/>
    <n v="3500.55"/>
    <x v="0"/>
    <s v="25-48 Months"/>
    <n v="0"/>
  </r>
  <r>
    <s v="CUST0910"/>
    <s v="Female"/>
    <n v="33"/>
    <n v="13"/>
    <s v="One Year"/>
    <x v="2"/>
    <x v="0"/>
    <n v="130.97999999999999"/>
    <n v="1734.8"/>
    <x v="0"/>
    <s v="13-24 Months"/>
    <n v="0"/>
  </r>
  <r>
    <s v="CUST0911"/>
    <s v="Male"/>
    <n v="62"/>
    <n v="9"/>
    <s v="One Year"/>
    <x v="2"/>
    <x v="2"/>
    <n v="114.29"/>
    <n v="1073.72"/>
    <x v="0"/>
    <s v="0-12 Months"/>
    <n v="0"/>
  </r>
  <r>
    <s v="CUST0912"/>
    <s v="Male"/>
    <n v="59"/>
    <n v="36"/>
    <s v="Month-to-Month"/>
    <x v="1"/>
    <x v="2"/>
    <n v="66.849999999999994"/>
    <n v="2463.7600000000002"/>
    <x v="0"/>
    <s v="25-48 Months"/>
    <n v="0"/>
  </r>
  <r>
    <s v="CUST0913"/>
    <s v="Male"/>
    <n v="61"/>
    <n v="58"/>
    <s v="Two Year"/>
    <x v="0"/>
    <x v="2"/>
    <n v="31.32"/>
    <n v="1664.58"/>
    <x v="0"/>
    <s v="49+ Months"/>
    <n v="0"/>
  </r>
  <r>
    <s v="CUST0914"/>
    <s v="Female"/>
    <n v="19"/>
    <n v="54"/>
    <s v="Month-to-Month"/>
    <x v="0"/>
    <x v="1"/>
    <n v="46.28"/>
    <n v="2358.0300000000002"/>
    <x v="0"/>
    <s v="49+ Months"/>
    <n v="0"/>
  </r>
  <r>
    <s v="CUST0915"/>
    <s v="Female"/>
    <n v="52"/>
    <n v="12"/>
    <s v="Month-to-Month"/>
    <x v="3"/>
    <x v="2"/>
    <n v="90.91"/>
    <n v="1036.45"/>
    <x v="1"/>
    <s v="0-12 Months"/>
    <n v="1"/>
  </r>
  <r>
    <s v="CUST0916"/>
    <s v="Female"/>
    <n v="59"/>
    <n v="14"/>
    <s v="Month-to-Month"/>
    <x v="1"/>
    <x v="2"/>
    <n v="46.92"/>
    <n v="700.46"/>
    <x v="1"/>
    <s v="13-24 Months"/>
    <n v="1"/>
  </r>
  <r>
    <s v="CUST0917"/>
    <s v="Female"/>
    <n v="51"/>
    <n v="34"/>
    <s v="Month-to-Month"/>
    <x v="2"/>
    <x v="2"/>
    <n v="90.72"/>
    <n v="3061.78"/>
    <x v="0"/>
    <s v="25-48 Months"/>
    <n v="0"/>
  </r>
  <r>
    <s v="CUST0918"/>
    <s v="Female"/>
    <n v="47"/>
    <n v="53"/>
    <s v="Two Year"/>
    <x v="3"/>
    <x v="0"/>
    <n v="50.11"/>
    <n v="2648.83"/>
    <x v="0"/>
    <s v="49+ Months"/>
    <n v="0"/>
  </r>
  <r>
    <s v="CUST0919"/>
    <s v="Female"/>
    <n v="30"/>
    <n v="20"/>
    <s v="Month-to-Month"/>
    <x v="2"/>
    <x v="0"/>
    <n v="130.36000000000001"/>
    <n v="2833.97"/>
    <x v="0"/>
    <s v="13-24 Months"/>
    <n v="0"/>
  </r>
  <r>
    <s v="CUST0920"/>
    <s v="Female"/>
    <n v="30"/>
    <n v="16"/>
    <s v="Month-to-Month"/>
    <x v="2"/>
    <x v="0"/>
    <n v="71.650000000000006"/>
    <n v="1177.83"/>
    <x v="0"/>
    <s v="13-24 Months"/>
    <n v="0"/>
  </r>
  <r>
    <s v="CUST0921"/>
    <s v="Male"/>
    <n v="35"/>
    <n v="70"/>
    <s v="Month-to-Month"/>
    <x v="1"/>
    <x v="0"/>
    <n v="51.92"/>
    <n v="3924.18"/>
    <x v="0"/>
    <s v="49+ Months"/>
    <n v="0"/>
  </r>
  <r>
    <s v="CUST0922"/>
    <s v="Male"/>
    <n v="49"/>
    <n v="56"/>
    <s v="One Year"/>
    <x v="0"/>
    <x v="0"/>
    <n v="125.6"/>
    <n v="6972.42"/>
    <x v="0"/>
    <s v="49+ Months"/>
    <n v="0"/>
  </r>
  <r>
    <s v="CUST0923"/>
    <s v="Male"/>
    <n v="49"/>
    <n v="58"/>
    <s v="Month-to-Month"/>
    <x v="0"/>
    <x v="0"/>
    <n v="64.569999999999993"/>
    <n v="3482.48"/>
    <x v="0"/>
    <s v="49+ Months"/>
    <n v="0"/>
  </r>
  <r>
    <s v="CUST0924"/>
    <s v="Male"/>
    <n v="52"/>
    <n v="4"/>
    <s v="Month-to-Month"/>
    <x v="2"/>
    <x v="2"/>
    <n v="34.49"/>
    <n v="149.82"/>
    <x v="0"/>
    <s v="0-12 Months"/>
    <n v="0"/>
  </r>
  <r>
    <s v="CUST0925"/>
    <s v="Male"/>
    <n v="56"/>
    <n v="4"/>
    <s v="One Year"/>
    <x v="0"/>
    <x v="2"/>
    <n v="94.15"/>
    <n v="373.49"/>
    <x v="0"/>
    <s v="0-12 Months"/>
    <n v="0"/>
  </r>
  <r>
    <s v="CUST0926"/>
    <s v="Male"/>
    <n v="63"/>
    <n v="20"/>
    <s v="Month-to-Month"/>
    <x v="2"/>
    <x v="2"/>
    <n v="95.6"/>
    <n v="1790.26"/>
    <x v="1"/>
    <s v="13-24 Months"/>
    <n v="1"/>
  </r>
  <r>
    <s v="CUST0927"/>
    <s v="Male"/>
    <n v="69"/>
    <n v="10"/>
    <s v="Month-to-Month"/>
    <x v="3"/>
    <x v="2"/>
    <n v="112.91"/>
    <n v="1084.48"/>
    <x v="0"/>
    <s v="0-12 Months"/>
    <n v="0"/>
  </r>
  <r>
    <s v="CUST0928"/>
    <s v="Female"/>
    <n v="46"/>
    <n v="24"/>
    <s v="Month-to-Month"/>
    <x v="2"/>
    <x v="0"/>
    <n v="51.23"/>
    <n v="1119.06"/>
    <x v="0"/>
    <s v="13-24 Months"/>
    <n v="0"/>
  </r>
  <r>
    <s v="CUST0929"/>
    <s v="Female"/>
    <n v="66"/>
    <n v="26"/>
    <s v="Month-to-Month"/>
    <x v="3"/>
    <x v="2"/>
    <n v="77.69"/>
    <n v="2007.13"/>
    <x v="0"/>
    <s v="25-48 Months"/>
    <n v="0"/>
  </r>
  <r>
    <s v="CUST0930"/>
    <s v="Male"/>
    <n v="46"/>
    <n v="37"/>
    <s v="Two Year"/>
    <x v="0"/>
    <x v="0"/>
    <n v="56.71"/>
    <n v="2246.46"/>
    <x v="1"/>
    <s v="25-48 Months"/>
    <n v="1"/>
  </r>
  <r>
    <s v="CUST0931"/>
    <s v="Male"/>
    <n v="70"/>
    <n v="54"/>
    <s v="Month-to-Month"/>
    <x v="3"/>
    <x v="2"/>
    <n v="30.52"/>
    <n v="1791"/>
    <x v="1"/>
    <s v="49+ Months"/>
    <n v="1"/>
  </r>
  <r>
    <s v="CUST0932"/>
    <s v="Female"/>
    <n v="61"/>
    <n v="21"/>
    <s v="Month-to-Month"/>
    <x v="1"/>
    <x v="2"/>
    <n v="133.96"/>
    <n v="3056.56"/>
    <x v="0"/>
    <s v="13-24 Months"/>
    <n v="0"/>
  </r>
  <r>
    <s v="CUST0933"/>
    <s v="Male"/>
    <n v="33"/>
    <n v="38"/>
    <s v="Month-to-Month"/>
    <x v="1"/>
    <x v="0"/>
    <n v="114.75"/>
    <n v="4033.66"/>
    <x v="0"/>
    <s v="25-48 Months"/>
    <n v="0"/>
  </r>
  <r>
    <s v="CUST0934"/>
    <s v="Male"/>
    <n v="61"/>
    <n v="46"/>
    <s v="One Year"/>
    <x v="2"/>
    <x v="2"/>
    <n v="59.19"/>
    <n v="2658.51"/>
    <x v="0"/>
    <s v="25-48 Months"/>
    <n v="0"/>
  </r>
  <r>
    <s v="CUST0935"/>
    <s v="Female"/>
    <n v="64"/>
    <n v="4"/>
    <s v="One Year"/>
    <x v="2"/>
    <x v="2"/>
    <n v="97.92"/>
    <n v="354.72"/>
    <x v="0"/>
    <s v="0-12 Months"/>
    <n v="0"/>
  </r>
  <r>
    <s v="CUST0936"/>
    <s v="Male"/>
    <n v="27"/>
    <n v="60"/>
    <s v="Month-to-Month"/>
    <x v="2"/>
    <x v="1"/>
    <n v="46.16"/>
    <n v="2966.33"/>
    <x v="0"/>
    <s v="49+ Months"/>
    <n v="0"/>
  </r>
  <r>
    <s v="CUST0937"/>
    <s v="Female"/>
    <n v="47"/>
    <n v="57"/>
    <s v="One Year"/>
    <x v="3"/>
    <x v="0"/>
    <n v="135.72999999999999"/>
    <n v="7518.06"/>
    <x v="0"/>
    <s v="49+ Months"/>
    <n v="0"/>
  </r>
  <r>
    <s v="CUST0938"/>
    <s v="Male"/>
    <n v="42"/>
    <n v="45"/>
    <s v="One Year"/>
    <x v="3"/>
    <x v="0"/>
    <n v="34.94"/>
    <n v="1613.53"/>
    <x v="1"/>
    <s v="25-48 Months"/>
    <n v="1"/>
  </r>
  <r>
    <s v="CUST0939"/>
    <s v="Female"/>
    <n v="56"/>
    <n v="20"/>
    <s v="Two Year"/>
    <x v="0"/>
    <x v="2"/>
    <n v="20.5"/>
    <n v="427.62"/>
    <x v="0"/>
    <s v="13-24 Months"/>
    <n v="0"/>
  </r>
  <r>
    <s v="CUST0940"/>
    <s v="Female"/>
    <n v="37"/>
    <n v="17"/>
    <s v="Two Year"/>
    <x v="2"/>
    <x v="0"/>
    <n v="85.26"/>
    <n v="1429.08"/>
    <x v="0"/>
    <s v="13-24 Months"/>
    <n v="0"/>
  </r>
  <r>
    <s v="CUST0941"/>
    <s v="Female"/>
    <n v="22"/>
    <n v="71"/>
    <s v="Month-to-Month"/>
    <x v="0"/>
    <x v="1"/>
    <n v="95.81"/>
    <n v="6539.17"/>
    <x v="1"/>
    <s v="49+ Months"/>
    <n v="1"/>
  </r>
  <r>
    <s v="CUST0942"/>
    <s v="Male"/>
    <n v="18"/>
    <n v="4"/>
    <s v="Month-to-Month"/>
    <x v="1"/>
    <x v="1"/>
    <n v="95.27"/>
    <n v="416.31"/>
    <x v="0"/>
    <s v="0-12 Months"/>
    <n v="0"/>
  </r>
  <r>
    <s v="CUST0943"/>
    <s v="Female"/>
    <n v="47"/>
    <n v="14"/>
    <s v="Month-to-Month"/>
    <x v="0"/>
    <x v="0"/>
    <n v="27.09"/>
    <n v="414.49"/>
    <x v="0"/>
    <s v="13-24 Months"/>
    <n v="0"/>
  </r>
  <r>
    <s v="CUST0944"/>
    <s v="Male"/>
    <n v="66"/>
    <n v="3"/>
    <s v="Month-to-Month"/>
    <x v="1"/>
    <x v="2"/>
    <n v="60.83"/>
    <n v="174.8"/>
    <x v="0"/>
    <s v="0-12 Months"/>
    <n v="0"/>
  </r>
  <r>
    <s v="CUST0945"/>
    <s v="Male"/>
    <n v="20"/>
    <n v="58"/>
    <s v="Two Year"/>
    <x v="3"/>
    <x v="1"/>
    <n v="84.9"/>
    <n v="4904.13"/>
    <x v="0"/>
    <s v="49+ Months"/>
    <n v="0"/>
  </r>
  <r>
    <s v="CUST0946"/>
    <s v="Male"/>
    <n v="62"/>
    <n v="55"/>
    <s v="Month-to-Month"/>
    <x v="2"/>
    <x v="2"/>
    <n v="48.16"/>
    <n v="2899.29"/>
    <x v="0"/>
    <s v="49+ Months"/>
    <n v="0"/>
  </r>
  <r>
    <s v="CUST0947"/>
    <s v="Male"/>
    <n v="31"/>
    <n v="4"/>
    <s v="Month-to-Month"/>
    <x v="0"/>
    <x v="0"/>
    <n v="133.44"/>
    <n v="480.9"/>
    <x v="1"/>
    <s v="0-12 Months"/>
    <n v="1"/>
  </r>
  <r>
    <s v="CUST0948"/>
    <s v="Female"/>
    <n v="47"/>
    <n v="24"/>
    <s v="One Year"/>
    <x v="0"/>
    <x v="0"/>
    <n v="31.32"/>
    <n v="738.55"/>
    <x v="0"/>
    <s v="13-24 Months"/>
    <n v="0"/>
  </r>
  <r>
    <s v="CUST0949"/>
    <s v="Female"/>
    <n v="67"/>
    <n v="34"/>
    <s v="Month-to-Month"/>
    <x v="2"/>
    <x v="2"/>
    <n v="83.36"/>
    <n v="2607.7600000000002"/>
    <x v="0"/>
    <s v="25-48 Months"/>
    <n v="0"/>
  </r>
  <r>
    <s v="CUST0950"/>
    <s v="Male"/>
    <n v="21"/>
    <n v="30"/>
    <s v="Month-to-Month"/>
    <x v="2"/>
    <x v="1"/>
    <n v="109.88"/>
    <n v="3302.44"/>
    <x v="0"/>
    <s v="25-48 Months"/>
    <n v="0"/>
  </r>
  <r>
    <s v="CUST0951"/>
    <s v="Male"/>
    <n v="35"/>
    <n v="19"/>
    <s v="Month-to-Month"/>
    <x v="2"/>
    <x v="0"/>
    <n v="54.03"/>
    <n v="928.98"/>
    <x v="0"/>
    <s v="13-24 Months"/>
    <n v="0"/>
  </r>
  <r>
    <s v="CUST0952"/>
    <s v="Female"/>
    <n v="54"/>
    <n v="31"/>
    <s v="Month-to-Month"/>
    <x v="3"/>
    <x v="2"/>
    <n v="101.15"/>
    <n v="3077.26"/>
    <x v="1"/>
    <s v="25-48 Months"/>
    <n v="1"/>
  </r>
  <r>
    <s v="CUST0953"/>
    <s v="Male"/>
    <n v="42"/>
    <n v="60"/>
    <s v="One Year"/>
    <x v="0"/>
    <x v="0"/>
    <n v="127.82"/>
    <n v="7240.8"/>
    <x v="1"/>
    <s v="49+ Months"/>
    <n v="1"/>
  </r>
  <r>
    <s v="CUST0954"/>
    <s v="Female"/>
    <n v="65"/>
    <n v="60"/>
    <s v="Month-to-Month"/>
    <x v="0"/>
    <x v="2"/>
    <n v="44.74"/>
    <n v="2702.28"/>
    <x v="0"/>
    <s v="49+ Months"/>
    <n v="0"/>
  </r>
  <r>
    <s v="CUST0955"/>
    <s v="Male"/>
    <n v="18"/>
    <n v="19"/>
    <s v="Month-to-Month"/>
    <x v="3"/>
    <x v="1"/>
    <n v="139.24"/>
    <n v="2908"/>
    <x v="1"/>
    <s v="13-24 Months"/>
    <n v="1"/>
  </r>
  <r>
    <s v="CUST0956"/>
    <s v="Male"/>
    <n v="70"/>
    <n v="49"/>
    <s v="Month-to-Month"/>
    <x v="1"/>
    <x v="2"/>
    <n v="91.96"/>
    <n v="4776.8900000000003"/>
    <x v="0"/>
    <s v="49+ Months"/>
    <n v="0"/>
  </r>
  <r>
    <s v="CUST0957"/>
    <s v="Female"/>
    <n v="63"/>
    <n v="63"/>
    <s v="Month-to-Month"/>
    <x v="2"/>
    <x v="2"/>
    <n v="58.9"/>
    <n v="3967.21"/>
    <x v="0"/>
    <s v="49+ Months"/>
    <n v="0"/>
  </r>
  <r>
    <s v="CUST0958"/>
    <s v="Male"/>
    <n v="32"/>
    <n v="22"/>
    <s v="One Year"/>
    <x v="0"/>
    <x v="0"/>
    <n v="76.010000000000005"/>
    <n v="1717.46"/>
    <x v="0"/>
    <s v="13-24 Months"/>
    <n v="0"/>
  </r>
  <r>
    <s v="CUST0959"/>
    <s v="Female"/>
    <n v="26"/>
    <n v="24"/>
    <s v="Month-to-Month"/>
    <x v="0"/>
    <x v="1"/>
    <n v="60.58"/>
    <n v="1320.61"/>
    <x v="0"/>
    <s v="13-24 Months"/>
    <n v="0"/>
  </r>
  <r>
    <s v="CUST0960"/>
    <s v="Male"/>
    <n v="32"/>
    <n v="30"/>
    <s v="Month-to-Month"/>
    <x v="1"/>
    <x v="0"/>
    <n v="114.26"/>
    <n v="3226.79"/>
    <x v="0"/>
    <s v="25-48 Months"/>
    <n v="0"/>
  </r>
  <r>
    <s v="CUST0961"/>
    <s v="Male"/>
    <n v="66"/>
    <n v="58"/>
    <s v="Two Year"/>
    <x v="1"/>
    <x v="2"/>
    <n v="123.52"/>
    <n v="7773.21"/>
    <x v="0"/>
    <s v="49+ Months"/>
    <n v="0"/>
  </r>
  <r>
    <s v="CUST0962"/>
    <s v="Male"/>
    <n v="41"/>
    <n v="31"/>
    <s v="One Year"/>
    <x v="1"/>
    <x v="0"/>
    <n v="128.28"/>
    <n v="3870.19"/>
    <x v="1"/>
    <s v="25-48 Months"/>
    <n v="1"/>
  </r>
  <r>
    <s v="CUST0963"/>
    <s v="Female"/>
    <n v="21"/>
    <n v="64"/>
    <s v="Month-to-Month"/>
    <x v="2"/>
    <x v="1"/>
    <n v="148.15"/>
    <n v="8729.9699999999993"/>
    <x v="1"/>
    <s v="49+ Months"/>
    <n v="1"/>
  </r>
  <r>
    <s v="CUST0964"/>
    <s v="Male"/>
    <n v="29"/>
    <n v="19"/>
    <s v="One Year"/>
    <x v="3"/>
    <x v="1"/>
    <n v="122.87"/>
    <n v="2429.0300000000002"/>
    <x v="0"/>
    <s v="13-24 Months"/>
    <n v="0"/>
  </r>
  <r>
    <s v="CUST0965"/>
    <s v="Male"/>
    <n v="54"/>
    <n v="48"/>
    <s v="One Year"/>
    <x v="2"/>
    <x v="2"/>
    <n v="98.18"/>
    <n v="4523.62"/>
    <x v="0"/>
    <s v="25-48 Months"/>
    <n v="0"/>
  </r>
  <r>
    <s v="CUST0966"/>
    <s v="Male"/>
    <n v="54"/>
    <n v="45"/>
    <s v="One Year"/>
    <x v="2"/>
    <x v="2"/>
    <n v="64.099999999999994"/>
    <n v="2751.15"/>
    <x v="1"/>
    <s v="25-48 Months"/>
    <n v="1"/>
  </r>
  <r>
    <s v="CUST0967"/>
    <s v="Male"/>
    <n v="60"/>
    <n v="55"/>
    <s v="Month-to-Month"/>
    <x v="2"/>
    <x v="2"/>
    <n v="90.8"/>
    <n v="5491.38"/>
    <x v="0"/>
    <s v="49+ Months"/>
    <n v="0"/>
  </r>
  <r>
    <s v="CUST0968"/>
    <s v="Female"/>
    <n v="23"/>
    <n v="55"/>
    <s v="Two Year"/>
    <x v="2"/>
    <x v="1"/>
    <n v="25.34"/>
    <n v="1493.53"/>
    <x v="0"/>
    <s v="49+ Months"/>
    <n v="0"/>
  </r>
  <r>
    <s v="CUST0969"/>
    <s v="Female"/>
    <n v="56"/>
    <n v="18"/>
    <s v="Month-to-Month"/>
    <x v="2"/>
    <x v="2"/>
    <n v="116.83"/>
    <n v="2064.2199999999998"/>
    <x v="0"/>
    <s v="13-24 Months"/>
    <n v="0"/>
  </r>
  <r>
    <s v="CUST0970"/>
    <s v="Male"/>
    <n v="63"/>
    <n v="63"/>
    <s v="Month-to-Month"/>
    <x v="3"/>
    <x v="2"/>
    <n v="77.97"/>
    <n v="5383.93"/>
    <x v="1"/>
    <s v="49+ Months"/>
    <n v="1"/>
  </r>
  <r>
    <s v="CUST0971"/>
    <s v="Female"/>
    <n v="41"/>
    <n v="47"/>
    <s v="Month-to-Month"/>
    <x v="3"/>
    <x v="0"/>
    <n v="22.6"/>
    <n v="1094.0899999999999"/>
    <x v="0"/>
    <s v="25-48 Months"/>
    <n v="0"/>
  </r>
  <r>
    <s v="CUST0972"/>
    <s v="Male"/>
    <n v="28"/>
    <n v="57"/>
    <s v="Month-to-Month"/>
    <x v="2"/>
    <x v="1"/>
    <n v="28.13"/>
    <n v="1681.02"/>
    <x v="1"/>
    <s v="49+ Months"/>
    <n v="1"/>
  </r>
  <r>
    <s v="CUST0973"/>
    <s v="Male"/>
    <n v="30"/>
    <n v="45"/>
    <s v="Two Year"/>
    <x v="2"/>
    <x v="0"/>
    <n v="70.37"/>
    <n v="2869.94"/>
    <x v="0"/>
    <s v="25-48 Months"/>
    <n v="0"/>
  </r>
  <r>
    <s v="CUST0974"/>
    <s v="Male"/>
    <n v="51"/>
    <n v="33"/>
    <s v="Month-to-Month"/>
    <x v="2"/>
    <x v="2"/>
    <n v="95.84"/>
    <n v="2923.37"/>
    <x v="0"/>
    <s v="25-48 Months"/>
    <n v="0"/>
  </r>
  <r>
    <s v="CUST0975"/>
    <s v="Female"/>
    <n v="42"/>
    <n v="17"/>
    <s v="Month-to-Month"/>
    <x v="2"/>
    <x v="0"/>
    <n v="80.349999999999994"/>
    <n v="1402.31"/>
    <x v="0"/>
    <s v="13-24 Months"/>
    <n v="0"/>
  </r>
  <r>
    <s v="CUST0976"/>
    <s v="Female"/>
    <n v="24"/>
    <n v="70"/>
    <s v="Two Year"/>
    <x v="2"/>
    <x v="1"/>
    <n v="100.5"/>
    <n v="7596.43"/>
    <x v="0"/>
    <s v="49+ Months"/>
    <n v="0"/>
  </r>
  <r>
    <s v="CUST0977"/>
    <s v="Female"/>
    <n v="69"/>
    <n v="4"/>
    <s v="Month-to-Month"/>
    <x v="3"/>
    <x v="2"/>
    <n v="82.44"/>
    <n v="337.92"/>
    <x v="1"/>
    <s v="0-12 Months"/>
    <n v="1"/>
  </r>
  <r>
    <s v="CUST0978"/>
    <s v="Female"/>
    <n v="21"/>
    <n v="20"/>
    <s v="Month-to-Month"/>
    <x v="2"/>
    <x v="1"/>
    <n v="106.02"/>
    <n v="1965.2"/>
    <x v="1"/>
    <s v="13-24 Months"/>
    <n v="1"/>
  </r>
  <r>
    <s v="CUST0979"/>
    <s v="Female"/>
    <n v="25"/>
    <n v="47"/>
    <s v="Month-to-Month"/>
    <x v="0"/>
    <x v="1"/>
    <n v="48.49"/>
    <n v="2103.89"/>
    <x v="0"/>
    <s v="25-48 Months"/>
    <n v="0"/>
  </r>
  <r>
    <s v="CUST0980"/>
    <s v="Female"/>
    <n v="37"/>
    <n v="15"/>
    <s v="Month-to-Month"/>
    <x v="2"/>
    <x v="0"/>
    <n v="34.67"/>
    <n v="555.85"/>
    <x v="1"/>
    <s v="13-24 Months"/>
    <n v="1"/>
  </r>
  <r>
    <s v="CUST0981"/>
    <s v="Female"/>
    <n v="46"/>
    <n v="70"/>
    <s v="Month-to-Month"/>
    <x v="3"/>
    <x v="0"/>
    <n v="97.54"/>
    <n v="6335.25"/>
    <x v="0"/>
    <s v="49+ Months"/>
    <n v="0"/>
  </r>
  <r>
    <s v="CUST0982"/>
    <s v="Female"/>
    <n v="70"/>
    <n v="47"/>
    <s v="One Year"/>
    <x v="1"/>
    <x v="2"/>
    <n v="83.01"/>
    <n v="3917.26"/>
    <x v="0"/>
    <s v="25-48 Months"/>
    <n v="0"/>
  </r>
  <r>
    <s v="CUST0983"/>
    <s v="Female"/>
    <n v="68"/>
    <n v="9"/>
    <s v="Month-to-Month"/>
    <x v="3"/>
    <x v="2"/>
    <n v="23.49"/>
    <n v="191.84"/>
    <x v="0"/>
    <s v="0-12 Months"/>
    <n v="0"/>
  </r>
  <r>
    <s v="CUST0984"/>
    <s v="Male"/>
    <n v="62"/>
    <n v="16"/>
    <s v="Month-to-Month"/>
    <x v="1"/>
    <x v="2"/>
    <n v="69.459999999999994"/>
    <n v="1018.15"/>
    <x v="0"/>
    <s v="13-24 Months"/>
    <n v="0"/>
  </r>
  <r>
    <s v="CUST0985"/>
    <s v="Female"/>
    <n v="63"/>
    <n v="69"/>
    <s v="One Year"/>
    <x v="2"/>
    <x v="2"/>
    <n v="33.799999999999997"/>
    <n v="2412.59"/>
    <x v="0"/>
    <s v="49+ Months"/>
    <n v="0"/>
  </r>
  <r>
    <s v="CUST0986"/>
    <s v="Female"/>
    <n v="27"/>
    <n v="61"/>
    <s v="One Year"/>
    <x v="2"/>
    <x v="1"/>
    <n v="89.08"/>
    <n v="5639.48"/>
    <x v="0"/>
    <s v="49+ Months"/>
    <n v="0"/>
  </r>
  <r>
    <s v="CUST0987"/>
    <s v="Female"/>
    <n v="60"/>
    <n v="10"/>
    <s v="Month-to-Month"/>
    <x v="1"/>
    <x v="2"/>
    <n v="71.45"/>
    <n v="691.85"/>
    <x v="0"/>
    <s v="0-12 Months"/>
    <n v="0"/>
  </r>
  <r>
    <s v="CUST0988"/>
    <s v="Female"/>
    <n v="51"/>
    <n v="50"/>
    <s v="Month-to-Month"/>
    <x v="0"/>
    <x v="2"/>
    <n v="99.71"/>
    <n v="4701.93"/>
    <x v="0"/>
    <s v="49+ Months"/>
    <n v="0"/>
  </r>
  <r>
    <s v="CUST0989"/>
    <s v="Female"/>
    <n v="43"/>
    <n v="3"/>
    <s v="Month-to-Month"/>
    <x v="0"/>
    <x v="0"/>
    <n v="124.73"/>
    <n v="397.67"/>
    <x v="1"/>
    <s v="0-12 Months"/>
    <n v="1"/>
  </r>
  <r>
    <s v="CUST0990"/>
    <s v="Female"/>
    <n v="58"/>
    <n v="70"/>
    <s v="Month-to-Month"/>
    <x v="2"/>
    <x v="2"/>
    <n v="58.96"/>
    <n v="3893.69"/>
    <x v="1"/>
    <s v="49+ Months"/>
    <n v="1"/>
  </r>
  <r>
    <s v="CUST0991"/>
    <s v="Female"/>
    <n v="66"/>
    <n v="51"/>
    <s v="Month-to-Month"/>
    <x v="2"/>
    <x v="2"/>
    <n v="145.07"/>
    <n v="7460.76"/>
    <x v="0"/>
    <s v="49+ Months"/>
    <n v="0"/>
  </r>
  <r>
    <s v="CUST0992"/>
    <s v="Female"/>
    <n v="20"/>
    <n v="19"/>
    <s v="Month-to-Month"/>
    <x v="0"/>
    <x v="1"/>
    <n v="89.63"/>
    <n v="1862.44"/>
    <x v="0"/>
    <s v="13-24 Months"/>
    <n v="0"/>
  </r>
  <r>
    <s v="CUST0993"/>
    <s v="Female"/>
    <n v="23"/>
    <n v="42"/>
    <s v="Two Year"/>
    <x v="0"/>
    <x v="1"/>
    <n v="100.38"/>
    <n v="3919.03"/>
    <x v="0"/>
    <s v="25-48 Months"/>
    <n v="0"/>
  </r>
  <r>
    <s v="CUST0994"/>
    <s v="Female"/>
    <n v="22"/>
    <n v="35"/>
    <s v="Month-to-Month"/>
    <x v="1"/>
    <x v="1"/>
    <n v="108.49"/>
    <n v="4131.96"/>
    <x v="1"/>
    <s v="25-48 Months"/>
    <n v="1"/>
  </r>
  <r>
    <s v="CUST0995"/>
    <s v="Female"/>
    <n v="22"/>
    <n v="46"/>
    <s v="One Year"/>
    <x v="2"/>
    <x v="1"/>
    <n v="106.68"/>
    <n v="4596.05"/>
    <x v="1"/>
    <s v="25-48 Months"/>
    <n v="1"/>
  </r>
  <r>
    <s v="CUST0996"/>
    <s v="Male"/>
    <n v="64"/>
    <n v="26"/>
    <s v="Month-to-Month"/>
    <x v="0"/>
    <x v="2"/>
    <n v="86.43"/>
    <n v="2277.4899999999998"/>
    <x v="0"/>
    <s v="25-48 Months"/>
    <n v="0"/>
  </r>
  <r>
    <s v="CUST0997"/>
    <s v="Male"/>
    <n v="40"/>
    <n v="69"/>
    <s v="One Year"/>
    <x v="2"/>
    <x v="0"/>
    <n v="75.739999999999995"/>
    <n v="5097.51"/>
    <x v="0"/>
    <s v="49+ Months"/>
    <n v="0"/>
  </r>
  <r>
    <s v="CUST0998"/>
    <s v="Female"/>
    <n v="66"/>
    <n v="64"/>
    <s v="One Year"/>
    <x v="2"/>
    <x v="2"/>
    <n v="26.99"/>
    <n v="1887.98"/>
    <x v="1"/>
    <s v="49+ Months"/>
    <n v="1"/>
  </r>
  <r>
    <s v="CUST0999"/>
    <s v="Female"/>
    <n v="26"/>
    <n v="37"/>
    <s v="Two Year"/>
    <x v="0"/>
    <x v="1"/>
    <n v="22.87"/>
    <n v="807.86"/>
    <x v="0"/>
    <s v="25-48 Months"/>
    <n v="0"/>
  </r>
  <r>
    <s v="CUST1000"/>
    <s v="Male"/>
    <n v="52"/>
    <n v="49"/>
    <s v="Month-to-Month"/>
    <x v="2"/>
    <x v="2"/>
    <n v="66.53"/>
    <n v="3194.55"/>
    <x v="0"/>
    <s v="49+ Months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B87D5-8673-4249-B08A-6C429CB4BBB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8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7FD00-0F1D-4F0F-AD25-3BA92D2E67D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0" firstHeaderRow="1" firstDataRow="2" firstDataCol="1"/>
  <pivotFields count="12"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25968-CD87-4AF4-9609-F647B06ECB6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8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CFB57-EFB0-4C1E-8514-7094E301021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D0D54-1DB2-40EA-84E6-A17523AB1C98}" name="Table1" displayName="Table1" ref="A1:J1006" totalsRowShown="0">
  <autoFilter ref="A1:J1006" xr:uid="{387D0D54-1DB2-40EA-84E6-A17523AB1C98}"/>
  <tableColumns count="10">
    <tableColumn id="1" xr3:uid="{B42DE821-43D0-4306-B5F6-0657A5662B2E}" name="Customer_ID"/>
    <tableColumn id="2" xr3:uid="{4F393EEC-BBD7-4D69-AACF-C8465084DAEA}" name="Gender"/>
    <tableColumn id="3" xr3:uid="{76AD3515-9BFA-45A3-830A-F28334177978}" name="Age"/>
    <tableColumn id="4" xr3:uid="{19666F6D-F15D-4EAC-B4D3-E0D5D1CB44CF}" name="Tenure_Months"/>
    <tableColumn id="5" xr3:uid="{E235FBF3-9C0A-444D-815D-6465108E3044}" name="Contract_Type"/>
    <tableColumn id="6" xr3:uid="{7FB9BABB-65AA-420F-ACFD-8503A5D3D1C2}" name="Payment_Method"/>
    <tableColumn id="7" xr3:uid="{39E13499-5A13-46A8-A8CB-D9BFCF3515B2}" name="Customer_Segment"/>
    <tableColumn id="8" xr3:uid="{38213EE5-5884-452C-A90A-33684FA22311}" name="Monthly_Charges"/>
    <tableColumn id="9" xr3:uid="{81695C8D-21B7-48A0-BC9B-6CBDE3A2D10D}" name="Total_Charges"/>
    <tableColumn id="10" xr3:uid="{B481A1B1-C2F0-49F2-8449-48012EE06A12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7800F-A428-4489-A95B-868F8FB53768}" name="Table13" displayName="Table13" ref="A1:L1006" totalsRowShown="0">
  <autoFilter ref="A1:L1006" xr:uid="{E637800F-A428-4489-A95B-868F8FB53768}"/>
  <tableColumns count="12">
    <tableColumn id="1" xr3:uid="{3610C422-7181-46BF-B315-ABB8C0B63749}" name="Customer_ID"/>
    <tableColumn id="2" xr3:uid="{4C614FA7-CD14-416D-9782-33584E94F168}" name="Gender"/>
    <tableColumn id="3" xr3:uid="{96CBCF6C-45FE-4318-AEEF-DFDCB96D582B}" name="Age"/>
    <tableColumn id="4" xr3:uid="{21CA52A3-A4B5-4FC0-8D48-972ABD59FD2F}" name="Tenure_Months"/>
    <tableColumn id="5" xr3:uid="{34488707-7036-4D81-B3AB-CBD55DF84190}" name="Contract_Type"/>
    <tableColumn id="6" xr3:uid="{A538581C-0A38-4532-92BA-39F6E5D266B9}" name="Payment_Method"/>
    <tableColumn id="7" xr3:uid="{EC91305E-B681-4AFF-BA55-C09F733EDF5E}" name="Customer_Segment"/>
    <tableColumn id="8" xr3:uid="{B15A54ED-51EA-4796-BBD6-FA285E961FB9}" name="Monthly_Charges"/>
    <tableColumn id="9" xr3:uid="{593662B2-51F4-4EBE-B668-DE876D8C4486}" name="Total_Charges"/>
    <tableColumn id="10" xr3:uid="{7B840C0B-4F57-4710-AB19-C2D19925188C}" name="Churn"/>
    <tableColumn id="11" xr3:uid="{C538EEDD-A36A-4541-94B2-345F2FEEF3FC}" name="Tenure_Group" dataDxfId="4">
      <calculatedColumnFormula>IF(D2&lt;=12,"0-12 Months",IF(D2&lt;=24,"13-24 Months",IF(D2&lt;=48,"25-48 Months","49+ Months")))</calculatedColumnFormula>
    </tableColumn>
    <tableColumn id="12" xr3:uid="{3ED5ECC3-01A1-41FF-A6E1-7CE49E4615D3}" name="Churn_Flag" dataDxfId="5">
      <calculatedColumnFormula>IF(Table13[[#This Row],[Churn]]="Yes",1,0)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347ACA-5535-4411-8184-3908BA84D544}" name="Table134" displayName="Table134" ref="A1:L1001" totalsRowShown="0">
  <autoFilter ref="A1:L1001" xr:uid="{FE347ACA-5535-4411-8184-3908BA84D544}"/>
  <tableColumns count="12">
    <tableColumn id="1" xr3:uid="{C0E3C88E-8544-4A2D-87CD-F074B202E5FC}" name="Customer_ID"/>
    <tableColumn id="2" xr3:uid="{F9173819-5C73-4274-8491-EF58931CE211}" name="Gender"/>
    <tableColumn id="3" xr3:uid="{6FA5CEE7-E442-4BAB-B68D-06E7C85B4BE9}" name="Age"/>
    <tableColumn id="4" xr3:uid="{B619DC62-6FD3-4015-8B7F-B7686B89C35D}" name="Tenure_Months"/>
    <tableColumn id="5" xr3:uid="{D9A0A71D-78E1-4F1B-B86D-7F13211FFC1B}" name="Contract_Type"/>
    <tableColumn id="6" xr3:uid="{AC65144C-C1DD-41F7-A3D6-CD2BB3DFE5E5}" name="Payment_Method"/>
    <tableColumn id="7" xr3:uid="{5DD78E54-2E90-4DDF-BF8A-34BF4DDF264F}" name="Customer_Segment"/>
    <tableColumn id="8" xr3:uid="{65C8E0FE-9493-4ECF-AF3E-B9BD4EA7829E}" name="Monthly_Charges"/>
    <tableColumn id="9" xr3:uid="{AF7EDB8E-5447-42B5-9429-E44813CB0A43}" name="Total_Charges"/>
    <tableColumn id="10" xr3:uid="{CDEE453A-9482-4993-8DBF-BD4C5B3BE49B}" name="Churn"/>
    <tableColumn id="11" xr3:uid="{D3DC8C51-2FD9-4205-9503-7996A508551F}" name="Tenure_Group" dataDxfId="3">
      <calculatedColumnFormula>IF(D2&lt;=12,"0-12 Months",IF(D2&lt;=24,"13-24 Months",IF(D2&lt;=48,"25-48 Months","49+ Months")))</calculatedColumnFormula>
    </tableColumn>
    <tableColumn id="12" xr3:uid="{E6D95F60-8AF9-4603-B661-87FC51E646F6}" name="Churn_Flag" dataDxfId="2">
      <calculatedColumnFormula>IF(Table134[[#This Row],[Churn]]="Yes",1,0)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91F490-9BC4-4D12-A65D-503997FCFE0D}" name="Table1346" displayName="Table1346" ref="A1:L1001" totalsRowShown="0">
  <autoFilter ref="A1:L1001" xr:uid="{7B91F490-9BC4-4D12-A65D-503997FCFE0D}"/>
  <tableColumns count="12">
    <tableColumn id="1" xr3:uid="{B09A97B5-3A17-461D-A3CF-E62823E7FF21}" name="Customer_ID"/>
    <tableColumn id="2" xr3:uid="{D3123E5B-26D5-4309-866D-CED469CA6E21}" name="Gender"/>
    <tableColumn id="3" xr3:uid="{2751F3E0-3B2F-473E-9C3E-D9860303A270}" name="Age"/>
    <tableColumn id="4" xr3:uid="{23AADF27-624E-4B8B-BB0D-759931FB00FD}" name="Tenure_Months"/>
    <tableColumn id="5" xr3:uid="{0691368A-09A1-43A6-B3EE-49D35E94BACA}" name="Contract_Type"/>
    <tableColumn id="6" xr3:uid="{9478EA1C-EB65-4B43-BF3A-DE29D300AC43}" name="Payment_Method"/>
    <tableColumn id="7" xr3:uid="{087C04CB-79B1-4264-AAB1-3E4401F29CE3}" name="Customer_Segment"/>
    <tableColumn id="8" xr3:uid="{85186FE9-0EB0-4192-B0DA-A141E5CA220C}" name="Monthly_Charges"/>
    <tableColumn id="9" xr3:uid="{0185E223-21B6-40C3-956F-C1E2B54104A6}" name="Total_Charges"/>
    <tableColumn id="10" xr3:uid="{565C12B9-A8BC-4D3F-98B7-A4F98E571080}" name="Churn"/>
    <tableColumn id="11" xr3:uid="{73AD0541-C11F-4487-B145-D8A713EB77E1}" name="Tenure_Group" dataDxfId="1">
      <calculatedColumnFormula>IF(D2&lt;=12,"0-12 Months",IF(D2&lt;=24,"13-24 Months",IF(D2&lt;=48,"25-48 Months","49+ Months")))</calculatedColumnFormula>
    </tableColumn>
    <tableColumn id="12" xr3:uid="{6F41B0EC-F34B-4B2D-A8F0-F3A4F1264A48}" name="Churn_Flag" dataDxfId="0">
      <calculatedColumnFormula>IF(Table1346[[#This Row],[Churn]]="Yes",1,0)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391D-B1D5-4E45-829B-015A79C10B7A}">
  <dimension ref="A1:J1006"/>
  <sheetViews>
    <sheetView topLeftCell="A986" workbookViewId="0">
      <selection activeCell="L997" sqref="L99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34</v>
      </c>
      <c r="D2">
        <v>20</v>
      </c>
      <c r="E2" t="s">
        <v>12</v>
      </c>
      <c r="F2" t="s">
        <v>13</v>
      </c>
      <c r="G2" t="s">
        <v>14</v>
      </c>
      <c r="H2">
        <v>48.83</v>
      </c>
      <c r="I2">
        <v>944.11</v>
      </c>
      <c r="J2" t="s">
        <v>15</v>
      </c>
    </row>
    <row r="3" spans="1:10" x14ac:dyDescent="0.35">
      <c r="A3" t="s">
        <v>16</v>
      </c>
      <c r="B3" t="s">
        <v>17</v>
      </c>
      <c r="C3">
        <v>26</v>
      </c>
      <c r="D3">
        <v>61</v>
      </c>
      <c r="E3" t="s">
        <v>18</v>
      </c>
      <c r="F3" t="s">
        <v>13</v>
      </c>
      <c r="G3" t="s">
        <v>19</v>
      </c>
      <c r="H3">
        <v>61.28</v>
      </c>
      <c r="I3">
        <v>3654.12</v>
      </c>
      <c r="J3" t="s">
        <v>15</v>
      </c>
    </row>
    <row r="4" spans="1:10" x14ac:dyDescent="0.35">
      <c r="A4" t="s">
        <v>20</v>
      </c>
      <c r="B4" t="s">
        <v>11</v>
      </c>
      <c r="C4">
        <v>50</v>
      </c>
      <c r="D4">
        <v>35</v>
      </c>
      <c r="E4" t="s">
        <v>21</v>
      </c>
      <c r="F4" t="s">
        <v>22</v>
      </c>
      <c r="G4" t="s">
        <v>23</v>
      </c>
      <c r="H4">
        <v>53.72</v>
      </c>
      <c r="I4">
        <v>1744.21</v>
      </c>
      <c r="J4" t="s">
        <v>15</v>
      </c>
    </row>
    <row r="5" spans="1:10" x14ac:dyDescent="0.35">
      <c r="A5" t="s">
        <v>24</v>
      </c>
      <c r="B5" t="s">
        <v>11</v>
      </c>
      <c r="C5">
        <v>70</v>
      </c>
      <c r="D5">
        <v>50</v>
      </c>
      <c r="E5" t="s">
        <v>21</v>
      </c>
      <c r="F5" t="s">
        <v>13</v>
      </c>
      <c r="G5" t="s">
        <v>23</v>
      </c>
      <c r="H5">
        <v>31.39</v>
      </c>
      <c r="I5">
        <v>1644.26</v>
      </c>
      <c r="J5" t="s">
        <v>15</v>
      </c>
    </row>
    <row r="6" spans="1:10" x14ac:dyDescent="0.35">
      <c r="A6" t="s">
        <v>25</v>
      </c>
      <c r="B6" t="s">
        <v>11</v>
      </c>
      <c r="C6">
        <v>37</v>
      </c>
      <c r="D6">
        <v>62</v>
      </c>
      <c r="E6" t="s">
        <v>12</v>
      </c>
      <c r="F6" t="s">
        <v>13</v>
      </c>
      <c r="G6" t="s">
        <v>14</v>
      </c>
      <c r="H6">
        <v>31.69</v>
      </c>
      <c r="I6">
        <v>2105.0500000000002</v>
      </c>
      <c r="J6" t="s">
        <v>15</v>
      </c>
    </row>
    <row r="7" spans="1:10" x14ac:dyDescent="0.35">
      <c r="A7" t="s">
        <v>26</v>
      </c>
      <c r="B7" t="s">
        <v>17</v>
      </c>
      <c r="C7">
        <v>30</v>
      </c>
      <c r="D7">
        <v>17</v>
      </c>
      <c r="E7" t="s">
        <v>18</v>
      </c>
      <c r="F7" t="s">
        <v>13</v>
      </c>
      <c r="G7" t="s">
        <v>14</v>
      </c>
      <c r="H7">
        <v>45.12</v>
      </c>
      <c r="I7">
        <v>834.34</v>
      </c>
      <c r="J7" t="s">
        <v>27</v>
      </c>
    </row>
    <row r="8" spans="1:10" x14ac:dyDescent="0.35">
      <c r="A8" t="s">
        <v>28</v>
      </c>
      <c r="B8" t="s">
        <v>11</v>
      </c>
      <c r="C8">
        <v>45</v>
      </c>
      <c r="D8">
        <v>3</v>
      </c>
      <c r="E8" t="s">
        <v>18</v>
      </c>
      <c r="F8" t="s">
        <v>29</v>
      </c>
      <c r="G8" t="s">
        <v>14</v>
      </c>
      <c r="H8">
        <v>26.57</v>
      </c>
      <c r="I8">
        <v>79.59</v>
      </c>
      <c r="J8" t="s">
        <v>27</v>
      </c>
    </row>
    <row r="9" spans="1:10" x14ac:dyDescent="0.35">
      <c r="A9" t="s">
        <v>30</v>
      </c>
      <c r="B9" t="s">
        <v>11</v>
      </c>
      <c r="C9">
        <v>65</v>
      </c>
      <c r="D9">
        <v>32</v>
      </c>
      <c r="E9" t="s">
        <v>21</v>
      </c>
      <c r="F9" t="s">
        <v>13</v>
      </c>
      <c r="G9" t="s">
        <v>23</v>
      </c>
      <c r="H9">
        <v>101.44</v>
      </c>
      <c r="I9">
        <v>3376.49</v>
      </c>
      <c r="J9" t="s">
        <v>15</v>
      </c>
    </row>
    <row r="10" spans="1:10" x14ac:dyDescent="0.35">
      <c r="A10" t="s">
        <v>31</v>
      </c>
      <c r="B10" t="s">
        <v>11</v>
      </c>
      <c r="C10">
        <v>46</v>
      </c>
      <c r="D10">
        <v>13</v>
      </c>
      <c r="E10" t="s">
        <v>12</v>
      </c>
      <c r="F10" t="s">
        <v>29</v>
      </c>
      <c r="G10" t="s">
        <v>14</v>
      </c>
      <c r="H10">
        <v>57.35</v>
      </c>
      <c r="I10">
        <v>798.57</v>
      </c>
      <c r="J10" t="s">
        <v>15</v>
      </c>
    </row>
    <row r="11" spans="1:10" x14ac:dyDescent="0.35">
      <c r="A11" t="s">
        <v>32</v>
      </c>
      <c r="B11" t="s">
        <v>17</v>
      </c>
      <c r="C11">
        <v>30</v>
      </c>
      <c r="D11">
        <v>68</v>
      </c>
      <c r="E11" t="s">
        <v>12</v>
      </c>
      <c r="F11" t="s">
        <v>33</v>
      </c>
      <c r="G11" t="s">
        <v>14</v>
      </c>
      <c r="H11">
        <v>56.37</v>
      </c>
      <c r="I11">
        <v>3770.52</v>
      </c>
      <c r="J11" t="s">
        <v>15</v>
      </c>
    </row>
    <row r="12" spans="1:10" x14ac:dyDescent="0.35">
      <c r="A12" t="s">
        <v>34</v>
      </c>
      <c r="B12" t="s">
        <v>11</v>
      </c>
      <c r="C12">
        <v>63</v>
      </c>
      <c r="D12">
        <v>14</v>
      </c>
      <c r="E12" t="s">
        <v>12</v>
      </c>
      <c r="F12" t="s">
        <v>22</v>
      </c>
      <c r="G12" t="s">
        <v>23</v>
      </c>
      <c r="H12">
        <v>63.16</v>
      </c>
      <c r="I12">
        <v>850.54</v>
      </c>
      <c r="J12" t="s">
        <v>15</v>
      </c>
    </row>
    <row r="13" spans="1:10" x14ac:dyDescent="0.35">
      <c r="A13" t="s">
        <v>35</v>
      </c>
      <c r="B13" t="s">
        <v>11</v>
      </c>
      <c r="C13">
        <v>52</v>
      </c>
      <c r="D13">
        <v>11</v>
      </c>
      <c r="E13" t="s">
        <v>12</v>
      </c>
      <c r="F13" t="s">
        <v>33</v>
      </c>
      <c r="G13" t="s">
        <v>23</v>
      </c>
      <c r="H13">
        <v>106.16</v>
      </c>
      <c r="I13">
        <v>1269.76</v>
      </c>
      <c r="J13" t="s">
        <v>15</v>
      </c>
    </row>
    <row r="14" spans="1:10" x14ac:dyDescent="0.35">
      <c r="A14" t="s">
        <v>36</v>
      </c>
      <c r="B14" t="s">
        <v>11</v>
      </c>
      <c r="C14">
        <v>23</v>
      </c>
      <c r="D14">
        <v>56</v>
      </c>
      <c r="E14" t="s">
        <v>12</v>
      </c>
      <c r="F14" t="s">
        <v>29</v>
      </c>
      <c r="G14" t="s">
        <v>19</v>
      </c>
      <c r="H14">
        <v>133.18</v>
      </c>
      <c r="I14">
        <v>7481.46</v>
      </c>
      <c r="J14" t="s">
        <v>15</v>
      </c>
    </row>
    <row r="15" spans="1:10" x14ac:dyDescent="0.35">
      <c r="A15" t="s">
        <v>37</v>
      </c>
      <c r="B15" t="s">
        <v>11</v>
      </c>
      <c r="C15">
        <v>35</v>
      </c>
      <c r="D15">
        <v>67</v>
      </c>
      <c r="E15" t="s">
        <v>18</v>
      </c>
      <c r="F15" t="s">
        <v>33</v>
      </c>
      <c r="G15" t="s">
        <v>14</v>
      </c>
      <c r="H15">
        <v>118.68</v>
      </c>
      <c r="I15">
        <v>7947.19</v>
      </c>
      <c r="J15" t="s">
        <v>15</v>
      </c>
    </row>
    <row r="16" spans="1:10" x14ac:dyDescent="0.35">
      <c r="A16" t="s">
        <v>38</v>
      </c>
      <c r="B16" t="s">
        <v>17</v>
      </c>
      <c r="C16">
        <v>68</v>
      </c>
      <c r="D16">
        <v>29</v>
      </c>
      <c r="E16" t="s">
        <v>12</v>
      </c>
      <c r="F16" t="s">
        <v>33</v>
      </c>
      <c r="G16" t="s">
        <v>23</v>
      </c>
      <c r="H16">
        <v>114.58</v>
      </c>
      <c r="I16">
        <v>3109.11</v>
      </c>
      <c r="J16" t="s">
        <v>27</v>
      </c>
    </row>
    <row r="17" spans="1:10" x14ac:dyDescent="0.35">
      <c r="A17" t="s">
        <v>39</v>
      </c>
      <c r="B17" t="s">
        <v>11</v>
      </c>
      <c r="C17">
        <v>22</v>
      </c>
      <c r="D17">
        <v>9</v>
      </c>
      <c r="E17" t="s">
        <v>12</v>
      </c>
      <c r="F17" t="s">
        <v>22</v>
      </c>
      <c r="G17" t="s">
        <v>19</v>
      </c>
      <c r="H17">
        <v>82.97</v>
      </c>
      <c r="I17">
        <v>688.21</v>
      </c>
      <c r="J17" t="s">
        <v>15</v>
      </c>
    </row>
    <row r="18" spans="1:10" x14ac:dyDescent="0.35">
      <c r="A18" t="s">
        <v>40</v>
      </c>
      <c r="B18" t="s">
        <v>17</v>
      </c>
      <c r="C18">
        <v>64</v>
      </c>
      <c r="D18">
        <v>67</v>
      </c>
      <c r="E18" t="s">
        <v>12</v>
      </c>
      <c r="F18" t="s">
        <v>22</v>
      </c>
      <c r="G18" t="s">
        <v>23</v>
      </c>
      <c r="H18">
        <v>110.19</v>
      </c>
      <c r="I18">
        <v>7887.87</v>
      </c>
      <c r="J18" t="s">
        <v>27</v>
      </c>
    </row>
    <row r="19" spans="1:10" x14ac:dyDescent="0.35">
      <c r="A19" t="s">
        <v>41</v>
      </c>
      <c r="B19" t="s">
        <v>17</v>
      </c>
      <c r="C19">
        <v>42</v>
      </c>
      <c r="D19">
        <v>25</v>
      </c>
      <c r="E19" t="s">
        <v>12</v>
      </c>
      <c r="F19" t="s">
        <v>29</v>
      </c>
      <c r="G19" t="s">
        <v>14</v>
      </c>
      <c r="H19">
        <v>91.86</v>
      </c>
      <c r="I19">
        <v>2348.92</v>
      </c>
      <c r="J19" t="s">
        <v>27</v>
      </c>
    </row>
    <row r="20" spans="1:10" x14ac:dyDescent="0.35">
      <c r="A20" t="s">
        <v>42</v>
      </c>
      <c r="B20" t="s">
        <v>17</v>
      </c>
      <c r="C20">
        <v>19</v>
      </c>
      <c r="D20">
        <v>42</v>
      </c>
      <c r="E20" t="s">
        <v>12</v>
      </c>
      <c r="F20" t="s">
        <v>33</v>
      </c>
      <c r="G20" t="s">
        <v>19</v>
      </c>
      <c r="H20">
        <v>48.11</v>
      </c>
      <c r="I20">
        <v>1950.23</v>
      </c>
      <c r="J20" t="s">
        <v>15</v>
      </c>
    </row>
    <row r="21" spans="1:10" x14ac:dyDescent="0.35">
      <c r="A21" t="s">
        <v>43</v>
      </c>
      <c r="B21" t="s">
        <v>11</v>
      </c>
      <c r="C21">
        <v>27</v>
      </c>
      <c r="D21">
        <v>9</v>
      </c>
      <c r="E21" t="s">
        <v>12</v>
      </c>
      <c r="F21" t="s">
        <v>13</v>
      </c>
      <c r="G21" t="s">
        <v>19</v>
      </c>
      <c r="H21">
        <v>47.12</v>
      </c>
      <c r="I21">
        <v>397.93</v>
      </c>
      <c r="J21" t="s">
        <v>15</v>
      </c>
    </row>
    <row r="22" spans="1:10" x14ac:dyDescent="0.35">
      <c r="A22" t="s">
        <v>44</v>
      </c>
      <c r="B22" t="s">
        <v>17</v>
      </c>
      <c r="C22">
        <v>47</v>
      </c>
      <c r="D22">
        <v>40</v>
      </c>
      <c r="E22" t="s">
        <v>12</v>
      </c>
      <c r="F22" t="s">
        <v>29</v>
      </c>
      <c r="G22" t="s">
        <v>14</v>
      </c>
      <c r="H22">
        <v>58.53</v>
      </c>
      <c r="I22">
        <v>2367.19</v>
      </c>
      <c r="J22" t="s">
        <v>15</v>
      </c>
    </row>
    <row r="23" spans="1:10" x14ac:dyDescent="0.35">
      <c r="A23" t="s">
        <v>45</v>
      </c>
      <c r="B23" t="s">
        <v>11</v>
      </c>
      <c r="C23">
        <v>67</v>
      </c>
      <c r="D23">
        <v>25</v>
      </c>
      <c r="E23" t="s">
        <v>21</v>
      </c>
      <c r="F23" t="s">
        <v>29</v>
      </c>
      <c r="G23" t="s">
        <v>23</v>
      </c>
      <c r="H23">
        <v>138.4</v>
      </c>
      <c r="I23">
        <v>3518.07</v>
      </c>
      <c r="J23" t="s">
        <v>27</v>
      </c>
    </row>
    <row r="24" spans="1:10" x14ac:dyDescent="0.35">
      <c r="A24" t="s">
        <v>46</v>
      </c>
      <c r="B24" t="s">
        <v>17</v>
      </c>
      <c r="C24">
        <v>62</v>
      </c>
      <c r="D24">
        <v>5</v>
      </c>
      <c r="E24" t="s">
        <v>18</v>
      </c>
      <c r="F24" t="s">
        <v>33</v>
      </c>
      <c r="G24" t="s">
        <v>23</v>
      </c>
      <c r="H24">
        <v>91.16</v>
      </c>
      <c r="I24">
        <v>429.09</v>
      </c>
      <c r="J24" t="s">
        <v>15</v>
      </c>
    </row>
    <row r="25" spans="1:10" x14ac:dyDescent="0.35">
      <c r="A25" t="s">
        <v>47</v>
      </c>
      <c r="B25" t="s">
        <v>17</v>
      </c>
      <c r="C25">
        <v>22</v>
      </c>
      <c r="D25">
        <v>11</v>
      </c>
      <c r="E25" t="s">
        <v>12</v>
      </c>
      <c r="F25" t="s">
        <v>33</v>
      </c>
      <c r="G25" t="s">
        <v>19</v>
      </c>
      <c r="H25">
        <v>115.41</v>
      </c>
      <c r="I25">
        <v>1358.73</v>
      </c>
      <c r="J25" t="s">
        <v>27</v>
      </c>
    </row>
    <row r="26" spans="1:10" x14ac:dyDescent="0.35">
      <c r="A26" t="s">
        <v>48</v>
      </c>
      <c r="B26" t="s">
        <v>17</v>
      </c>
      <c r="C26">
        <v>50</v>
      </c>
      <c r="D26">
        <v>59</v>
      </c>
      <c r="E26" t="s">
        <v>12</v>
      </c>
      <c r="F26" t="s">
        <v>33</v>
      </c>
      <c r="G26" t="s">
        <v>23</v>
      </c>
      <c r="H26">
        <v>65.05</v>
      </c>
      <c r="I26">
        <v>3518.84</v>
      </c>
      <c r="J26" t="s">
        <v>15</v>
      </c>
    </row>
    <row r="27" spans="1:10" x14ac:dyDescent="0.35">
      <c r="A27" t="s">
        <v>49</v>
      </c>
      <c r="B27" t="s">
        <v>17</v>
      </c>
      <c r="C27">
        <v>18</v>
      </c>
      <c r="D27">
        <v>38</v>
      </c>
      <c r="E27" t="s">
        <v>18</v>
      </c>
      <c r="F27" t="s">
        <v>22</v>
      </c>
      <c r="G27" t="s">
        <v>19</v>
      </c>
      <c r="H27">
        <v>73</v>
      </c>
      <c r="I27">
        <v>2694.16</v>
      </c>
      <c r="J27" t="s">
        <v>15</v>
      </c>
    </row>
    <row r="28" spans="1:10" x14ac:dyDescent="0.35">
      <c r="A28" t="s">
        <v>50</v>
      </c>
      <c r="B28" t="s">
        <v>17</v>
      </c>
      <c r="C28">
        <v>35</v>
      </c>
      <c r="D28">
        <v>72</v>
      </c>
      <c r="E28" t="s">
        <v>12</v>
      </c>
      <c r="F28" t="s">
        <v>29</v>
      </c>
      <c r="G28" t="s">
        <v>14</v>
      </c>
      <c r="H28">
        <v>36.32</v>
      </c>
      <c r="I28">
        <v>2709.38</v>
      </c>
      <c r="J28" t="s">
        <v>15</v>
      </c>
    </row>
    <row r="29" spans="1:10" x14ac:dyDescent="0.35">
      <c r="A29" t="s">
        <v>51</v>
      </c>
      <c r="B29" t="s">
        <v>17</v>
      </c>
      <c r="C29">
        <v>49</v>
      </c>
      <c r="D29">
        <v>5</v>
      </c>
      <c r="E29" t="s">
        <v>12</v>
      </c>
      <c r="F29" t="s">
        <v>29</v>
      </c>
      <c r="G29" t="s">
        <v>14</v>
      </c>
      <c r="H29">
        <v>42.27</v>
      </c>
      <c r="I29">
        <v>201.8</v>
      </c>
      <c r="J29" t="s">
        <v>27</v>
      </c>
    </row>
    <row r="30" spans="1:10" x14ac:dyDescent="0.35">
      <c r="A30" t="s">
        <v>52</v>
      </c>
      <c r="B30" t="s">
        <v>17</v>
      </c>
      <c r="C30">
        <v>64</v>
      </c>
      <c r="D30">
        <v>48</v>
      </c>
      <c r="E30" t="s">
        <v>18</v>
      </c>
      <c r="F30" t="s">
        <v>29</v>
      </c>
      <c r="G30" t="s">
        <v>23</v>
      </c>
      <c r="H30">
        <v>127.56</v>
      </c>
      <c r="I30">
        <v>6524.14</v>
      </c>
      <c r="J30" t="s">
        <v>27</v>
      </c>
    </row>
    <row r="31" spans="1:10" x14ac:dyDescent="0.35">
      <c r="A31" t="s">
        <v>53</v>
      </c>
      <c r="B31" t="s">
        <v>17</v>
      </c>
      <c r="C31">
        <v>66</v>
      </c>
      <c r="D31">
        <v>18</v>
      </c>
      <c r="E31" t="s">
        <v>12</v>
      </c>
      <c r="F31" t="s">
        <v>29</v>
      </c>
      <c r="G31" t="s">
        <v>23</v>
      </c>
      <c r="H31">
        <v>96.03</v>
      </c>
      <c r="I31">
        <v>1811.46</v>
      </c>
      <c r="J31" t="s">
        <v>27</v>
      </c>
    </row>
    <row r="32" spans="1:10" x14ac:dyDescent="0.35">
      <c r="A32" t="s">
        <v>54</v>
      </c>
      <c r="B32" t="s">
        <v>11</v>
      </c>
      <c r="C32">
        <v>28</v>
      </c>
      <c r="D32">
        <v>70</v>
      </c>
      <c r="E32" t="s">
        <v>21</v>
      </c>
      <c r="F32" t="s">
        <v>13</v>
      </c>
      <c r="G32" t="s">
        <v>19</v>
      </c>
      <c r="H32">
        <v>63.88</v>
      </c>
      <c r="I32">
        <v>4730.08</v>
      </c>
      <c r="J32" t="s">
        <v>15</v>
      </c>
    </row>
    <row r="33" spans="1:10" x14ac:dyDescent="0.35">
      <c r="A33" t="s">
        <v>55</v>
      </c>
      <c r="B33" t="s">
        <v>11</v>
      </c>
      <c r="C33">
        <v>38</v>
      </c>
      <c r="D33">
        <v>37</v>
      </c>
      <c r="E33" t="s">
        <v>21</v>
      </c>
      <c r="F33" t="s">
        <v>29</v>
      </c>
      <c r="G33" t="s">
        <v>14</v>
      </c>
      <c r="H33">
        <v>124.37</v>
      </c>
      <c r="I33">
        <v>4251.1400000000003</v>
      </c>
      <c r="J33" t="s">
        <v>15</v>
      </c>
    </row>
    <row r="34" spans="1:10" x14ac:dyDescent="0.35">
      <c r="A34" t="s">
        <v>56</v>
      </c>
      <c r="B34" t="s">
        <v>17</v>
      </c>
      <c r="C34">
        <v>43</v>
      </c>
      <c r="D34">
        <v>60</v>
      </c>
      <c r="E34" t="s">
        <v>12</v>
      </c>
      <c r="F34" t="s">
        <v>13</v>
      </c>
      <c r="G34" t="s">
        <v>14</v>
      </c>
      <c r="H34">
        <v>52.05</v>
      </c>
      <c r="I34">
        <v>2898.49</v>
      </c>
      <c r="J34" t="s">
        <v>27</v>
      </c>
    </row>
    <row r="35" spans="1:10" x14ac:dyDescent="0.35">
      <c r="A35" t="s">
        <v>57</v>
      </c>
      <c r="B35" t="s">
        <v>17</v>
      </c>
      <c r="C35">
        <v>42</v>
      </c>
      <c r="D35">
        <v>48</v>
      </c>
      <c r="E35" t="s">
        <v>12</v>
      </c>
      <c r="G35" t="s">
        <v>14</v>
      </c>
      <c r="H35">
        <v>146.88</v>
      </c>
      <c r="I35">
        <v>6749.16</v>
      </c>
      <c r="J35" t="s">
        <v>15</v>
      </c>
    </row>
    <row r="36" spans="1:10" x14ac:dyDescent="0.35">
      <c r="A36" t="s">
        <v>58</v>
      </c>
      <c r="B36" t="s">
        <v>17</v>
      </c>
      <c r="C36">
        <v>39</v>
      </c>
      <c r="D36">
        <v>28</v>
      </c>
      <c r="E36" t="s">
        <v>21</v>
      </c>
      <c r="F36" t="s">
        <v>13</v>
      </c>
      <c r="G36" t="s">
        <v>14</v>
      </c>
      <c r="H36">
        <v>64.83</v>
      </c>
      <c r="I36">
        <v>1821.8</v>
      </c>
      <c r="J36" t="s">
        <v>15</v>
      </c>
    </row>
    <row r="37" spans="1:10" x14ac:dyDescent="0.35">
      <c r="A37" t="s">
        <v>59</v>
      </c>
      <c r="B37" t="s">
        <v>11</v>
      </c>
      <c r="C37">
        <v>44</v>
      </c>
      <c r="D37">
        <v>69</v>
      </c>
      <c r="E37" t="s">
        <v>12</v>
      </c>
      <c r="F37" t="s">
        <v>33</v>
      </c>
      <c r="G37" t="s">
        <v>14</v>
      </c>
      <c r="H37">
        <v>63.85</v>
      </c>
      <c r="I37">
        <v>4624.18</v>
      </c>
      <c r="J37" t="s">
        <v>15</v>
      </c>
    </row>
    <row r="38" spans="1:10" x14ac:dyDescent="0.35">
      <c r="A38" t="s">
        <v>60</v>
      </c>
      <c r="B38" t="s">
        <v>17</v>
      </c>
      <c r="C38">
        <v>66</v>
      </c>
      <c r="D38">
        <v>40</v>
      </c>
      <c r="E38" t="s">
        <v>12</v>
      </c>
      <c r="F38" t="s">
        <v>22</v>
      </c>
      <c r="G38" t="s">
        <v>23</v>
      </c>
      <c r="H38">
        <v>60.55</v>
      </c>
      <c r="I38">
        <v>2585.02</v>
      </c>
      <c r="J38" t="s">
        <v>15</v>
      </c>
    </row>
    <row r="39" spans="1:10" x14ac:dyDescent="0.35">
      <c r="A39" t="s">
        <v>61</v>
      </c>
      <c r="B39" t="s">
        <v>11</v>
      </c>
      <c r="C39">
        <v>30</v>
      </c>
      <c r="D39">
        <v>45</v>
      </c>
      <c r="E39" t="s">
        <v>21</v>
      </c>
      <c r="F39" t="s">
        <v>29</v>
      </c>
      <c r="G39" t="s">
        <v>14</v>
      </c>
      <c r="H39">
        <v>35.869999999999997</v>
      </c>
      <c r="I39">
        <v>1680.12</v>
      </c>
      <c r="J39" t="s">
        <v>15</v>
      </c>
    </row>
    <row r="40" spans="1:10" x14ac:dyDescent="0.35">
      <c r="A40" t="s">
        <v>62</v>
      </c>
      <c r="B40" t="s">
        <v>11</v>
      </c>
      <c r="C40">
        <v>50</v>
      </c>
      <c r="D40">
        <v>62</v>
      </c>
      <c r="E40" t="s">
        <v>12</v>
      </c>
      <c r="F40" t="s">
        <v>13</v>
      </c>
      <c r="G40" t="s">
        <v>23</v>
      </c>
      <c r="H40">
        <v>34.450000000000003</v>
      </c>
      <c r="I40">
        <v>2318.9899999999998</v>
      </c>
      <c r="J40" t="s">
        <v>27</v>
      </c>
    </row>
    <row r="41" spans="1:10" x14ac:dyDescent="0.35">
      <c r="A41" t="s">
        <v>63</v>
      </c>
      <c r="B41" t="s">
        <v>11</v>
      </c>
      <c r="C41">
        <v>51</v>
      </c>
      <c r="D41">
        <v>58</v>
      </c>
      <c r="E41" t="s">
        <v>12</v>
      </c>
      <c r="G41" t="s">
        <v>23</v>
      </c>
      <c r="H41">
        <v>104.25</v>
      </c>
      <c r="I41">
        <v>6335.21</v>
      </c>
      <c r="J41" t="s">
        <v>27</v>
      </c>
    </row>
    <row r="42" spans="1:10" x14ac:dyDescent="0.35">
      <c r="A42" t="s">
        <v>64</v>
      </c>
      <c r="B42" t="s">
        <v>11</v>
      </c>
      <c r="C42">
        <v>58</v>
      </c>
      <c r="D42">
        <v>67</v>
      </c>
      <c r="E42" t="s">
        <v>18</v>
      </c>
      <c r="F42" t="s">
        <v>29</v>
      </c>
      <c r="G42" t="s">
        <v>23</v>
      </c>
      <c r="H42">
        <v>133.77000000000001</v>
      </c>
      <c r="I42">
        <v>8615.32</v>
      </c>
      <c r="J42" t="s">
        <v>27</v>
      </c>
    </row>
    <row r="43" spans="1:10" x14ac:dyDescent="0.35">
      <c r="A43" t="s">
        <v>65</v>
      </c>
      <c r="B43" t="s">
        <v>11</v>
      </c>
      <c r="C43">
        <v>52</v>
      </c>
      <c r="D43">
        <v>56</v>
      </c>
      <c r="E43" t="s">
        <v>12</v>
      </c>
      <c r="F43" t="s">
        <v>22</v>
      </c>
      <c r="G43" t="s">
        <v>23</v>
      </c>
      <c r="H43">
        <v>122.77</v>
      </c>
      <c r="I43">
        <v>6552.1</v>
      </c>
      <c r="J43" t="s">
        <v>15</v>
      </c>
    </row>
    <row r="44" spans="1:10" x14ac:dyDescent="0.35">
      <c r="A44" t="s">
        <v>66</v>
      </c>
      <c r="B44" t="s">
        <v>17</v>
      </c>
      <c r="C44">
        <v>18</v>
      </c>
      <c r="D44">
        <v>40</v>
      </c>
      <c r="E44" t="s">
        <v>18</v>
      </c>
      <c r="F44" t="s">
        <v>29</v>
      </c>
      <c r="G44" t="s">
        <v>19</v>
      </c>
      <c r="H44">
        <v>38.340000000000003</v>
      </c>
      <c r="I44">
        <v>1593.78</v>
      </c>
      <c r="J44" t="s">
        <v>15</v>
      </c>
    </row>
    <row r="45" spans="1:10" x14ac:dyDescent="0.35">
      <c r="A45" t="s">
        <v>67</v>
      </c>
      <c r="B45" t="s">
        <v>17</v>
      </c>
      <c r="C45">
        <v>38</v>
      </c>
      <c r="D45">
        <v>40</v>
      </c>
      <c r="E45" t="s">
        <v>21</v>
      </c>
      <c r="F45" t="s">
        <v>29</v>
      </c>
      <c r="G45" t="s">
        <v>14</v>
      </c>
      <c r="H45">
        <v>90.93</v>
      </c>
      <c r="I45">
        <v>3413.78</v>
      </c>
      <c r="J45" t="s">
        <v>15</v>
      </c>
    </row>
    <row r="46" spans="1:10" x14ac:dyDescent="0.35">
      <c r="A46" t="s">
        <v>68</v>
      </c>
      <c r="B46" t="s">
        <v>17</v>
      </c>
      <c r="C46">
        <v>65</v>
      </c>
      <c r="D46">
        <v>33</v>
      </c>
      <c r="E46" t="s">
        <v>21</v>
      </c>
      <c r="F46" t="s">
        <v>13</v>
      </c>
      <c r="G46" t="s">
        <v>23</v>
      </c>
      <c r="H46">
        <v>33.729999999999997</v>
      </c>
      <c r="I46">
        <v>1022.42</v>
      </c>
      <c r="J46" t="s">
        <v>27</v>
      </c>
    </row>
    <row r="47" spans="1:10" x14ac:dyDescent="0.35">
      <c r="A47" t="s">
        <v>69</v>
      </c>
      <c r="B47" t="s">
        <v>17</v>
      </c>
      <c r="C47">
        <v>23</v>
      </c>
      <c r="D47">
        <v>6</v>
      </c>
      <c r="E47" t="s">
        <v>12</v>
      </c>
      <c r="F47" t="s">
        <v>33</v>
      </c>
      <c r="G47" t="s">
        <v>19</v>
      </c>
      <c r="H47">
        <v>25.89</v>
      </c>
      <c r="I47">
        <v>156.34</v>
      </c>
      <c r="J47" t="s">
        <v>15</v>
      </c>
    </row>
    <row r="48" spans="1:10" x14ac:dyDescent="0.35">
      <c r="A48" t="s">
        <v>70</v>
      </c>
      <c r="B48" t="s">
        <v>17</v>
      </c>
      <c r="C48">
        <v>45</v>
      </c>
      <c r="D48">
        <v>19</v>
      </c>
      <c r="E48" t="s">
        <v>18</v>
      </c>
      <c r="F48" t="s">
        <v>22</v>
      </c>
      <c r="G48" t="s">
        <v>14</v>
      </c>
      <c r="H48">
        <v>105.33</v>
      </c>
      <c r="I48">
        <v>2130.0100000000002</v>
      </c>
      <c r="J48" t="s">
        <v>27</v>
      </c>
    </row>
    <row r="49" spans="1:10" x14ac:dyDescent="0.35">
      <c r="A49" t="s">
        <v>71</v>
      </c>
      <c r="B49" t="s">
        <v>11</v>
      </c>
      <c r="C49">
        <v>34</v>
      </c>
      <c r="D49">
        <v>40</v>
      </c>
      <c r="E49" t="s">
        <v>12</v>
      </c>
      <c r="F49" t="s">
        <v>22</v>
      </c>
      <c r="G49" t="s">
        <v>14</v>
      </c>
      <c r="H49">
        <v>89.57</v>
      </c>
      <c r="I49">
        <v>3297.16</v>
      </c>
      <c r="J49" t="s">
        <v>27</v>
      </c>
    </row>
    <row r="50" spans="1:10" x14ac:dyDescent="0.35">
      <c r="A50" t="s">
        <v>72</v>
      </c>
      <c r="B50" t="s">
        <v>17</v>
      </c>
      <c r="C50">
        <v>22</v>
      </c>
      <c r="D50">
        <v>59</v>
      </c>
      <c r="E50" t="s">
        <v>21</v>
      </c>
      <c r="F50" t="s">
        <v>29</v>
      </c>
      <c r="G50" t="s">
        <v>19</v>
      </c>
      <c r="H50">
        <v>30.66</v>
      </c>
      <c r="I50">
        <v>1914.54</v>
      </c>
      <c r="J50" t="s">
        <v>15</v>
      </c>
    </row>
    <row r="51" spans="1:10" x14ac:dyDescent="0.35">
      <c r="A51" t="s">
        <v>73</v>
      </c>
      <c r="B51" t="s">
        <v>17</v>
      </c>
      <c r="C51">
        <v>48</v>
      </c>
      <c r="D51">
        <v>59</v>
      </c>
      <c r="E51" t="s">
        <v>12</v>
      </c>
      <c r="F51" t="s">
        <v>22</v>
      </c>
      <c r="G51" t="s">
        <v>14</v>
      </c>
      <c r="H51">
        <v>24.54</v>
      </c>
      <c r="I51">
        <v>1538.08</v>
      </c>
      <c r="J51" t="s">
        <v>15</v>
      </c>
    </row>
    <row r="52" spans="1:10" x14ac:dyDescent="0.35">
      <c r="A52" t="s">
        <v>74</v>
      </c>
      <c r="B52" t="s">
        <v>11</v>
      </c>
      <c r="C52">
        <v>22</v>
      </c>
      <c r="D52">
        <v>48</v>
      </c>
      <c r="E52" t="s">
        <v>12</v>
      </c>
      <c r="F52" t="s">
        <v>22</v>
      </c>
      <c r="G52" t="s">
        <v>19</v>
      </c>
      <c r="H52">
        <v>148.66999999999999</v>
      </c>
      <c r="I52">
        <v>7110.86</v>
      </c>
      <c r="J52" t="s">
        <v>15</v>
      </c>
    </row>
    <row r="53" spans="1:10" x14ac:dyDescent="0.35">
      <c r="A53" t="s">
        <v>75</v>
      </c>
      <c r="B53" t="s">
        <v>17</v>
      </c>
      <c r="C53">
        <v>55</v>
      </c>
      <c r="D53">
        <v>41</v>
      </c>
      <c r="E53" t="s">
        <v>12</v>
      </c>
      <c r="F53" t="s">
        <v>22</v>
      </c>
      <c r="G53" t="s">
        <v>23</v>
      </c>
      <c r="H53">
        <v>23.9</v>
      </c>
      <c r="I53">
        <v>893.14</v>
      </c>
      <c r="J53" t="s">
        <v>15</v>
      </c>
    </row>
    <row r="54" spans="1:10" x14ac:dyDescent="0.35">
      <c r="A54" t="s">
        <v>76</v>
      </c>
      <c r="B54" t="s">
        <v>11</v>
      </c>
      <c r="C54">
        <v>20</v>
      </c>
      <c r="D54">
        <v>13</v>
      </c>
      <c r="E54" t="s">
        <v>18</v>
      </c>
      <c r="F54" t="s">
        <v>33</v>
      </c>
      <c r="G54" t="s">
        <v>19</v>
      </c>
      <c r="H54">
        <v>77.790000000000006</v>
      </c>
      <c r="I54">
        <v>945.45</v>
      </c>
      <c r="J54" t="s">
        <v>27</v>
      </c>
    </row>
    <row r="55" spans="1:10" x14ac:dyDescent="0.35">
      <c r="A55" t="s">
        <v>77</v>
      </c>
      <c r="B55" t="s">
        <v>17</v>
      </c>
      <c r="C55">
        <v>70</v>
      </c>
      <c r="D55">
        <v>45</v>
      </c>
      <c r="E55" t="s">
        <v>18</v>
      </c>
      <c r="F55" t="s">
        <v>29</v>
      </c>
      <c r="G55" t="s">
        <v>23</v>
      </c>
      <c r="H55">
        <v>85.6</v>
      </c>
      <c r="I55">
        <v>4011.8</v>
      </c>
      <c r="J55" t="s">
        <v>15</v>
      </c>
    </row>
    <row r="56" spans="1:10" x14ac:dyDescent="0.35">
      <c r="A56" t="s">
        <v>78</v>
      </c>
      <c r="B56" t="s">
        <v>11</v>
      </c>
      <c r="C56">
        <v>40</v>
      </c>
      <c r="D56">
        <v>53</v>
      </c>
      <c r="E56" t="s">
        <v>12</v>
      </c>
      <c r="F56" t="s">
        <v>33</v>
      </c>
      <c r="G56" t="s">
        <v>14</v>
      </c>
      <c r="H56">
        <v>35.25</v>
      </c>
      <c r="I56">
        <v>1947.38</v>
      </c>
      <c r="J56" t="s">
        <v>15</v>
      </c>
    </row>
    <row r="57" spans="1:10" x14ac:dyDescent="0.35">
      <c r="A57" t="s">
        <v>79</v>
      </c>
      <c r="B57" t="s">
        <v>17</v>
      </c>
      <c r="C57">
        <v>54</v>
      </c>
      <c r="D57">
        <v>42</v>
      </c>
      <c r="E57" t="s">
        <v>12</v>
      </c>
      <c r="F57" t="s">
        <v>33</v>
      </c>
      <c r="G57" t="s">
        <v>23</v>
      </c>
      <c r="H57">
        <v>41.98</v>
      </c>
      <c r="I57">
        <v>1903.63</v>
      </c>
      <c r="J57" t="s">
        <v>15</v>
      </c>
    </row>
    <row r="58" spans="1:10" x14ac:dyDescent="0.35">
      <c r="A58" t="s">
        <v>80</v>
      </c>
      <c r="B58" t="s">
        <v>17</v>
      </c>
      <c r="C58">
        <v>70</v>
      </c>
      <c r="D58">
        <v>63</v>
      </c>
      <c r="E58" t="s">
        <v>21</v>
      </c>
      <c r="F58" t="s">
        <v>29</v>
      </c>
      <c r="G58" t="s">
        <v>23</v>
      </c>
      <c r="H58">
        <v>65.73</v>
      </c>
      <c r="I58">
        <v>4209.47</v>
      </c>
      <c r="J58" t="s">
        <v>15</v>
      </c>
    </row>
    <row r="59" spans="1:10" x14ac:dyDescent="0.35">
      <c r="A59" t="s">
        <v>81</v>
      </c>
      <c r="B59" t="s">
        <v>11</v>
      </c>
      <c r="C59">
        <v>54</v>
      </c>
      <c r="D59">
        <v>27</v>
      </c>
      <c r="E59" t="s">
        <v>12</v>
      </c>
      <c r="F59" t="s">
        <v>13</v>
      </c>
      <c r="G59" t="s">
        <v>23</v>
      </c>
      <c r="H59">
        <v>119.02</v>
      </c>
      <c r="I59">
        <v>2971.95</v>
      </c>
      <c r="J59" t="s">
        <v>15</v>
      </c>
    </row>
    <row r="60" spans="1:10" x14ac:dyDescent="0.35">
      <c r="A60" t="s">
        <v>82</v>
      </c>
      <c r="B60" t="s">
        <v>11</v>
      </c>
      <c r="C60">
        <v>27</v>
      </c>
      <c r="D60">
        <v>38</v>
      </c>
      <c r="E60" t="s">
        <v>12</v>
      </c>
      <c r="F60" t="s">
        <v>33</v>
      </c>
      <c r="G60" t="s">
        <v>19</v>
      </c>
      <c r="H60">
        <v>85.92</v>
      </c>
      <c r="I60">
        <v>3017.75</v>
      </c>
      <c r="J60" t="s">
        <v>15</v>
      </c>
    </row>
    <row r="61" spans="1:10" x14ac:dyDescent="0.35">
      <c r="A61" t="s">
        <v>83</v>
      </c>
      <c r="B61" t="s">
        <v>11</v>
      </c>
      <c r="C61">
        <v>27</v>
      </c>
      <c r="D61">
        <v>60</v>
      </c>
      <c r="E61" t="s">
        <v>21</v>
      </c>
      <c r="F61" t="s">
        <v>29</v>
      </c>
      <c r="G61" t="s">
        <v>19</v>
      </c>
      <c r="H61">
        <v>102.93</v>
      </c>
      <c r="I61">
        <v>6448.93</v>
      </c>
      <c r="J61" t="s">
        <v>27</v>
      </c>
    </row>
    <row r="62" spans="1:10" x14ac:dyDescent="0.35">
      <c r="A62" t="s">
        <v>84</v>
      </c>
      <c r="B62" t="s">
        <v>11</v>
      </c>
      <c r="C62">
        <v>36</v>
      </c>
      <c r="D62">
        <v>7</v>
      </c>
      <c r="E62" t="s">
        <v>12</v>
      </c>
      <c r="F62" t="s">
        <v>13</v>
      </c>
      <c r="G62" t="s">
        <v>14</v>
      </c>
      <c r="H62">
        <v>148.07</v>
      </c>
      <c r="I62">
        <v>970.94</v>
      </c>
      <c r="J62" t="s">
        <v>27</v>
      </c>
    </row>
    <row r="63" spans="1:10" x14ac:dyDescent="0.35">
      <c r="A63" t="s">
        <v>85</v>
      </c>
      <c r="B63" t="s">
        <v>11</v>
      </c>
      <c r="C63">
        <v>34</v>
      </c>
      <c r="D63">
        <v>5</v>
      </c>
      <c r="E63" t="s">
        <v>18</v>
      </c>
      <c r="F63" t="s">
        <v>33</v>
      </c>
      <c r="G63" t="s">
        <v>14</v>
      </c>
      <c r="H63">
        <v>119.84</v>
      </c>
      <c r="I63">
        <v>578.63</v>
      </c>
      <c r="J63" t="s">
        <v>15</v>
      </c>
    </row>
    <row r="64" spans="1:10" x14ac:dyDescent="0.35">
      <c r="A64" t="s">
        <v>86</v>
      </c>
      <c r="B64" t="s">
        <v>11</v>
      </c>
      <c r="C64">
        <v>38</v>
      </c>
      <c r="D64">
        <v>45</v>
      </c>
      <c r="E64" t="s">
        <v>12</v>
      </c>
      <c r="F64" t="s">
        <v>13</v>
      </c>
      <c r="G64" t="s">
        <v>14</v>
      </c>
      <c r="H64">
        <v>76.47</v>
      </c>
      <c r="I64">
        <v>3432.35</v>
      </c>
      <c r="J64" t="s">
        <v>27</v>
      </c>
    </row>
    <row r="65" spans="1:10" x14ac:dyDescent="0.35">
      <c r="A65" t="s">
        <v>87</v>
      </c>
      <c r="B65" t="s">
        <v>11</v>
      </c>
      <c r="C65">
        <v>31</v>
      </c>
      <c r="D65">
        <v>58</v>
      </c>
      <c r="E65" t="s">
        <v>12</v>
      </c>
      <c r="F65" t="s">
        <v>29</v>
      </c>
      <c r="G65" t="s">
        <v>14</v>
      </c>
      <c r="H65">
        <v>78.040000000000006</v>
      </c>
      <c r="I65">
        <v>4096.1099999999997</v>
      </c>
      <c r="J65" t="s">
        <v>15</v>
      </c>
    </row>
    <row r="66" spans="1:10" x14ac:dyDescent="0.35">
      <c r="A66" t="s">
        <v>88</v>
      </c>
      <c r="B66" t="s">
        <v>11</v>
      </c>
      <c r="C66">
        <v>26</v>
      </c>
      <c r="D66">
        <v>31</v>
      </c>
      <c r="E66" t="s">
        <v>12</v>
      </c>
      <c r="F66" t="s">
        <v>13</v>
      </c>
      <c r="G66" t="s">
        <v>19</v>
      </c>
      <c r="H66">
        <v>100.44</v>
      </c>
      <c r="I66">
        <v>2957.22</v>
      </c>
      <c r="J66" t="s">
        <v>15</v>
      </c>
    </row>
    <row r="67" spans="1:10" x14ac:dyDescent="0.35">
      <c r="A67" t="s">
        <v>89</v>
      </c>
      <c r="B67" t="s">
        <v>17</v>
      </c>
      <c r="C67">
        <v>63</v>
      </c>
      <c r="D67">
        <v>23</v>
      </c>
      <c r="E67" t="s">
        <v>21</v>
      </c>
      <c r="F67" t="s">
        <v>29</v>
      </c>
      <c r="G67" t="s">
        <v>23</v>
      </c>
      <c r="I67">
        <v>2404.38</v>
      </c>
      <c r="J67" t="s">
        <v>15</v>
      </c>
    </row>
    <row r="68" spans="1:10" x14ac:dyDescent="0.35">
      <c r="A68" t="s">
        <v>90</v>
      </c>
      <c r="B68" t="s">
        <v>17</v>
      </c>
      <c r="C68">
        <v>18</v>
      </c>
      <c r="D68">
        <v>42</v>
      </c>
      <c r="E68" t="s">
        <v>12</v>
      </c>
      <c r="F68" t="s">
        <v>13</v>
      </c>
      <c r="G68" t="s">
        <v>19</v>
      </c>
      <c r="H68">
        <v>85.09</v>
      </c>
      <c r="I68">
        <v>3416.27</v>
      </c>
      <c r="J68" t="s">
        <v>27</v>
      </c>
    </row>
    <row r="69" spans="1:10" x14ac:dyDescent="0.35">
      <c r="A69" t="s">
        <v>91</v>
      </c>
      <c r="B69" t="s">
        <v>11</v>
      </c>
      <c r="C69">
        <v>68</v>
      </c>
      <c r="D69">
        <v>10</v>
      </c>
      <c r="E69" t="s">
        <v>21</v>
      </c>
      <c r="F69" t="s">
        <v>29</v>
      </c>
      <c r="G69" t="s">
        <v>23</v>
      </c>
      <c r="H69">
        <v>103.83</v>
      </c>
      <c r="I69">
        <v>962.79</v>
      </c>
      <c r="J69" t="s">
        <v>27</v>
      </c>
    </row>
    <row r="70" spans="1:10" x14ac:dyDescent="0.35">
      <c r="A70" t="s">
        <v>92</v>
      </c>
      <c r="B70" t="s">
        <v>17</v>
      </c>
      <c r="C70">
        <v>62</v>
      </c>
      <c r="D70">
        <v>32</v>
      </c>
      <c r="E70" t="s">
        <v>12</v>
      </c>
      <c r="F70" t="s">
        <v>22</v>
      </c>
      <c r="G70" t="s">
        <v>23</v>
      </c>
      <c r="H70">
        <v>23.06</v>
      </c>
      <c r="I70">
        <v>771.57</v>
      </c>
      <c r="J70" t="s">
        <v>15</v>
      </c>
    </row>
    <row r="71" spans="1:10" x14ac:dyDescent="0.35">
      <c r="A71" t="s">
        <v>93</v>
      </c>
      <c r="B71" t="s">
        <v>17</v>
      </c>
      <c r="C71">
        <v>30</v>
      </c>
      <c r="D71">
        <v>53</v>
      </c>
      <c r="E71" t="s">
        <v>18</v>
      </c>
      <c r="F71" t="s">
        <v>13</v>
      </c>
      <c r="G71" t="s">
        <v>14</v>
      </c>
      <c r="H71">
        <v>75.849999999999994</v>
      </c>
      <c r="I71">
        <v>4271.82</v>
      </c>
      <c r="J71" t="s">
        <v>15</v>
      </c>
    </row>
    <row r="72" spans="1:10" x14ac:dyDescent="0.35">
      <c r="A72" t="s">
        <v>94</v>
      </c>
      <c r="B72" t="s">
        <v>17</v>
      </c>
      <c r="C72">
        <v>21</v>
      </c>
      <c r="D72">
        <v>30</v>
      </c>
      <c r="E72" t="s">
        <v>12</v>
      </c>
      <c r="F72" t="s">
        <v>22</v>
      </c>
      <c r="G72" t="s">
        <v>19</v>
      </c>
      <c r="H72">
        <v>56.26</v>
      </c>
      <c r="I72">
        <v>1605.93</v>
      </c>
      <c r="J72" t="s">
        <v>15</v>
      </c>
    </row>
    <row r="73" spans="1:10" x14ac:dyDescent="0.35">
      <c r="A73" t="s">
        <v>95</v>
      </c>
      <c r="B73" t="s">
        <v>17</v>
      </c>
      <c r="C73">
        <v>18</v>
      </c>
      <c r="D73">
        <v>39</v>
      </c>
      <c r="E73" t="s">
        <v>12</v>
      </c>
      <c r="F73" t="s">
        <v>22</v>
      </c>
      <c r="G73" t="s">
        <v>19</v>
      </c>
      <c r="H73">
        <v>36.79</v>
      </c>
      <c r="I73">
        <v>1513.56</v>
      </c>
      <c r="J73" t="s">
        <v>15</v>
      </c>
    </row>
    <row r="74" spans="1:10" x14ac:dyDescent="0.35">
      <c r="A74" t="s">
        <v>96</v>
      </c>
      <c r="B74" t="s">
        <v>11</v>
      </c>
      <c r="C74">
        <v>66</v>
      </c>
      <c r="D74">
        <v>31</v>
      </c>
      <c r="E74" t="s">
        <v>21</v>
      </c>
      <c r="F74" t="s">
        <v>13</v>
      </c>
      <c r="G74" t="s">
        <v>23</v>
      </c>
      <c r="H74">
        <v>32.94</v>
      </c>
      <c r="I74">
        <v>997.77</v>
      </c>
      <c r="J74" t="s">
        <v>15</v>
      </c>
    </row>
    <row r="75" spans="1:10" x14ac:dyDescent="0.35">
      <c r="A75" t="s">
        <v>97</v>
      </c>
      <c r="B75" t="s">
        <v>17</v>
      </c>
      <c r="C75">
        <v>57</v>
      </c>
      <c r="D75">
        <v>2</v>
      </c>
      <c r="E75" t="s">
        <v>12</v>
      </c>
      <c r="F75" t="s">
        <v>22</v>
      </c>
      <c r="G75" t="s">
        <v>23</v>
      </c>
      <c r="H75">
        <v>98.41</v>
      </c>
      <c r="I75">
        <v>197.08</v>
      </c>
      <c r="J75" t="s">
        <v>15</v>
      </c>
    </row>
    <row r="76" spans="1:10" x14ac:dyDescent="0.35">
      <c r="A76" t="s">
        <v>98</v>
      </c>
      <c r="B76" t="s">
        <v>11</v>
      </c>
      <c r="C76">
        <v>49</v>
      </c>
      <c r="D76">
        <v>12</v>
      </c>
      <c r="E76" t="s">
        <v>12</v>
      </c>
      <c r="F76" t="s">
        <v>29</v>
      </c>
      <c r="G76" t="s">
        <v>14</v>
      </c>
      <c r="H76">
        <v>88.07</v>
      </c>
      <c r="I76">
        <v>1132.0899999999999</v>
      </c>
      <c r="J76" t="s">
        <v>27</v>
      </c>
    </row>
    <row r="77" spans="1:10" x14ac:dyDescent="0.35">
      <c r="A77" t="s">
        <v>99</v>
      </c>
      <c r="B77" t="s">
        <v>17</v>
      </c>
      <c r="C77">
        <v>51</v>
      </c>
      <c r="D77">
        <v>39</v>
      </c>
      <c r="E77" t="s">
        <v>18</v>
      </c>
      <c r="F77" t="s">
        <v>13</v>
      </c>
      <c r="G77" t="s">
        <v>23</v>
      </c>
      <c r="H77">
        <v>52.97</v>
      </c>
      <c r="I77">
        <v>2169.1</v>
      </c>
      <c r="J77" t="s">
        <v>15</v>
      </c>
    </row>
    <row r="78" spans="1:10" x14ac:dyDescent="0.35">
      <c r="A78" t="s">
        <v>100</v>
      </c>
      <c r="B78" t="s">
        <v>17</v>
      </c>
      <c r="C78">
        <v>45</v>
      </c>
      <c r="D78">
        <v>66</v>
      </c>
      <c r="E78" t="s">
        <v>12</v>
      </c>
      <c r="F78" t="s">
        <v>29</v>
      </c>
      <c r="G78" t="s">
        <v>14</v>
      </c>
      <c r="H78">
        <v>81.22</v>
      </c>
      <c r="I78">
        <v>5687.64</v>
      </c>
      <c r="J78" t="s">
        <v>15</v>
      </c>
    </row>
    <row r="79" spans="1:10" x14ac:dyDescent="0.35">
      <c r="A79" t="s">
        <v>101</v>
      </c>
      <c r="B79" t="s">
        <v>17</v>
      </c>
      <c r="C79">
        <v>48</v>
      </c>
      <c r="D79">
        <v>13</v>
      </c>
      <c r="E79" t="s">
        <v>21</v>
      </c>
      <c r="F79" t="s">
        <v>33</v>
      </c>
      <c r="G79" t="s">
        <v>14</v>
      </c>
      <c r="H79">
        <v>83.99</v>
      </c>
      <c r="I79">
        <v>1012.57</v>
      </c>
      <c r="J79" t="s">
        <v>27</v>
      </c>
    </row>
    <row r="80" spans="1:10" x14ac:dyDescent="0.35">
      <c r="A80" t="s">
        <v>102</v>
      </c>
      <c r="B80" t="s">
        <v>11</v>
      </c>
      <c r="C80">
        <v>25</v>
      </c>
      <c r="D80">
        <v>46</v>
      </c>
      <c r="E80" t="s">
        <v>12</v>
      </c>
      <c r="F80" t="s">
        <v>29</v>
      </c>
      <c r="G80" t="s">
        <v>19</v>
      </c>
      <c r="H80">
        <v>45.35</v>
      </c>
      <c r="I80">
        <v>1906.58</v>
      </c>
      <c r="J80" t="s">
        <v>15</v>
      </c>
    </row>
    <row r="81" spans="1:10" x14ac:dyDescent="0.35">
      <c r="A81" t="s">
        <v>103</v>
      </c>
      <c r="B81" t="s">
        <v>17</v>
      </c>
      <c r="C81">
        <v>56</v>
      </c>
      <c r="D81">
        <v>27</v>
      </c>
      <c r="E81" t="s">
        <v>21</v>
      </c>
      <c r="F81" t="s">
        <v>13</v>
      </c>
      <c r="G81" t="s">
        <v>23</v>
      </c>
      <c r="H81">
        <v>104.77</v>
      </c>
      <c r="I81">
        <v>3051.36</v>
      </c>
      <c r="J81" t="s">
        <v>15</v>
      </c>
    </row>
    <row r="82" spans="1:10" x14ac:dyDescent="0.35">
      <c r="A82" t="s">
        <v>104</v>
      </c>
      <c r="B82" t="s">
        <v>11</v>
      </c>
      <c r="C82">
        <v>43</v>
      </c>
      <c r="D82">
        <v>17</v>
      </c>
      <c r="E82" t="s">
        <v>12</v>
      </c>
      <c r="F82" t="s">
        <v>22</v>
      </c>
      <c r="G82" t="s">
        <v>14</v>
      </c>
      <c r="H82">
        <v>121.52</v>
      </c>
      <c r="I82">
        <v>2019.5</v>
      </c>
      <c r="J82" t="s">
        <v>15</v>
      </c>
    </row>
    <row r="83" spans="1:10" x14ac:dyDescent="0.35">
      <c r="A83" t="s">
        <v>105</v>
      </c>
      <c r="B83" t="s">
        <v>17</v>
      </c>
      <c r="C83">
        <v>51</v>
      </c>
      <c r="D83">
        <v>60</v>
      </c>
      <c r="E83" t="s">
        <v>12</v>
      </c>
      <c r="F83" t="s">
        <v>13</v>
      </c>
      <c r="G83" t="s">
        <v>23</v>
      </c>
      <c r="H83">
        <v>122.89</v>
      </c>
      <c r="I83">
        <v>7060.59</v>
      </c>
      <c r="J83" t="s">
        <v>15</v>
      </c>
    </row>
    <row r="84" spans="1:10" x14ac:dyDescent="0.35">
      <c r="A84" t="s">
        <v>106</v>
      </c>
      <c r="B84" t="s">
        <v>11</v>
      </c>
      <c r="C84">
        <v>20</v>
      </c>
      <c r="D84">
        <v>64</v>
      </c>
      <c r="E84" t="s">
        <v>18</v>
      </c>
      <c r="F84" t="s">
        <v>29</v>
      </c>
      <c r="G84" t="s">
        <v>19</v>
      </c>
      <c r="H84">
        <v>98.32</v>
      </c>
      <c r="I84">
        <v>6575.26</v>
      </c>
      <c r="J84" t="s">
        <v>15</v>
      </c>
    </row>
    <row r="85" spans="1:10" x14ac:dyDescent="0.35">
      <c r="A85" t="s">
        <v>107</v>
      </c>
      <c r="B85" t="s">
        <v>17</v>
      </c>
      <c r="C85">
        <v>67</v>
      </c>
      <c r="D85">
        <v>35</v>
      </c>
      <c r="E85" t="s">
        <v>21</v>
      </c>
      <c r="F85" t="s">
        <v>13</v>
      </c>
      <c r="G85" t="s">
        <v>23</v>
      </c>
      <c r="H85">
        <v>86.51</v>
      </c>
      <c r="I85">
        <v>3231.57</v>
      </c>
      <c r="J85" t="s">
        <v>15</v>
      </c>
    </row>
    <row r="86" spans="1:10" x14ac:dyDescent="0.35">
      <c r="A86" t="s">
        <v>108</v>
      </c>
      <c r="B86" t="s">
        <v>11</v>
      </c>
      <c r="C86">
        <v>29</v>
      </c>
      <c r="D86">
        <v>70</v>
      </c>
      <c r="E86" t="s">
        <v>12</v>
      </c>
      <c r="F86" t="s">
        <v>22</v>
      </c>
      <c r="G86" t="s">
        <v>19</v>
      </c>
      <c r="H86">
        <v>27.93</v>
      </c>
      <c r="I86">
        <v>2096.84</v>
      </c>
      <c r="J86" t="s">
        <v>15</v>
      </c>
    </row>
    <row r="87" spans="1:10" x14ac:dyDescent="0.35">
      <c r="A87" t="s">
        <v>109</v>
      </c>
      <c r="B87" t="s">
        <v>11</v>
      </c>
      <c r="C87">
        <v>18</v>
      </c>
      <c r="D87">
        <v>30</v>
      </c>
      <c r="E87" t="s">
        <v>12</v>
      </c>
      <c r="F87" t="s">
        <v>22</v>
      </c>
      <c r="G87" t="s">
        <v>19</v>
      </c>
      <c r="H87">
        <v>57.42</v>
      </c>
      <c r="I87">
        <v>1659.21</v>
      </c>
      <c r="J87" t="s">
        <v>15</v>
      </c>
    </row>
    <row r="88" spans="1:10" x14ac:dyDescent="0.35">
      <c r="A88" t="s">
        <v>110</v>
      </c>
      <c r="B88" t="s">
        <v>17</v>
      </c>
      <c r="C88">
        <v>61</v>
      </c>
      <c r="D88">
        <v>71</v>
      </c>
      <c r="E88" t="s">
        <v>18</v>
      </c>
      <c r="F88" t="s">
        <v>13</v>
      </c>
      <c r="G88" t="s">
        <v>23</v>
      </c>
      <c r="H88">
        <v>32.130000000000003</v>
      </c>
      <c r="I88">
        <v>2441.9299999999998</v>
      </c>
      <c r="J88" t="s">
        <v>15</v>
      </c>
    </row>
    <row r="89" spans="1:10" x14ac:dyDescent="0.35">
      <c r="A89" t="s">
        <v>111</v>
      </c>
      <c r="B89" t="s">
        <v>11</v>
      </c>
      <c r="C89">
        <v>22</v>
      </c>
      <c r="D89">
        <v>63</v>
      </c>
      <c r="E89" t="s">
        <v>12</v>
      </c>
      <c r="F89" t="s">
        <v>13</v>
      </c>
      <c r="G89" t="s">
        <v>19</v>
      </c>
      <c r="H89">
        <v>145.30000000000001</v>
      </c>
      <c r="I89">
        <v>8313.4500000000007</v>
      </c>
      <c r="J89" t="s">
        <v>15</v>
      </c>
    </row>
    <row r="90" spans="1:10" x14ac:dyDescent="0.35">
      <c r="A90" t="s">
        <v>112</v>
      </c>
      <c r="B90" t="s">
        <v>17</v>
      </c>
      <c r="C90">
        <v>47</v>
      </c>
      <c r="D90">
        <v>28</v>
      </c>
      <c r="E90" t="s">
        <v>21</v>
      </c>
      <c r="F90" t="s">
        <v>13</v>
      </c>
      <c r="G90" t="s">
        <v>14</v>
      </c>
      <c r="H90">
        <v>37.56</v>
      </c>
      <c r="I90">
        <v>956.96</v>
      </c>
      <c r="J90" t="s">
        <v>15</v>
      </c>
    </row>
    <row r="91" spans="1:10" x14ac:dyDescent="0.35">
      <c r="A91" t="s">
        <v>113</v>
      </c>
      <c r="B91" t="s">
        <v>17</v>
      </c>
      <c r="C91">
        <v>47</v>
      </c>
      <c r="D91">
        <v>60</v>
      </c>
      <c r="E91" t="s">
        <v>21</v>
      </c>
      <c r="F91" t="s">
        <v>22</v>
      </c>
      <c r="G91" t="s">
        <v>14</v>
      </c>
      <c r="H91">
        <v>39.729999999999997</v>
      </c>
      <c r="I91">
        <v>2442.69</v>
      </c>
      <c r="J91" t="s">
        <v>15</v>
      </c>
    </row>
    <row r="92" spans="1:10" x14ac:dyDescent="0.35">
      <c r="A92" t="s">
        <v>114</v>
      </c>
      <c r="B92" t="s">
        <v>17</v>
      </c>
      <c r="C92">
        <v>34</v>
      </c>
      <c r="D92">
        <v>37</v>
      </c>
      <c r="E92" t="s">
        <v>12</v>
      </c>
      <c r="F92" t="s">
        <v>13</v>
      </c>
      <c r="G92" t="s">
        <v>14</v>
      </c>
      <c r="H92">
        <v>135.63999999999999</v>
      </c>
      <c r="I92">
        <v>4580.1499999999996</v>
      </c>
      <c r="J92" t="s">
        <v>15</v>
      </c>
    </row>
    <row r="93" spans="1:10" x14ac:dyDescent="0.35">
      <c r="A93" t="s">
        <v>115</v>
      </c>
      <c r="B93" t="s">
        <v>17</v>
      </c>
      <c r="C93">
        <v>65</v>
      </c>
      <c r="D93">
        <v>22</v>
      </c>
      <c r="E93" t="s">
        <v>12</v>
      </c>
      <c r="F93" t="s">
        <v>13</v>
      </c>
      <c r="G93" t="s">
        <v>23</v>
      </c>
      <c r="H93">
        <v>142.71</v>
      </c>
      <c r="I93">
        <v>3029.49</v>
      </c>
      <c r="J93" t="s">
        <v>27</v>
      </c>
    </row>
    <row r="94" spans="1:10" x14ac:dyDescent="0.35">
      <c r="A94" t="s">
        <v>116</v>
      </c>
      <c r="B94" t="s">
        <v>17</v>
      </c>
      <c r="C94">
        <v>64</v>
      </c>
      <c r="D94">
        <v>68</v>
      </c>
      <c r="E94" t="s">
        <v>21</v>
      </c>
      <c r="F94" t="s">
        <v>29</v>
      </c>
      <c r="G94" t="s">
        <v>23</v>
      </c>
      <c r="H94">
        <v>119.56</v>
      </c>
      <c r="I94">
        <v>8410.98</v>
      </c>
      <c r="J94" t="s">
        <v>15</v>
      </c>
    </row>
    <row r="95" spans="1:10" x14ac:dyDescent="0.35">
      <c r="A95" t="s">
        <v>117</v>
      </c>
      <c r="B95" t="s">
        <v>17</v>
      </c>
      <c r="C95">
        <v>40</v>
      </c>
      <c r="D95">
        <v>20</v>
      </c>
      <c r="E95" t="s">
        <v>12</v>
      </c>
      <c r="F95" t="s">
        <v>29</v>
      </c>
      <c r="G95" t="s">
        <v>14</v>
      </c>
      <c r="H95">
        <v>20.7</v>
      </c>
      <c r="I95">
        <v>400.53</v>
      </c>
      <c r="J95" t="s">
        <v>27</v>
      </c>
    </row>
    <row r="96" spans="1:10" x14ac:dyDescent="0.35">
      <c r="A96" t="s">
        <v>118</v>
      </c>
      <c r="B96" t="s">
        <v>17</v>
      </c>
      <c r="C96">
        <v>32</v>
      </c>
      <c r="D96">
        <v>68</v>
      </c>
      <c r="E96" t="s">
        <v>12</v>
      </c>
      <c r="F96" t="s">
        <v>29</v>
      </c>
      <c r="G96" t="s">
        <v>14</v>
      </c>
      <c r="H96">
        <v>20.18</v>
      </c>
      <c r="I96">
        <v>1284.31</v>
      </c>
      <c r="J96" t="s">
        <v>15</v>
      </c>
    </row>
    <row r="97" spans="1:10" x14ac:dyDescent="0.35">
      <c r="A97" t="s">
        <v>119</v>
      </c>
      <c r="B97" t="s">
        <v>17</v>
      </c>
      <c r="C97">
        <v>54</v>
      </c>
      <c r="D97">
        <v>64</v>
      </c>
      <c r="E97" t="s">
        <v>18</v>
      </c>
      <c r="F97" t="s">
        <v>29</v>
      </c>
      <c r="G97" t="s">
        <v>23</v>
      </c>
      <c r="H97">
        <v>69.150000000000006</v>
      </c>
      <c r="I97">
        <v>4232.07</v>
      </c>
      <c r="J97" t="s">
        <v>15</v>
      </c>
    </row>
    <row r="98" spans="1:10" x14ac:dyDescent="0.35">
      <c r="A98" t="s">
        <v>120</v>
      </c>
      <c r="B98" t="s">
        <v>17</v>
      </c>
      <c r="C98">
        <v>38</v>
      </c>
      <c r="D98">
        <v>17</v>
      </c>
      <c r="E98" t="s">
        <v>21</v>
      </c>
      <c r="F98" t="s">
        <v>13</v>
      </c>
      <c r="G98" t="s">
        <v>14</v>
      </c>
      <c r="H98">
        <v>38.64</v>
      </c>
      <c r="I98">
        <v>651.30999999999995</v>
      </c>
      <c r="J98" t="s">
        <v>15</v>
      </c>
    </row>
    <row r="99" spans="1:10" x14ac:dyDescent="0.35">
      <c r="A99" t="s">
        <v>121</v>
      </c>
      <c r="B99" t="s">
        <v>17</v>
      </c>
      <c r="C99">
        <v>31</v>
      </c>
      <c r="D99">
        <v>12</v>
      </c>
      <c r="E99" t="s">
        <v>21</v>
      </c>
      <c r="F99" t="s">
        <v>22</v>
      </c>
      <c r="G99" t="s">
        <v>14</v>
      </c>
      <c r="H99">
        <v>22.39</v>
      </c>
      <c r="I99">
        <v>267.36</v>
      </c>
      <c r="J99" t="s">
        <v>27</v>
      </c>
    </row>
    <row r="100" spans="1:10" x14ac:dyDescent="0.35">
      <c r="A100" t="s">
        <v>122</v>
      </c>
      <c r="B100" t="s">
        <v>17</v>
      </c>
      <c r="C100">
        <v>19</v>
      </c>
      <c r="D100">
        <v>22</v>
      </c>
      <c r="E100" t="s">
        <v>21</v>
      </c>
      <c r="F100" t="s">
        <v>29</v>
      </c>
      <c r="G100" t="s">
        <v>19</v>
      </c>
      <c r="H100">
        <v>80.33</v>
      </c>
      <c r="I100">
        <v>1867.29</v>
      </c>
      <c r="J100" t="s">
        <v>15</v>
      </c>
    </row>
    <row r="101" spans="1:10" x14ac:dyDescent="0.35">
      <c r="A101" t="s">
        <v>123</v>
      </c>
      <c r="B101" t="s">
        <v>11</v>
      </c>
      <c r="C101">
        <v>28</v>
      </c>
      <c r="D101">
        <v>17</v>
      </c>
      <c r="E101" t="s">
        <v>21</v>
      </c>
      <c r="F101" t="s">
        <v>33</v>
      </c>
      <c r="G101" t="s">
        <v>19</v>
      </c>
      <c r="H101">
        <v>142.6</v>
      </c>
      <c r="I101">
        <v>2545.48</v>
      </c>
      <c r="J101" t="s">
        <v>15</v>
      </c>
    </row>
    <row r="102" spans="1:10" x14ac:dyDescent="0.35">
      <c r="A102" t="s">
        <v>124</v>
      </c>
      <c r="B102" t="s">
        <v>11</v>
      </c>
      <c r="C102">
        <v>68</v>
      </c>
      <c r="D102">
        <v>10</v>
      </c>
      <c r="E102" t="s">
        <v>12</v>
      </c>
      <c r="F102" t="s">
        <v>29</v>
      </c>
      <c r="G102" t="s">
        <v>23</v>
      </c>
      <c r="H102">
        <v>62.1</v>
      </c>
      <c r="I102">
        <v>615.64</v>
      </c>
      <c r="J102" t="s">
        <v>27</v>
      </c>
    </row>
    <row r="103" spans="1:10" x14ac:dyDescent="0.35">
      <c r="A103" t="s">
        <v>125</v>
      </c>
      <c r="B103" t="s">
        <v>17</v>
      </c>
      <c r="C103">
        <v>56</v>
      </c>
      <c r="D103">
        <v>65</v>
      </c>
      <c r="E103" t="s">
        <v>12</v>
      </c>
      <c r="F103" t="s">
        <v>22</v>
      </c>
      <c r="G103" t="s">
        <v>23</v>
      </c>
      <c r="H103">
        <v>105.95</v>
      </c>
      <c r="I103">
        <v>7362.85</v>
      </c>
      <c r="J103" t="s">
        <v>27</v>
      </c>
    </row>
    <row r="104" spans="1:10" x14ac:dyDescent="0.35">
      <c r="A104" t="s">
        <v>126</v>
      </c>
      <c r="B104" t="s">
        <v>17</v>
      </c>
      <c r="C104">
        <v>55</v>
      </c>
      <c r="D104">
        <v>22</v>
      </c>
      <c r="E104" t="s">
        <v>12</v>
      </c>
      <c r="F104" t="s">
        <v>22</v>
      </c>
      <c r="G104" t="s">
        <v>23</v>
      </c>
      <c r="H104">
        <v>104.79</v>
      </c>
      <c r="I104">
        <v>2127.5100000000002</v>
      </c>
      <c r="J104" t="s">
        <v>27</v>
      </c>
    </row>
    <row r="105" spans="1:10" x14ac:dyDescent="0.35">
      <c r="A105" t="s">
        <v>127</v>
      </c>
      <c r="B105" t="s">
        <v>17</v>
      </c>
      <c r="C105">
        <v>51</v>
      </c>
      <c r="D105">
        <v>50</v>
      </c>
      <c r="E105" t="s">
        <v>12</v>
      </c>
      <c r="F105" t="s">
        <v>13</v>
      </c>
      <c r="G105" t="s">
        <v>23</v>
      </c>
      <c r="H105">
        <v>52.64</v>
      </c>
      <c r="I105">
        <v>2503.2199999999998</v>
      </c>
      <c r="J105" t="s">
        <v>15</v>
      </c>
    </row>
    <row r="106" spans="1:10" x14ac:dyDescent="0.35">
      <c r="A106" t="s">
        <v>128</v>
      </c>
      <c r="B106" t="s">
        <v>17</v>
      </c>
      <c r="C106">
        <v>55</v>
      </c>
      <c r="D106">
        <v>14</v>
      </c>
      <c r="E106" t="s">
        <v>21</v>
      </c>
      <c r="F106" t="s">
        <v>29</v>
      </c>
      <c r="G106" t="s">
        <v>23</v>
      </c>
      <c r="H106">
        <v>104.56</v>
      </c>
      <c r="I106">
        <v>1559.86</v>
      </c>
      <c r="J106" t="s">
        <v>15</v>
      </c>
    </row>
    <row r="107" spans="1:10" x14ac:dyDescent="0.35">
      <c r="A107" t="s">
        <v>129</v>
      </c>
      <c r="B107" t="s">
        <v>17</v>
      </c>
      <c r="C107">
        <v>67</v>
      </c>
      <c r="D107">
        <v>64</v>
      </c>
      <c r="E107" t="s">
        <v>12</v>
      </c>
      <c r="F107" t="s">
        <v>22</v>
      </c>
      <c r="G107" t="s">
        <v>23</v>
      </c>
      <c r="H107">
        <v>47.6</v>
      </c>
      <c r="I107">
        <v>2972.06</v>
      </c>
      <c r="J107" t="s">
        <v>15</v>
      </c>
    </row>
    <row r="108" spans="1:10" x14ac:dyDescent="0.35">
      <c r="A108" t="s">
        <v>130</v>
      </c>
      <c r="B108" t="s">
        <v>17</v>
      </c>
      <c r="C108">
        <v>51</v>
      </c>
      <c r="D108">
        <v>47</v>
      </c>
      <c r="E108" t="s">
        <v>12</v>
      </c>
      <c r="F108" t="s">
        <v>13</v>
      </c>
      <c r="G108" t="s">
        <v>23</v>
      </c>
      <c r="H108">
        <v>35.86</v>
      </c>
      <c r="I108">
        <v>1847.62</v>
      </c>
      <c r="J108" t="s">
        <v>27</v>
      </c>
    </row>
    <row r="109" spans="1:10" x14ac:dyDescent="0.35">
      <c r="A109" t="s">
        <v>131</v>
      </c>
      <c r="B109" t="s">
        <v>17</v>
      </c>
      <c r="C109">
        <v>35</v>
      </c>
      <c r="D109">
        <v>29</v>
      </c>
      <c r="E109" t="s">
        <v>12</v>
      </c>
      <c r="F109" t="s">
        <v>33</v>
      </c>
      <c r="G109" t="s">
        <v>14</v>
      </c>
      <c r="H109">
        <v>111.18</v>
      </c>
      <c r="I109">
        <v>3202.46</v>
      </c>
      <c r="J109" t="s">
        <v>15</v>
      </c>
    </row>
    <row r="110" spans="1:10" x14ac:dyDescent="0.35">
      <c r="A110" t="s">
        <v>132</v>
      </c>
      <c r="B110" t="s">
        <v>17</v>
      </c>
      <c r="C110">
        <v>47</v>
      </c>
      <c r="D110">
        <v>36</v>
      </c>
      <c r="E110" t="s">
        <v>12</v>
      </c>
      <c r="F110" t="s">
        <v>13</v>
      </c>
      <c r="G110" t="s">
        <v>14</v>
      </c>
      <c r="H110">
        <v>34.75</v>
      </c>
      <c r="I110">
        <v>1324.04</v>
      </c>
      <c r="J110" t="s">
        <v>27</v>
      </c>
    </row>
    <row r="111" spans="1:10" x14ac:dyDescent="0.35">
      <c r="A111" t="s">
        <v>133</v>
      </c>
      <c r="B111" t="s">
        <v>11</v>
      </c>
      <c r="C111">
        <v>32</v>
      </c>
      <c r="D111">
        <v>52</v>
      </c>
      <c r="E111" t="s">
        <v>12</v>
      </c>
      <c r="F111" t="s">
        <v>33</v>
      </c>
      <c r="G111" t="s">
        <v>14</v>
      </c>
      <c r="H111">
        <v>149.6</v>
      </c>
      <c r="I111">
        <v>7627.21</v>
      </c>
      <c r="J111" t="s">
        <v>15</v>
      </c>
    </row>
    <row r="112" spans="1:10" x14ac:dyDescent="0.35">
      <c r="A112" t="s">
        <v>134</v>
      </c>
      <c r="B112" t="s">
        <v>17</v>
      </c>
      <c r="C112">
        <v>44</v>
      </c>
      <c r="D112">
        <v>7</v>
      </c>
      <c r="E112" t="s">
        <v>12</v>
      </c>
      <c r="F112" t="s">
        <v>29</v>
      </c>
      <c r="G112" t="s">
        <v>14</v>
      </c>
      <c r="H112">
        <v>43.85</v>
      </c>
      <c r="I112">
        <v>302.33999999999997</v>
      </c>
      <c r="J112" t="s">
        <v>27</v>
      </c>
    </row>
    <row r="113" spans="1:10" x14ac:dyDescent="0.35">
      <c r="A113" t="s">
        <v>135</v>
      </c>
      <c r="B113" t="s">
        <v>11</v>
      </c>
      <c r="C113">
        <v>68</v>
      </c>
      <c r="D113">
        <v>29</v>
      </c>
      <c r="E113" t="s">
        <v>12</v>
      </c>
      <c r="F113" t="s">
        <v>22</v>
      </c>
      <c r="G113" t="s">
        <v>23</v>
      </c>
      <c r="H113">
        <v>97.24</v>
      </c>
      <c r="I113">
        <v>2753.91</v>
      </c>
      <c r="J113" t="s">
        <v>15</v>
      </c>
    </row>
    <row r="114" spans="1:10" x14ac:dyDescent="0.35">
      <c r="A114" t="s">
        <v>136</v>
      </c>
      <c r="B114" t="s">
        <v>17</v>
      </c>
      <c r="C114">
        <v>51</v>
      </c>
      <c r="D114">
        <v>11</v>
      </c>
      <c r="E114" t="s">
        <v>12</v>
      </c>
      <c r="F114" t="s">
        <v>22</v>
      </c>
      <c r="G114" t="s">
        <v>23</v>
      </c>
      <c r="H114">
        <v>73.48</v>
      </c>
      <c r="I114">
        <v>843.69</v>
      </c>
      <c r="J114" t="s">
        <v>15</v>
      </c>
    </row>
    <row r="115" spans="1:10" x14ac:dyDescent="0.35">
      <c r="A115" t="s">
        <v>137</v>
      </c>
      <c r="B115" t="s">
        <v>17</v>
      </c>
      <c r="C115">
        <v>69</v>
      </c>
      <c r="D115">
        <v>33</v>
      </c>
      <c r="E115" t="s">
        <v>12</v>
      </c>
      <c r="F115" t="s">
        <v>22</v>
      </c>
      <c r="G115" t="s">
        <v>23</v>
      </c>
      <c r="H115">
        <v>36.43</v>
      </c>
      <c r="I115">
        <v>1213.6199999999999</v>
      </c>
      <c r="J115" t="s">
        <v>15</v>
      </c>
    </row>
    <row r="116" spans="1:10" x14ac:dyDescent="0.35">
      <c r="A116" t="s">
        <v>138</v>
      </c>
      <c r="B116" t="s">
        <v>11</v>
      </c>
      <c r="C116">
        <v>55</v>
      </c>
      <c r="D116">
        <v>6</v>
      </c>
      <c r="E116" t="s">
        <v>21</v>
      </c>
      <c r="F116" t="s">
        <v>29</v>
      </c>
      <c r="G116" t="s">
        <v>23</v>
      </c>
      <c r="H116">
        <v>23.62</v>
      </c>
      <c r="I116">
        <v>154.30000000000001</v>
      </c>
      <c r="J116" t="s">
        <v>15</v>
      </c>
    </row>
    <row r="117" spans="1:10" x14ac:dyDescent="0.35">
      <c r="A117" t="s">
        <v>139</v>
      </c>
      <c r="B117" t="s">
        <v>17</v>
      </c>
      <c r="C117">
        <v>50</v>
      </c>
      <c r="D117">
        <v>32</v>
      </c>
      <c r="E117" t="s">
        <v>12</v>
      </c>
      <c r="F117" t="s">
        <v>22</v>
      </c>
      <c r="G117" t="s">
        <v>23</v>
      </c>
      <c r="H117">
        <v>100.96</v>
      </c>
      <c r="I117">
        <v>3069.76</v>
      </c>
      <c r="J117" t="s">
        <v>15</v>
      </c>
    </row>
    <row r="118" spans="1:10" x14ac:dyDescent="0.35">
      <c r="A118" t="s">
        <v>140</v>
      </c>
      <c r="B118" t="s">
        <v>11</v>
      </c>
      <c r="C118">
        <v>41</v>
      </c>
      <c r="D118">
        <v>51</v>
      </c>
      <c r="E118" t="s">
        <v>12</v>
      </c>
      <c r="F118" t="s">
        <v>13</v>
      </c>
      <c r="G118" t="s">
        <v>14</v>
      </c>
      <c r="H118">
        <v>124.88</v>
      </c>
      <c r="I118">
        <v>5860.09</v>
      </c>
      <c r="J118" t="s">
        <v>15</v>
      </c>
    </row>
    <row r="119" spans="1:10" x14ac:dyDescent="0.35">
      <c r="A119" t="s">
        <v>141</v>
      </c>
      <c r="B119" t="s">
        <v>17</v>
      </c>
      <c r="C119">
        <v>32</v>
      </c>
      <c r="D119">
        <v>58</v>
      </c>
      <c r="E119" t="s">
        <v>21</v>
      </c>
      <c r="F119" t="s">
        <v>22</v>
      </c>
      <c r="G119" t="s">
        <v>14</v>
      </c>
      <c r="H119">
        <v>129.46</v>
      </c>
      <c r="I119">
        <v>7348.39</v>
      </c>
      <c r="J119" t="s">
        <v>15</v>
      </c>
    </row>
    <row r="120" spans="1:10" x14ac:dyDescent="0.35">
      <c r="A120" t="s">
        <v>142</v>
      </c>
      <c r="B120" t="s">
        <v>17</v>
      </c>
      <c r="C120">
        <v>47</v>
      </c>
      <c r="D120">
        <v>26</v>
      </c>
      <c r="E120" t="s">
        <v>12</v>
      </c>
      <c r="F120" t="s">
        <v>29</v>
      </c>
      <c r="G120" t="s">
        <v>14</v>
      </c>
      <c r="H120">
        <v>82.75</v>
      </c>
      <c r="I120">
        <v>2201.7199999999998</v>
      </c>
      <c r="J120" t="s">
        <v>27</v>
      </c>
    </row>
    <row r="121" spans="1:10" x14ac:dyDescent="0.35">
      <c r="A121" t="s">
        <v>143</v>
      </c>
      <c r="B121" t="s">
        <v>11</v>
      </c>
      <c r="C121">
        <v>59</v>
      </c>
      <c r="D121">
        <v>46</v>
      </c>
      <c r="E121" t="s">
        <v>18</v>
      </c>
      <c r="F121" t="s">
        <v>33</v>
      </c>
      <c r="G121" t="s">
        <v>23</v>
      </c>
      <c r="H121">
        <v>121.07</v>
      </c>
      <c r="I121">
        <v>5971.09</v>
      </c>
      <c r="J121" t="s">
        <v>15</v>
      </c>
    </row>
    <row r="122" spans="1:10" x14ac:dyDescent="0.35">
      <c r="A122" t="s">
        <v>144</v>
      </c>
      <c r="B122" t="s">
        <v>17</v>
      </c>
      <c r="C122">
        <v>68</v>
      </c>
      <c r="D122">
        <v>29</v>
      </c>
      <c r="E122" t="s">
        <v>12</v>
      </c>
      <c r="F122" t="s">
        <v>29</v>
      </c>
      <c r="G122" t="s">
        <v>23</v>
      </c>
      <c r="H122">
        <v>107.47</v>
      </c>
      <c r="I122">
        <v>3020.76</v>
      </c>
      <c r="J122" t="s">
        <v>15</v>
      </c>
    </row>
    <row r="123" spans="1:10" x14ac:dyDescent="0.35">
      <c r="A123" t="s">
        <v>145</v>
      </c>
      <c r="B123" t="s">
        <v>11</v>
      </c>
      <c r="C123">
        <v>34</v>
      </c>
      <c r="D123">
        <v>4</v>
      </c>
      <c r="E123" t="s">
        <v>12</v>
      </c>
      <c r="F123" t="s">
        <v>33</v>
      </c>
      <c r="G123" t="s">
        <v>14</v>
      </c>
      <c r="H123">
        <v>114.15</v>
      </c>
      <c r="I123">
        <v>470.64</v>
      </c>
      <c r="J123" t="s">
        <v>27</v>
      </c>
    </row>
    <row r="124" spans="1:10" x14ac:dyDescent="0.35">
      <c r="A124" t="s">
        <v>146</v>
      </c>
      <c r="B124" t="s">
        <v>17</v>
      </c>
      <c r="C124">
        <v>22</v>
      </c>
      <c r="D124">
        <v>13</v>
      </c>
      <c r="E124" t="s">
        <v>21</v>
      </c>
      <c r="F124" t="s">
        <v>33</v>
      </c>
      <c r="G124" t="s">
        <v>19</v>
      </c>
      <c r="H124">
        <v>84.04</v>
      </c>
      <c r="I124">
        <v>1059.79</v>
      </c>
      <c r="J124" t="s">
        <v>15</v>
      </c>
    </row>
    <row r="125" spans="1:10" x14ac:dyDescent="0.35">
      <c r="A125" t="s">
        <v>147</v>
      </c>
      <c r="B125" t="s">
        <v>11</v>
      </c>
      <c r="C125">
        <v>46</v>
      </c>
      <c r="D125">
        <v>39</v>
      </c>
      <c r="E125" t="s">
        <v>12</v>
      </c>
      <c r="F125" t="s">
        <v>33</v>
      </c>
      <c r="G125" t="s">
        <v>14</v>
      </c>
      <c r="H125">
        <v>102.34</v>
      </c>
      <c r="I125">
        <v>4084.83</v>
      </c>
      <c r="J125" t="s">
        <v>27</v>
      </c>
    </row>
    <row r="126" spans="1:10" x14ac:dyDescent="0.35">
      <c r="A126" t="s">
        <v>148</v>
      </c>
      <c r="B126" t="s">
        <v>11</v>
      </c>
      <c r="C126">
        <v>21</v>
      </c>
      <c r="D126">
        <v>15</v>
      </c>
      <c r="E126" t="s">
        <v>21</v>
      </c>
      <c r="F126" t="s">
        <v>13</v>
      </c>
      <c r="G126" t="s">
        <v>19</v>
      </c>
      <c r="H126">
        <v>124.72</v>
      </c>
      <c r="I126">
        <v>2014.78</v>
      </c>
      <c r="J126" t="s">
        <v>15</v>
      </c>
    </row>
    <row r="127" spans="1:10" x14ac:dyDescent="0.35">
      <c r="A127" t="s">
        <v>149</v>
      </c>
      <c r="B127" t="s">
        <v>17</v>
      </c>
      <c r="C127">
        <v>27</v>
      </c>
      <c r="D127">
        <v>29</v>
      </c>
      <c r="E127" t="s">
        <v>12</v>
      </c>
      <c r="F127" t="s">
        <v>13</v>
      </c>
      <c r="G127" t="s">
        <v>19</v>
      </c>
      <c r="H127">
        <v>71.72</v>
      </c>
      <c r="I127">
        <v>1968.13</v>
      </c>
      <c r="J127" t="s">
        <v>27</v>
      </c>
    </row>
    <row r="128" spans="1:10" x14ac:dyDescent="0.35">
      <c r="A128" t="s">
        <v>150</v>
      </c>
      <c r="B128" t="s">
        <v>17</v>
      </c>
      <c r="C128">
        <v>34</v>
      </c>
      <c r="D128">
        <v>29</v>
      </c>
      <c r="E128" t="s">
        <v>18</v>
      </c>
      <c r="F128" t="s">
        <v>33</v>
      </c>
      <c r="G128" t="s">
        <v>14</v>
      </c>
      <c r="H128">
        <v>124.78</v>
      </c>
      <c r="I128">
        <v>3549.32</v>
      </c>
      <c r="J128" t="s">
        <v>27</v>
      </c>
    </row>
    <row r="129" spans="1:10" x14ac:dyDescent="0.35">
      <c r="A129" t="s">
        <v>151</v>
      </c>
      <c r="B129" t="s">
        <v>11</v>
      </c>
      <c r="C129">
        <v>27</v>
      </c>
      <c r="D129">
        <v>32</v>
      </c>
      <c r="E129" t="s">
        <v>12</v>
      </c>
      <c r="F129" t="s">
        <v>29</v>
      </c>
      <c r="G129" t="s">
        <v>19</v>
      </c>
      <c r="H129">
        <v>96.96</v>
      </c>
      <c r="I129">
        <v>3408.81</v>
      </c>
      <c r="J129" t="s">
        <v>27</v>
      </c>
    </row>
    <row r="130" spans="1:10" x14ac:dyDescent="0.35">
      <c r="A130" t="s">
        <v>152</v>
      </c>
      <c r="B130" t="s">
        <v>17</v>
      </c>
      <c r="C130">
        <v>34</v>
      </c>
      <c r="D130">
        <v>2</v>
      </c>
      <c r="E130" t="s">
        <v>12</v>
      </c>
      <c r="F130" t="s">
        <v>13</v>
      </c>
      <c r="G130" t="s">
        <v>14</v>
      </c>
      <c r="H130">
        <v>41.57</v>
      </c>
      <c r="I130">
        <v>89.27</v>
      </c>
      <c r="J130" t="s">
        <v>15</v>
      </c>
    </row>
    <row r="131" spans="1:10" x14ac:dyDescent="0.35">
      <c r="A131" t="s">
        <v>153</v>
      </c>
      <c r="B131" t="s">
        <v>17</v>
      </c>
      <c r="C131">
        <v>37</v>
      </c>
      <c r="D131">
        <v>47</v>
      </c>
      <c r="E131" t="s">
        <v>21</v>
      </c>
      <c r="F131" t="s">
        <v>22</v>
      </c>
      <c r="G131" t="s">
        <v>14</v>
      </c>
      <c r="H131">
        <v>23.21</v>
      </c>
      <c r="I131">
        <v>1104.97</v>
      </c>
      <c r="J131" t="s">
        <v>15</v>
      </c>
    </row>
    <row r="132" spans="1:10" x14ac:dyDescent="0.35">
      <c r="A132" t="s">
        <v>154</v>
      </c>
      <c r="B132" t="s">
        <v>17</v>
      </c>
      <c r="C132">
        <v>41</v>
      </c>
      <c r="D132">
        <v>22</v>
      </c>
      <c r="E132" t="s">
        <v>12</v>
      </c>
      <c r="F132" t="s">
        <v>22</v>
      </c>
      <c r="G132" t="s">
        <v>14</v>
      </c>
      <c r="H132">
        <v>67.16</v>
      </c>
      <c r="I132">
        <v>1482.43</v>
      </c>
      <c r="J132" t="s">
        <v>15</v>
      </c>
    </row>
    <row r="133" spans="1:10" x14ac:dyDescent="0.35">
      <c r="A133" t="s">
        <v>155</v>
      </c>
      <c r="B133" t="s">
        <v>11</v>
      </c>
      <c r="C133">
        <v>22</v>
      </c>
      <c r="D133">
        <v>27</v>
      </c>
      <c r="E133" t="s">
        <v>12</v>
      </c>
      <c r="F133" t="s">
        <v>29</v>
      </c>
      <c r="G133" t="s">
        <v>19</v>
      </c>
      <c r="H133">
        <v>91.07</v>
      </c>
      <c r="I133">
        <v>2352.96</v>
      </c>
      <c r="J133" t="s">
        <v>27</v>
      </c>
    </row>
    <row r="134" spans="1:10" x14ac:dyDescent="0.35">
      <c r="A134" t="s">
        <v>156</v>
      </c>
      <c r="B134" t="s">
        <v>11</v>
      </c>
      <c r="C134">
        <v>51</v>
      </c>
      <c r="D134">
        <v>67</v>
      </c>
      <c r="E134" t="s">
        <v>21</v>
      </c>
      <c r="F134" t="s">
        <v>22</v>
      </c>
      <c r="G134" t="s">
        <v>23</v>
      </c>
      <c r="H134">
        <v>129.18</v>
      </c>
      <c r="I134">
        <v>8684.85</v>
      </c>
      <c r="J134" t="s">
        <v>27</v>
      </c>
    </row>
    <row r="135" spans="1:10" x14ac:dyDescent="0.35">
      <c r="A135" t="s">
        <v>157</v>
      </c>
      <c r="B135" t="s">
        <v>11</v>
      </c>
      <c r="C135">
        <v>23</v>
      </c>
      <c r="D135">
        <v>56</v>
      </c>
      <c r="E135" t="s">
        <v>18</v>
      </c>
      <c r="F135" t="s">
        <v>33</v>
      </c>
      <c r="G135" t="s">
        <v>19</v>
      </c>
      <c r="H135">
        <v>36.57</v>
      </c>
      <c r="I135">
        <v>2190.5300000000002</v>
      </c>
      <c r="J135" t="s">
        <v>15</v>
      </c>
    </row>
    <row r="136" spans="1:10" x14ac:dyDescent="0.35">
      <c r="A136" t="s">
        <v>158</v>
      </c>
      <c r="B136" t="s">
        <v>11</v>
      </c>
      <c r="C136">
        <v>70</v>
      </c>
      <c r="D136">
        <v>21</v>
      </c>
      <c r="E136" t="s">
        <v>12</v>
      </c>
      <c r="F136" t="s">
        <v>29</v>
      </c>
      <c r="G136" t="s">
        <v>23</v>
      </c>
      <c r="H136">
        <v>124.03</v>
      </c>
      <c r="I136">
        <v>2701.09</v>
      </c>
      <c r="J136" t="s">
        <v>15</v>
      </c>
    </row>
    <row r="137" spans="1:10" x14ac:dyDescent="0.35">
      <c r="A137" t="s">
        <v>159</v>
      </c>
      <c r="B137" t="s">
        <v>11</v>
      </c>
      <c r="C137">
        <v>19</v>
      </c>
      <c r="D137">
        <v>47</v>
      </c>
      <c r="E137" t="s">
        <v>21</v>
      </c>
      <c r="F137" t="s">
        <v>33</v>
      </c>
      <c r="G137" t="s">
        <v>19</v>
      </c>
      <c r="H137">
        <v>132.19</v>
      </c>
      <c r="I137">
        <v>5952.04</v>
      </c>
      <c r="J137" t="s">
        <v>15</v>
      </c>
    </row>
    <row r="138" spans="1:10" x14ac:dyDescent="0.35">
      <c r="A138" t="s">
        <v>160</v>
      </c>
      <c r="B138" t="s">
        <v>11</v>
      </c>
      <c r="C138">
        <v>30</v>
      </c>
      <c r="D138">
        <v>59</v>
      </c>
      <c r="E138" t="s">
        <v>18</v>
      </c>
      <c r="F138" t="s">
        <v>29</v>
      </c>
      <c r="G138" t="s">
        <v>14</v>
      </c>
      <c r="H138">
        <v>39.590000000000003</v>
      </c>
      <c r="I138">
        <v>2196.35</v>
      </c>
      <c r="J138" t="s">
        <v>27</v>
      </c>
    </row>
    <row r="139" spans="1:10" x14ac:dyDescent="0.35">
      <c r="A139" t="s">
        <v>161</v>
      </c>
      <c r="B139" t="s">
        <v>11</v>
      </c>
      <c r="C139">
        <v>60</v>
      </c>
      <c r="D139">
        <v>6</v>
      </c>
      <c r="E139" t="s">
        <v>18</v>
      </c>
      <c r="F139" t="s">
        <v>13</v>
      </c>
      <c r="G139" t="s">
        <v>23</v>
      </c>
      <c r="H139">
        <v>130.71</v>
      </c>
      <c r="I139">
        <v>747.43</v>
      </c>
      <c r="J139" t="s">
        <v>15</v>
      </c>
    </row>
    <row r="140" spans="1:10" x14ac:dyDescent="0.35">
      <c r="A140" t="s">
        <v>162</v>
      </c>
      <c r="B140" t="s">
        <v>11</v>
      </c>
      <c r="C140">
        <v>60</v>
      </c>
      <c r="D140">
        <v>19</v>
      </c>
      <c r="E140" t="s">
        <v>12</v>
      </c>
      <c r="F140" t="s">
        <v>29</v>
      </c>
      <c r="G140" t="s">
        <v>23</v>
      </c>
      <c r="H140">
        <v>148.88999999999999</v>
      </c>
      <c r="I140">
        <v>2642.07</v>
      </c>
      <c r="J140" t="s">
        <v>15</v>
      </c>
    </row>
    <row r="141" spans="1:10" x14ac:dyDescent="0.35">
      <c r="A141" t="s">
        <v>163</v>
      </c>
      <c r="B141" t="s">
        <v>11</v>
      </c>
      <c r="C141">
        <v>65</v>
      </c>
      <c r="D141">
        <v>57</v>
      </c>
      <c r="E141" t="s">
        <v>21</v>
      </c>
      <c r="F141" t="s">
        <v>29</v>
      </c>
      <c r="G141" t="s">
        <v>23</v>
      </c>
      <c r="H141">
        <v>114.49</v>
      </c>
      <c r="I141">
        <v>5998.17</v>
      </c>
      <c r="J141" t="s">
        <v>27</v>
      </c>
    </row>
    <row r="142" spans="1:10" x14ac:dyDescent="0.35">
      <c r="A142" t="s">
        <v>164</v>
      </c>
      <c r="B142" t="s">
        <v>17</v>
      </c>
      <c r="C142">
        <v>28</v>
      </c>
      <c r="D142">
        <v>69</v>
      </c>
      <c r="E142" t="s">
        <v>12</v>
      </c>
      <c r="F142" t="s">
        <v>33</v>
      </c>
      <c r="G142" t="s">
        <v>19</v>
      </c>
      <c r="H142">
        <v>122.02</v>
      </c>
      <c r="I142">
        <v>8283.2199999999993</v>
      </c>
      <c r="J142" t="s">
        <v>27</v>
      </c>
    </row>
    <row r="143" spans="1:10" x14ac:dyDescent="0.35">
      <c r="A143" t="s">
        <v>165</v>
      </c>
      <c r="B143" t="s">
        <v>11</v>
      </c>
      <c r="C143">
        <v>68</v>
      </c>
      <c r="D143">
        <v>3</v>
      </c>
      <c r="E143" t="s">
        <v>18</v>
      </c>
      <c r="F143" t="s">
        <v>13</v>
      </c>
      <c r="G143" t="s">
        <v>23</v>
      </c>
      <c r="H143">
        <v>149.27000000000001</v>
      </c>
      <c r="I143">
        <v>413.18</v>
      </c>
      <c r="J143" t="s">
        <v>15</v>
      </c>
    </row>
    <row r="144" spans="1:10" x14ac:dyDescent="0.35">
      <c r="A144" t="s">
        <v>166</v>
      </c>
      <c r="B144" t="s">
        <v>17</v>
      </c>
      <c r="C144">
        <v>64</v>
      </c>
      <c r="D144">
        <v>1</v>
      </c>
      <c r="E144" t="s">
        <v>12</v>
      </c>
      <c r="F144" t="s">
        <v>13</v>
      </c>
      <c r="G144" t="s">
        <v>23</v>
      </c>
      <c r="H144">
        <v>98.71</v>
      </c>
      <c r="I144">
        <v>92.23</v>
      </c>
      <c r="J144" t="s">
        <v>15</v>
      </c>
    </row>
    <row r="145" spans="1:10" x14ac:dyDescent="0.35">
      <c r="A145" t="s">
        <v>167</v>
      </c>
      <c r="B145" t="s">
        <v>17</v>
      </c>
      <c r="C145">
        <v>40</v>
      </c>
      <c r="D145">
        <v>58</v>
      </c>
      <c r="E145" t="s">
        <v>12</v>
      </c>
      <c r="F145" t="s">
        <v>29</v>
      </c>
      <c r="G145" t="s">
        <v>14</v>
      </c>
      <c r="H145">
        <v>60.03</v>
      </c>
      <c r="I145">
        <v>3514.69</v>
      </c>
      <c r="J145" t="s">
        <v>15</v>
      </c>
    </row>
    <row r="146" spans="1:10" x14ac:dyDescent="0.35">
      <c r="A146" t="s">
        <v>168</v>
      </c>
      <c r="B146" t="s">
        <v>17</v>
      </c>
      <c r="C146">
        <v>33</v>
      </c>
      <c r="D146">
        <v>38</v>
      </c>
      <c r="E146" t="s">
        <v>21</v>
      </c>
      <c r="F146" t="s">
        <v>13</v>
      </c>
      <c r="G146" t="s">
        <v>14</v>
      </c>
      <c r="H146">
        <v>128.88</v>
      </c>
      <c r="I146">
        <v>4568.92</v>
      </c>
      <c r="J146" t="s">
        <v>15</v>
      </c>
    </row>
    <row r="147" spans="1:10" x14ac:dyDescent="0.35">
      <c r="A147" t="s">
        <v>169</v>
      </c>
      <c r="B147" t="s">
        <v>11</v>
      </c>
      <c r="C147">
        <v>48</v>
      </c>
      <c r="D147">
        <v>15</v>
      </c>
      <c r="E147" t="s">
        <v>12</v>
      </c>
      <c r="F147" t="s">
        <v>13</v>
      </c>
      <c r="G147" t="s">
        <v>14</v>
      </c>
      <c r="H147">
        <v>99.88</v>
      </c>
      <c r="I147">
        <v>1367.52</v>
      </c>
      <c r="J147" t="s">
        <v>15</v>
      </c>
    </row>
    <row r="148" spans="1:10" x14ac:dyDescent="0.35">
      <c r="A148" t="s">
        <v>170</v>
      </c>
      <c r="B148" t="s">
        <v>11</v>
      </c>
      <c r="C148">
        <v>28</v>
      </c>
      <c r="D148">
        <v>34</v>
      </c>
      <c r="E148" t="s">
        <v>18</v>
      </c>
      <c r="F148" t="s">
        <v>13</v>
      </c>
      <c r="G148" t="s">
        <v>19</v>
      </c>
      <c r="H148">
        <v>95.56</v>
      </c>
      <c r="I148">
        <v>3130.38</v>
      </c>
      <c r="J148" t="s">
        <v>15</v>
      </c>
    </row>
    <row r="149" spans="1:10" x14ac:dyDescent="0.35">
      <c r="A149" t="s">
        <v>171</v>
      </c>
      <c r="B149" t="s">
        <v>11</v>
      </c>
      <c r="C149">
        <v>33</v>
      </c>
      <c r="D149">
        <v>61</v>
      </c>
      <c r="E149" t="s">
        <v>18</v>
      </c>
      <c r="F149" t="s">
        <v>29</v>
      </c>
      <c r="G149" t="s">
        <v>14</v>
      </c>
      <c r="H149">
        <v>52.97</v>
      </c>
      <c r="I149">
        <v>3050.43</v>
      </c>
      <c r="J149" t="s">
        <v>15</v>
      </c>
    </row>
    <row r="150" spans="1:10" x14ac:dyDescent="0.35">
      <c r="A150" t="s">
        <v>172</v>
      </c>
      <c r="B150" t="s">
        <v>11</v>
      </c>
      <c r="C150">
        <v>25</v>
      </c>
      <c r="D150">
        <v>35</v>
      </c>
      <c r="E150" t="s">
        <v>21</v>
      </c>
      <c r="F150" t="s">
        <v>33</v>
      </c>
      <c r="G150" t="s">
        <v>19</v>
      </c>
      <c r="H150">
        <v>118.32</v>
      </c>
      <c r="I150">
        <v>4153.88</v>
      </c>
      <c r="J150" t="s">
        <v>15</v>
      </c>
    </row>
    <row r="151" spans="1:10" x14ac:dyDescent="0.35">
      <c r="A151" t="s">
        <v>173</v>
      </c>
      <c r="B151" t="s">
        <v>17</v>
      </c>
      <c r="C151">
        <v>21</v>
      </c>
      <c r="D151">
        <v>64</v>
      </c>
      <c r="E151" t="s">
        <v>12</v>
      </c>
      <c r="F151" t="s">
        <v>13</v>
      </c>
      <c r="G151" t="s">
        <v>19</v>
      </c>
      <c r="H151">
        <v>30.62</v>
      </c>
      <c r="I151">
        <v>1803.83</v>
      </c>
      <c r="J151" t="s">
        <v>27</v>
      </c>
    </row>
    <row r="152" spans="1:10" x14ac:dyDescent="0.35">
      <c r="A152" t="s">
        <v>174</v>
      </c>
      <c r="B152" t="s">
        <v>11</v>
      </c>
      <c r="C152">
        <v>57</v>
      </c>
      <c r="D152">
        <v>25</v>
      </c>
      <c r="E152" t="s">
        <v>21</v>
      </c>
      <c r="F152" t="s">
        <v>13</v>
      </c>
      <c r="G152" t="s">
        <v>23</v>
      </c>
      <c r="H152">
        <v>140.16</v>
      </c>
      <c r="I152">
        <v>3680.44</v>
      </c>
      <c r="J152" t="s">
        <v>15</v>
      </c>
    </row>
    <row r="153" spans="1:10" x14ac:dyDescent="0.35">
      <c r="A153" t="s">
        <v>175</v>
      </c>
      <c r="B153" t="s">
        <v>11</v>
      </c>
      <c r="C153">
        <v>21</v>
      </c>
      <c r="D153">
        <v>24</v>
      </c>
      <c r="E153" t="s">
        <v>12</v>
      </c>
      <c r="F153" t="s">
        <v>29</v>
      </c>
      <c r="G153" t="s">
        <v>19</v>
      </c>
      <c r="H153">
        <v>62.36</v>
      </c>
      <c r="I153">
        <v>1618.24</v>
      </c>
      <c r="J153" t="s">
        <v>27</v>
      </c>
    </row>
    <row r="154" spans="1:10" x14ac:dyDescent="0.35">
      <c r="A154" t="s">
        <v>176</v>
      </c>
      <c r="B154" t="s">
        <v>11</v>
      </c>
      <c r="C154">
        <v>42</v>
      </c>
      <c r="D154">
        <v>12</v>
      </c>
      <c r="E154" t="s">
        <v>12</v>
      </c>
      <c r="F154" t="s">
        <v>22</v>
      </c>
      <c r="G154" t="s">
        <v>14</v>
      </c>
      <c r="H154">
        <v>36.61</v>
      </c>
      <c r="I154">
        <v>460.71</v>
      </c>
      <c r="J154" t="s">
        <v>27</v>
      </c>
    </row>
    <row r="155" spans="1:10" x14ac:dyDescent="0.35">
      <c r="A155" t="s">
        <v>177</v>
      </c>
      <c r="B155" t="s">
        <v>11</v>
      </c>
      <c r="C155">
        <v>20</v>
      </c>
      <c r="D155">
        <v>18</v>
      </c>
      <c r="E155" t="s">
        <v>18</v>
      </c>
      <c r="F155" t="s">
        <v>13</v>
      </c>
      <c r="G155" t="s">
        <v>19</v>
      </c>
      <c r="H155">
        <v>77.510000000000005</v>
      </c>
      <c r="I155">
        <v>1404.34</v>
      </c>
      <c r="J155" t="s">
        <v>15</v>
      </c>
    </row>
    <row r="156" spans="1:10" x14ac:dyDescent="0.35">
      <c r="A156" t="s">
        <v>178</v>
      </c>
      <c r="B156" t="s">
        <v>11</v>
      </c>
      <c r="C156">
        <v>49</v>
      </c>
      <c r="D156">
        <v>15</v>
      </c>
      <c r="E156" t="s">
        <v>12</v>
      </c>
      <c r="F156" t="s">
        <v>13</v>
      </c>
      <c r="G156" t="s">
        <v>14</v>
      </c>
      <c r="H156">
        <v>25.52</v>
      </c>
      <c r="I156">
        <v>410.41</v>
      </c>
      <c r="J156" t="s">
        <v>15</v>
      </c>
    </row>
    <row r="157" spans="1:10" x14ac:dyDescent="0.35">
      <c r="A157" t="s">
        <v>179</v>
      </c>
      <c r="B157" t="s">
        <v>17</v>
      </c>
      <c r="C157">
        <v>20</v>
      </c>
      <c r="D157">
        <v>27</v>
      </c>
      <c r="E157" t="s">
        <v>12</v>
      </c>
      <c r="F157" t="s">
        <v>29</v>
      </c>
      <c r="G157" t="s">
        <v>19</v>
      </c>
      <c r="H157">
        <v>109</v>
      </c>
      <c r="I157">
        <v>3057.73</v>
      </c>
      <c r="J157" t="s">
        <v>15</v>
      </c>
    </row>
    <row r="158" spans="1:10" x14ac:dyDescent="0.35">
      <c r="A158" t="s">
        <v>180</v>
      </c>
      <c r="B158" t="s">
        <v>11</v>
      </c>
      <c r="C158">
        <v>44</v>
      </c>
      <c r="D158">
        <v>72</v>
      </c>
      <c r="E158" t="s">
        <v>18</v>
      </c>
      <c r="F158" t="s">
        <v>33</v>
      </c>
      <c r="G158" t="s">
        <v>14</v>
      </c>
      <c r="H158">
        <v>137.35</v>
      </c>
      <c r="I158">
        <v>8921.15</v>
      </c>
      <c r="J158" t="s">
        <v>27</v>
      </c>
    </row>
    <row r="159" spans="1:10" x14ac:dyDescent="0.35">
      <c r="A159" t="s">
        <v>181</v>
      </c>
      <c r="B159" t="s">
        <v>17</v>
      </c>
      <c r="C159">
        <v>46</v>
      </c>
      <c r="D159">
        <v>60</v>
      </c>
      <c r="E159" t="s">
        <v>12</v>
      </c>
      <c r="F159" t="s">
        <v>29</v>
      </c>
      <c r="G159" t="s">
        <v>14</v>
      </c>
      <c r="H159">
        <v>128.84</v>
      </c>
      <c r="I159">
        <v>7566.65</v>
      </c>
      <c r="J159" t="s">
        <v>15</v>
      </c>
    </row>
    <row r="160" spans="1:10" x14ac:dyDescent="0.35">
      <c r="A160" t="s">
        <v>182</v>
      </c>
      <c r="B160" t="s">
        <v>11</v>
      </c>
      <c r="C160">
        <v>49</v>
      </c>
      <c r="D160">
        <v>46</v>
      </c>
      <c r="E160" t="s">
        <v>12</v>
      </c>
      <c r="F160" t="s">
        <v>22</v>
      </c>
      <c r="G160" t="s">
        <v>14</v>
      </c>
      <c r="H160">
        <v>36.56</v>
      </c>
      <c r="I160">
        <v>1799.8</v>
      </c>
      <c r="J160" t="s">
        <v>15</v>
      </c>
    </row>
    <row r="161" spans="1:10" x14ac:dyDescent="0.35">
      <c r="A161" t="s">
        <v>183</v>
      </c>
      <c r="B161" t="s">
        <v>17</v>
      </c>
      <c r="C161">
        <v>67</v>
      </c>
      <c r="D161">
        <v>17</v>
      </c>
      <c r="E161" t="s">
        <v>18</v>
      </c>
      <c r="F161" t="s">
        <v>13</v>
      </c>
      <c r="G161" t="s">
        <v>23</v>
      </c>
      <c r="H161">
        <v>36.42</v>
      </c>
      <c r="I161">
        <v>600.04999999999995</v>
      </c>
      <c r="J161" t="s">
        <v>15</v>
      </c>
    </row>
    <row r="162" spans="1:10" x14ac:dyDescent="0.35">
      <c r="A162" t="s">
        <v>184</v>
      </c>
      <c r="B162" t="s">
        <v>11</v>
      </c>
      <c r="C162">
        <v>68</v>
      </c>
      <c r="D162">
        <v>53</v>
      </c>
      <c r="E162" t="s">
        <v>12</v>
      </c>
      <c r="F162" t="s">
        <v>29</v>
      </c>
      <c r="G162" t="s">
        <v>23</v>
      </c>
      <c r="H162">
        <v>125.75</v>
      </c>
      <c r="I162">
        <v>6045.22</v>
      </c>
      <c r="J162" t="s">
        <v>15</v>
      </c>
    </row>
    <row r="163" spans="1:10" x14ac:dyDescent="0.35">
      <c r="A163" t="s">
        <v>185</v>
      </c>
      <c r="B163" t="s">
        <v>11</v>
      </c>
      <c r="C163">
        <v>36</v>
      </c>
      <c r="D163">
        <v>8</v>
      </c>
      <c r="E163" t="s">
        <v>21</v>
      </c>
      <c r="F163" t="s">
        <v>22</v>
      </c>
      <c r="G163" t="s">
        <v>14</v>
      </c>
      <c r="H163">
        <v>140.15</v>
      </c>
      <c r="I163">
        <v>1176.4000000000001</v>
      </c>
      <c r="J163" t="s">
        <v>15</v>
      </c>
    </row>
    <row r="164" spans="1:10" x14ac:dyDescent="0.35">
      <c r="A164" t="s">
        <v>186</v>
      </c>
      <c r="B164" t="s">
        <v>17</v>
      </c>
      <c r="C164">
        <v>38</v>
      </c>
      <c r="D164">
        <v>27</v>
      </c>
      <c r="E164" t="s">
        <v>18</v>
      </c>
      <c r="F164" t="s">
        <v>29</v>
      </c>
      <c r="G164" t="s">
        <v>14</v>
      </c>
      <c r="H164">
        <v>79.89</v>
      </c>
      <c r="I164">
        <v>2287.33</v>
      </c>
      <c r="J164" t="s">
        <v>27</v>
      </c>
    </row>
    <row r="165" spans="1:10" x14ac:dyDescent="0.35">
      <c r="A165" t="s">
        <v>187</v>
      </c>
      <c r="B165" t="s">
        <v>17</v>
      </c>
      <c r="C165">
        <v>22</v>
      </c>
      <c r="D165">
        <v>46</v>
      </c>
      <c r="E165" t="s">
        <v>18</v>
      </c>
      <c r="F165" t="s">
        <v>33</v>
      </c>
      <c r="G165" t="s">
        <v>19</v>
      </c>
      <c r="H165">
        <v>84.87</v>
      </c>
      <c r="I165">
        <v>3639.01</v>
      </c>
      <c r="J165" t="s">
        <v>15</v>
      </c>
    </row>
    <row r="166" spans="1:10" x14ac:dyDescent="0.35">
      <c r="A166" t="s">
        <v>188</v>
      </c>
      <c r="B166" t="s">
        <v>17</v>
      </c>
      <c r="C166">
        <v>35</v>
      </c>
      <c r="D166">
        <v>50</v>
      </c>
      <c r="E166" t="s">
        <v>21</v>
      </c>
      <c r="F166" t="s">
        <v>33</v>
      </c>
      <c r="G166" t="s">
        <v>14</v>
      </c>
      <c r="H166">
        <v>61.37</v>
      </c>
      <c r="I166">
        <v>3091.42</v>
      </c>
      <c r="J166" t="s">
        <v>27</v>
      </c>
    </row>
    <row r="167" spans="1:10" x14ac:dyDescent="0.35">
      <c r="A167" t="s">
        <v>189</v>
      </c>
      <c r="B167" t="s">
        <v>11</v>
      </c>
      <c r="C167">
        <v>45</v>
      </c>
      <c r="D167">
        <v>71</v>
      </c>
      <c r="E167" t="s">
        <v>12</v>
      </c>
      <c r="F167" t="s">
        <v>33</v>
      </c>
      <c r="G167" t="s">
        <v>14</v>
      </c>
      <c r="H167">
        <v>136.25</v>
      </c>
      <c r="I167">
        <v>9077.76</v>
      </c>
      <c r="J167" t="s">
        <v>27</v>
      </c>
    </row>
    <row r="168" spans="1:10" x14ac:dyDescent="0.35">
      <c r="A168" t="s">
        <v>190</v>
      </c>
      <c r="B168" t="s">
        <v>17</v>
      </c>
      <c r="C168">
        <v>59</v>
      </c>
      <c r="D168">
        <v>3</v>
      </c>
      <c r="E168" t="s">
        <v>12</v>
      </c>
      <c r="F168" t="s">
        <v>29</v>
      </c>
      <c r="G168" t="s">
        <v>23</v>
      </c>
      <c r="H168">
        <v>103.84</v>
      </c>
      <c r="I168">
        <v>325.18</v>
      </c>
      <c r="J168" t="s">
        <v>27</v>
      </c>
    </row>
    <row r="169" spans="1:10" x14ac:dyDescent="0.35">
      <c r="A169" t="s">
        <v>191</v>
      </c>
      <c r="B169" t="s">
        <v>11</v>
      </c>
      <c r="C169">
        <v>39</v>
      </c>
      <c r="D169">
        <v>64</v>
      </c>
      <c r="E169" t="s">
        <v>18</v>
      </c>
      <c r="F169" t="s">
        <v>22</v>
      </c>
      <c r="G169" t="s">
        <v>14</v>
      </c>
      <c r="H169">
        <v>57.47</v>
      </c>
      <c r="I169">
        <v>3510.03</v>
      </c>
      <c r="J169" t="s">
        <v>15</v>
      </c>
    </row>
    <row r="170" spans="1:10" x14ac:dyDescent="0.35">
      <c r="A170" t="s">
        <v>192</v>
      </c>
      <c r="B170" t="s">
        <v>11</v>
      </c>
      <c r="C170">
        <v>38</v>
      </c>
      <c r="D170">
        <v>44</v>
      </c>
      <c r="E170" t="s">
        <v>18</v>
      </c>
      <c r="F170" t="s">
        <v>13</v>
      </c>
      <c r="G170" t="s">
        <v>14</v>
      </c>
      <c r="H170">
        <v>58.84</v>
      </c>
      <c r="I170">
        <v>2493.8000000000002</v>
      </c>
      <c r="J170" t="s">
        <v>15</v>
      </c>
    </row>
    <row r="171" spans="1:10" x14ac:dyDescent="0.35">
      <c r="A171" t="s">
        <v>193</v>
      </c>
      <c r="B171" t="s">
        <v>17</v>
      </c>
      <c r="C171">
        <v>23</v>
      </c>
      <c r="D171">
        <v>53</v>
      </c>
      <c r="E171" t="s">
        <v>12</v>
      </c>
      <c r="F171" t="s">
        <v>33</v>
      </c>
      <c r="G171" t="s">
        <v>19</v>
      </c>
      <c r="H171">
        <v>135.86000000000001</v>
      </c>
      <c r="I171">
        <v>7697.38</v>
      </c>
      <c r="J171" t="s">
        <v>15</v>
      </c>
    </row>
    <row r="172" spans="1:10" x14ac:dyDescent="0.35">
      <c r="A172" t="s">
        <v>194</v>
      </c>
      <c r="B172" t="s">
        <v>17</v>
      </c>
      <c r="C172">
        <v>18</v>
      </c>
      <c r="D172">
        <v>24</v>
      </c>
      <c r="E172" t="s">
        <v>12</v>
      </c>
      <c r="F172" t="s">
        <v>22</v>
      </c>
      <c r="G172" t="s">
        <v>19</v>
      </c>
      <c r="H172">
        <v>21.77</v>
      </c>
      <c r="I172">
        <v>520.01</v>
      </c>
      <c r="J172" t="s">
        <v>27</v>
      </c>
    </row>
    <row r="173" spans="1:10" x14ac:dyDescent="0.35">
      <c r="A173" t="s">
        <v>195</v>
      </c>
      <c r="B173" t="s">
        <v>11</v>
      </c>
      <c r="C173">
        <v>22</v>
      </c>
      <c r="D173">
        <v>60</v>
      </c>
      <c r="E173" t="s">
        <v>12</v>
      </c>
      <c r="F173" t="s">
        <v>33</v>
      </c>
      <c r="G173" t="s">
        <v>19</v>
      </c>
      <c r="H173">
        <v>61.95</v>
      </c>
      <c r="I173">
        <v>3843.2</v>
      </c>
      <c r="J173" t="s">
        <v>15</v>
      </c>
    </row>
    <row r="174" spans="1:10" x14ac:dyDescent="0.35">
      <c r="A174" t="s">
        <v>196</v>
      </c>
      <c r="B174" t="s">
        <v>11</v>
      </c>
      <c r="C174">
        <v>58</v>
      </c>
      <c r="D174">
        <v>3</v>
      </c>
      <c r="E174" t="s">
        <v>12</v>
      </c>
      <c r="F174" t="s">
        <v>13</v>
      </c>
      <c r="G174" t="s">
        <v>23</v>
      </c>
      <c r="H174">
        <v>92.07</v>
      </c>
      <c r="I174">
        <v>270.82</v>
      </c>
      <c r="J174" t="s">
        <v>15</v>
      </c>
    </row>
    <row r="175" spans="1:10" x14ac:dyDescent="0.35">
      <c r="A175" t="s">
        <v>197</v>
      </c>
      <c r="B175" t="s">
        <v>17</v>
      </c>
      <c r="C175">
        <v>29</v>
      </c>
      <c r="D175">
        <v>20</v>
      </c>
      <c r="E175" t="s">
        <v>21</v>
      </c>
      <c r="F175" t="s">
        <v>13</v>
      </c>
      <c r="G175" t="s">
        <v>19</v>
      </c>
      <c r="H175">
        <v>39.270000000000003</v>
      </c>
      <c r="I175">
        <v>753.67</v>
      </c>
      <c r="J175" t="s">
        <v>15</v>
      </c>
    </row>
    <row r="176" spans="1:10" x14ac:dyDescent="0.35">
      <c r="A176" t="s">
        <v>198</v>
      </c>
      <c r="B176" t="s">
        <v>17</v>
      </c>
      <c r="C176">
        <v>43</v>
      </c>
      <c r="D176">
        <v>46</v>
      </c>
      <c r="E176" t="s">
        <v>12</v>
      </c>
      <c r="F176" t="s">
        <v>29</v>
      </c>
      <c r="G176" t="s">
        <v>14</v>
      </c>
      <c r="H176">
        <v>31.97</v>
      </c>
      <c r="I176">
        <v>1507.53</v>
      </c>
      <c r="J176" t="s">
        <v>27</v>
      </c>
    </row>
    <row r="177" spans="1:10" x14ac:dyDescent="0.35">
      <c r="A177" t="s">
        <v>199</v>
      </c>
      <c r="B177" t="s">
        <v>17</v>
      </c>
      <c r="C177">
        <v>63</v>
      </c>
      <c r="D177">
        <v>15</v>
      </c>
      <c r="E177" t="s">
        <v>18</v>
      </c>
      <c r="F177" t="s">
        <v>22</v>
      </c>
      <c r="G177" t="s">
        <v>23</v>
      </c>
      <c r="H177">
        <v>125.99</v>
      </c>
      <c r="I177">
        <v>1759.4</v>
      </c>
      <c r="J177" t="s">
        <v>15</v>
      </c>
    </row>
    <row r="178" spans="1:10" x14ac:dyDescent="0.35">
      <c r="A178" t="s">
        <v>200</v>
      </c>
      <c r="B178" t="s">
        <v>11</v>
      </c>
      <c r="C178">
        <v>51</v>
      </c>
      <c r="D178">
        <v>25</v>
      </c>
      <c r="E178" t="s">
        <v>21</v>
      </c>
      <c r="F178" t="s">
        <v>13</v>
      </c>
      <c r="G178" t="s">
        <v>23</v>
      </c>
      <c r="H178">
        <v>136.27000000000001</v>
      </c>
      <c r="I178">
        <v>3320.22</v>
      </c>
      <c r="J178" t="s">
        <v>15</v>
      </c>
    </row>
    <row r="179" spans="1:10" x14ac:dyDescent="0.35">
      <c r="A179" t="s">
        <v>201</v>
      </c>
      <c r="B179" t="s">
        <v>11</v>
      </c>
      <c r="C179">
        <v>66</v>
      </c>
      <c r="D179">
        <v>71</v>
      </c>
      <c r="E179" t="s">
        <v>12</v>
      </c>
      <c r="F179" t="s">
        <v>13</v>
      </c>
      <c r="G179" t="s">
        <v>23</v>
      </c>
      <c r="H179">
        <v>127.07</v>
      </c>
      <c r="I179">
        <v>8496.9599999999991</v>
      </c>
      <c r="J179" t="s">
        <v>15</v>
      </c>
    </row>
    <row r="180" spans="1:10" x14ac:dyDescent="0.35">
      <c r="A180" t="s">
        <v>202</v>
      </c>
      <c r="B180" t="s">
        <v>11</v>
      </c>
      <c r="C180">
        <v>31</v>
      </c>
      <c r="D180">
        <v>17</v>
      </c>
      <c r="E180" t="s">
        <v>21</v>
      </c>
      <c r="F180" t="s">
        <v>22</v>
      </c>
      <c r="G180" t="s">
        <v>14</v>
      </c>
      <c r="H180">
        <v>136.84</v>
      </c>
      <c r="I180">
        <v>2417.37</v>
      </c>
      <c r="J180" t="s">
        <v>15</v>
      </c>
    </row>
    <row r="181" spans="1:10" x14ac:dyDescent="0.35">
      <c r="A181" t="s">
        <v>203</v>
      </c>
      <c r="B181" t="s">
        <v>11</v>
      </c>
      <c r="C181">
        <v>43</v>
      </c>
      <c r="D181">
        <v>9</v>
      </c>
      <c r="E181" t="s">
        <v>12</v>
      </c>
      <c r="F181" t="s">
        <v>13</v>
      </c>
      <c r="G181" t="s">
        <v>14</v>
      </c>
      <c r="H181">
        <v>91.9</v>
      </c>
      <c r="I181">
        <v>900.58</v>
      </c>
      <c r="J181" t="s">
        <v>15</v>
      </c>
    </row>
    <row r="182" spans="1:10" x14ac:dyDescent="0.35">
      <c r="A182" t="s">
        <v>204</v>
      </c>
      <c r="B182" t="s">
        <v>11</v>
      </c>
      <c r="C182">
        <v>62</v>
      </c>
      <c r="D182">
        <v>38</v>
      </c>
      <c r="E182" t="s">
        <v>21</v>
      </c>
      <c r="F182" t="s">
        <v>29</v>
      </c>
      <c r="G182" t="s">
        <v>23</v>
      </c>
      <c r="H182">
        <v>125.59</v>
      </c>
      <c r="I182">
        <v>5245.38</v>
      </c>
      <c r="J182" t="s">
        <v>27</v>
      </c>
    </row>
    <row r="183" spans="1:10" x14ac:dyDescent="0.35">
      <c r="A183" t="s">
        <v>205</v>
      </c>
      <c r="B183" t="s">
        <v>11</v>
      </c>
      <c r="C183">
        <v>44</v>
      </c>
      <c r="D183">
        <v>48</v>
      </c>
      <c r="E183" t="s">
        <v>21</v>
      </c>
      <c r="F183" t="s">
        <v>13</v>
      </c>
      <c r="G183" t="s">
        <v>14</v>
      </c>
      <c r="H183">
        <v>69.930000000000007</v>
      </c>
      <c r="I183">
        <v>3323.26</v>
      </c>
      <c r="J183" t="s">
        <v>15</v>
      </c>
    </row>
    <row r="184" spans="1:10" x14ac:dyDescent="0.35">
      <c r="A184" t="s">
        <v>206</v>
      </c>
      <c r="B184" t="s">
        <v>17</v>
      </c>
      <c r="C184">
        <v>26</v>
      </c>
      <c r="D184">
        <v>60</v>
      </c>
      <c r="E184" t="s">
        <v>18</v>
      </c>
      <c r="F184" t="s">
        <v>13</v>
      </c>
      <c r="G184" t="s">
        <v>19</v>
      </c>
      <c r="H184">
        <v>106.61</v>
      </c>
      <c r="I184">
        <v>6080.01</v>
      </c>
      <c r="J184" t="s">
        <v>15</v>
      </c>
    </row>
    <row r="185" spans="1:10" x14ac:dyDescent="0.35">
      <c r="A185" t="s">
        <v>207</v>
      </c>
      <c r="B185" t="s">
        <v>11</v>
      </c>
      <c r="C185">
        <v>43</v>
      </c>
      <c r="D185">
        <v>63</v>
      </c>
      <c r="E185" t="s">
        <v>18</v>
      </c>
      <c r="F185" t="s">
        <v>13</v>
      </c>
      <c r="G185" t="s">
        <v>14</v>
      </c>
      <c r="H185">
        <v>148.55000000000001</v>
      </c>
      <c r="I185">
        <v>9251.64</v>
      </c>
      <c r="J185" t="s">
        <v>27</v>
      </c>
    </row>
    <row r="186" spans="1:10" x14ac:dyDescent="0.35">
      <c r="A186" t="s">
        <v>208</v>
      </c>
      <c r="B186" t="s">
        <v>11</v>
      </c>
      <c r="C186">
        <v>64</v>
      </c>
      <c r="D186">
        <v>2</v>
      </c>
      <c r="E186" t="s">
        <v>12</v>
      </c>
      <c r="F186" t="s">
        <v>29</v>
      </c>
      <c r="G186" t="s">
        <v>23</v>
      </c>
      <c r="H186">
        <v>49.34</v>
      </c>
      <c r="I186">
        <v>105.53</v>
      </c>
      <c r="J186" t="s">
        <v>27</v>
      </c>
    </row>
    <row r="187" spans="1:10" x14ac:dyDescent="0.35">
      <c r="A187" t="s">
        <v>209</v>
      </c>
      <c r="B187" t="s">
        <v>11</v>
      </c>
      <c r="C187">
        <v>39</v>
      </c>
      <c r="D187">
        <v>72</v>
      </c>
      <c r="E187" t="s">
        <v>12</v>
      </c>
      <c r="F187" t="s">
        <v>29</v>
      </c>
      <c r="G187" t="s">
        <v>14</v>
      </c>
      <c r="H187">
        <v>70.69</v>
      </c>
      <c r="I187">
        <v>4790.41</v>
      </c>
      <c r="J187" t="s">
        <v>27</v>
      </c>
    </row>
    <row r="188" spans="1:10" x14ac:dyDescent="0.35">
      <c r="A188" t="s">
        <v>210</v>
      </c>
      <c r="B188" t="s">
        <v>17</v>
      </c>
      <c r="C188">
        <v>64</v>
      </c>
      <c r="D188">
        <v>11</v>
      </c>
      <c r="E188" t="s">
        <v>21</v>
      </c>
      <c r="F188" t="s">
        <v>29</v>
      </c>
      <c r="G188" t="s">
        <v>23</v>
      </c>
      <c r="H188">
        <v>82.41</v>
      </c>
      <c r="I188">
        <v>988.48</v>
      </c>
      <c r="J188" t="s">
        <v>15</v>
      </c>
    </row>
    <row r="189" spans="1:10" x14ac:dyDescent="0.35">
      <c r="A189" t="s">
        <v>211</v>
      </c>
      <c r="B189" t="s">
        <v>11</v>
      </c>
      <c r="C189">
        <v>47</v>
      </c>
      <c r="D189">
        <v>64</v>
      </c>
      <c r="E189" t="s">
        <v>12</v>
      </c>
      <c r="F189" t="s">
        <v>22</v>
      </c>
      <c r="G189" t="s">
        <v>14</v>
      </c>
      <c r="H189">
        <v>37.94</v>
      </c>
      <c r="I189">
        <v>2351.36</v>
      </c>
      <c r="J189" t="s">
        <v>15</v>
      </c>
    </row>
    <row r="190" spans="1:10" x14ac:dyDescent="0.35">
      <c r="A190" t="s">
        <v>212</v>
      </c>
      <c r="B190" t="s">
        <v>11</v>
      </c>
      <c r="C190">
        <v>60</v>
      </c>
      <c r="D190">
        <v>72</v>
      </c>
      <c r="E190" t="s">
        <v>12</v>
      </c>
      <c r="F190" t="s">
        <v>29</v>
      </c>
      <c r="G190" t="s">
        <v>23</v>
      </c>
      <c r="H190">
        <v>30.54</v>
      </c>
      <c r="I190">
        <v>2412.52</v>
      </c>
      <c r="J190" t="s">
        <v>27</v>
      </c>
    </row>
    <row r="191" spans="1:10" x14ac:dyDescent="0.35">
      <c r="A191" t="s">
        <v>213</v>
      </c>
      <c r="B191" t="s">
        <v>17</v>
      </c>
      <c r="C191">
        <v>65</v>
      </c>
      <c r="D191">
        <v>21</v>
      </c>
      <c r="E191" t="s">
        <v>12</v>
      </c>
      <c r="F191" t="s">
        <v>13</v>
      </c>
      <c r="G191" t="s">
        <v>23</v>
      </c>
      <c r="H191">
        <v>127.86</v>
      </c>
      <c r="I191">
        <v>2866.9</v>
      </c>
      <c r="J191" t="s">
        <v>15</v>
      </c>
    </row>
    <row r="192" spans="1:10" x14ac:dyDescent="0.35">
      <c r="A192" t="s">
        <v>214</v>
      </c>
      <c r="B192" t="s">
        <v>11</v>
      </c>
      <c r="C192">
        <v>34</v>
      </c>
      <c r="D192">
        <v>18</v>
      </c>
      <c r="E192" t="s">
        <v>21</v>
      </c>
      <c r="F192" t="s">
        <v>33</v>
      </c>
      <c r="G192" t="s">
        <v>14</v>
      </c>
      <c r="H192">
        <v>146.97999999999999</v>
      </c>
      <c r="I192">
        <v>2808.91</v>
      </c>
      <c r="J192" t="s">
        <v>15</v>
      </c>
    </row>
    <row r="193" spans="1:10" x14ac:dyDescent="0.35">
      <c r="A193" t="s">
        <v>215</v>
      </c>
      <c r="B193" t="s">
        <v>11</v>
      </c>
      <c r="C193">
        <v>43</v>
      </c>
      <c r="D193">
        <v>64</v>
      </c>
      <c r="E193" t="s">
        <v>12</v>
      </c>
      <c r="F193" t="s">
        <v>29</v>
      </c>
      <c r="G193" t="s">
        <v>14</v>
      </c>
      <c r="H193">
        <v>72.61</v>
      </c>
      <c r="I193">
        <v>4477.8</v>
      </c>
      <c r="J193" t="s">
        <v>15</v>
      </c>
    </row>
    <row r="194" spans="1:10" x14ac:dyDescent="0.35">
      <c r="A194" t="s">
        <v>216</v>
      </c>
      <c r="B194" t="s">
        <v>11</v>
      </c>
      <c r="C194">
        <v>53</v>
      </c>
      <c r="D194">
        <v>38</v>
      </c>
      <c r="E194" t="s">
        <v>21</v>
      </c>
      <c r="F194" t="s">
        <v>13</v>
      </c>
      <c r="G194" t="s">
        <v>23</v>
      </c>
      <c r="H194">
        <v>31.39</v>
      </c>
      <c r="I194">
        <v>1075.6300000000001</v>
      </c>
      <c r="J194" t="s">
        <v>15</v>
      </c>
    </row>
    <row r="195" spans="1:10" x14ac:dyDescent="0.35">
      <c r="A195" t="s">
        <v>217</v>
      </c>
      <c r="B195" t="s">
        <v>11</v>
      </c>
      <c r="C195">
        <v>18</v>
      </c>
      <c r="D195">
        <v>32</v>
      </c>
      <c r="E195" t="s">
        <v>18</v>
      </c>
      <c r="F195" t="s">
        <v>22</v>
      </c>
      <c r="G195" t="s">
        <v>19</v>
      </c>
      <c r="H195">
        <v>28.56</v>
      </c>
      <c r="I195">
        <v>892.38</v>
      </c>
      <c r="J195" t="s">
        <v>15</v>
      </c>
    </row>
    <row r="196" spans="1:10" x14ac:dyDescent="0.35">
      <c r="A196" t="s">
        <v>218</v>
      </c>
      <c r="B196" t="s">
        <v>11</v>
      </c>
      <c r="C196">
        <v>25</v>
      </c>
      <c r="D196">
        <v>11</v>
      </c>
      <c r="E196" t="s">
        <v>12</v>
      </c>
      <c r="F196" t="s">
        <v>33</v>
      </c>
      <c r="G196" t="s">
        <v>19</v>
      </c>
      <c r="H196">
        <v>135.87</v>
      </c>
      <c r="I196">
        <v>1435.33</v>
      </c>
      <c r="J196" t="s">
        <v>27</v>
      </c>
    </row>
    <row r="197" spans="1:10" x14ac:dyDescent="0.35">
      <c r="A197" t="s">
        <v>219</v>
      </c>
      <c r="B197" t="s">
        <v>17</v>
      </c>
      <c r="C197">
        <v>66</v>
      </c>
      <c r="D197">
        <v>45</v>
      </c>
      <c r="E197" t="s">
        <v>12</v>
      </c>
      <c r="F197" t="s">
        <v>22</v>
      </c>
      <c r="G197" t="s">
        <v>23</v>
      </c>
      <c r="H197">
        <v>80.3</v>
      </c>
      <c r="I197">
        <v>3279.18</v>
      </c>
      <c r="J197" t="s">
        <v>15</v>
      </c>
    </row>
    <row r="198" spans="1:10" x14ac:dyDescent="0.35">
      <c r="A198" t="s">
        <v>220</v>
      </c>
      <c r="B198" t="s">
        <v>17</v>
      </c>
      <c r="C198">
        <v>52</v>
      </c>
      <c r="D198">
        <v>33</v>
      </c>
      <c r="E198" t="s">
        <v>12</v>
      </c>
      <c r="F198" t="s">
        <v>22</v>
      </c>
      <c r="G198" t="s">
        <v>23</v>
      </c>
      <c r="H198">
        <v>61.6</v>
      </c>
      <c r="I198">
        <v>2034.98</v>
      </c>
      <c r="J198" t="s">
        <v>15</v>
      </c>
    </row>
    <row r="199" spans="1:10" x14ac:dyDescent="0.35">
      <c r="A199" t="s">
        <v>221</v>
      </c>
      <c r="B199" t="s">
        <v>17</v>
      </c>
      <c r="C199">
        <v>69</v>
      </c>
      <c r="D199">
        <v>41</v>
      </c>
      <c r="E199" t="s">
        <v>18</v>
      </c>
      <c r="F199" t="s">
        <v>33</v>
      </c>
      <c r="G199" t="s">
        <v>23</v>
      </c>
      <c r="H199">
        <v>81.94</v>
      </c>
      <c r="I199">
        <v>3294.39</v>
      </c>
      <c r="J199" t="s">
        <v>15</v>
      </c>
    </row>
    <row r="200" spans="1:10" x14ac:dyDescent="0.35">
      <c r="A200" t="s">
        <v>222</v>
      </c>
      <c r="B200" t="s">
        <v>11</v>
      </c>
      <c r="C200">
        <v>32</v>
      </c>
      <c r="D200">
        <v>8</v>
      </c>
      <c r="E200" t="s">
        <v>12</v>
      </c>
      <c r="F200" t="s">
        <v>13</v>
      </c>
      <c r="G200" t="s">
        <v>14</v>
      </c>
      <c r="H200">
        <v>61.38</v>
      </c>
      <c r="I200">
        <v>504.25</v>
      </c>
      <c r="J200" t="s">
        <v>15</v>
      </c>
    </row>
    <row r="201" spans="1:10" x14ac:dyDescent="0.35">
      <c r="A201" t="s">
        <v>223</v>
      </c>
      <c r="B201" t="s">
        <v>11</v>
      </c>
      <c r="C201">
        <v>64</v>
      </c>
      <c r="D201">
        <v>11</v>
      </c>
      <c r="E201" t="s">
        <v>12</v>
      </c>
      <c r="F201" t="s">
        <v>33</v>
      </c>
      <c r="G201" t="s">
        <v>23</v>
      </c>
      <c r="H201">
        <v>83.57</v>
      </c>
      <c r="I201">
        <v>941.55</v>
      </c>
      <c r="J201" t="s">
        <v>15</v>
      </c>
    </row>
    <row r="202" spans="1:10" x14ac:dyDescent="0.35">
      <c r="A202" t="s">
        <v>224</v>
      </c>
      <c r="B202" t="s">
        <v>11</v>
      </c>
      <c r="C202">
        <v>39</v>
      </c>
      <c r="D202">
        <v>51</v>
      </c>
      <c r="E202" t="s">
        <v>12</v>
      </c>
      <c r="F202" t="s">
        <v>29</v>
      </c>
      <c r="G202" t="s">
        <v>14</v>
      </c>
      <c r="H202">
        <v>131.74</v>
      </c>
      <c r="I202">
        <v>6209.12</v>
      </c>
      <c r="J202" t="s">
        <v>15</v>
      </c>
    </row>
    <row r="203" spans="1:10" x14ac:dyDescent="0.35">
      <c r="A203" t="s">
        <v>225</v>
      </c>
      <c r="B203" t="s">
        <v>17</v>
      </c>
      <c r="C203">
        <v>31</v>
      </c>
      <c r="D203">
        <v>41</v>
      </c>
      <c r="E203" t="s">
        <v>21</v>
      </c>
      <c r="F203" t="s">
        <v>33</v>
      </c>
      <c r="G203" t="s">
        <v>14</v>
      </c>
      <c r="H203">
        <v>97</v>
      </c>
      <c r="I203">
        <v>4356.38</v>
      </c>
      <c r="J203" t="s">
        <v>15</v>
      </c>
    </row>
    <row r="204" spans="1:10" x14ac:dyDescent="0.35">
      <c r="A204" t="s">
        <v>226</v>
      </c>
      <c r="B204" t="s">
        <v>11</v>
      </c>
      <c r="C204">
        <v>43</v>
      </c>
      <c r="D204">
        <v>17</v>
      </c>
      <c r="E204" t="s">
        <v>12</v>
      </c>
      <c r="F204" t="s">
        <v>13</v>
      </c>
      <c r="G204" t="s">
        <v>14</v>
      </c>
      <c r="H204">
        <v>110.3</v>
      </c>
      <c r="I204">
        <v>1757.69</v>
      </c>
      <c r="J204" t="s">
        <v>15</v>
      </c>
    </row>
    <row r="205" spans="1:10" x14ac:dyDescent="0.35">
      <c r="A205" t="s">
        <v>227</v>
      </c>
      <c r="B205" t="s">
        <v>11</v>
      </c>
      <c r="C205">
        <v>45</v>
      </c>
      <c r="D205">
        <v>46</v>
      </c>
      <c r="E205" t="s">
        <v>21</v>
      </c>
      <c r="F205" t="s">
        <v>13</v>
      </c>
      <c r="G205" t="s">
        <v>14</v>
      </c>
      <c r="H205">
        <v>67.41</v>
      </c>
      <c r="I205">
        <v>3066.92</v>
      </c>
      <c r="J205" t="s">
        <v>15</v>
      </c>
    </row>
    <row r="206" spans="1:10" x14ac:dyDescent="0.35">
      <c r="A206" t="s">
        <v>228</v>
      </c>
      <c r="B206" t="s">
        <v>17</v>
      </c>
      <c r="C206">
        <v>40</v>
      </c>
      <c r="D206">
        <v>32</v>
      </c>
      <c r="E206" t="s">
        <v>18</v>
      </c>
      <c r="F206" t="s">
        <v>29</v>
      </c>
      <c r="G206" t="s">
        <v>14</v>
      </c>
      <c r="H206">
        <v>116.01</v>
      </c>
      <c r="I206">
        <v>3703.5</v>
      </c>
      <c r="J206" t="s">
        <v>27</v>
      </c>
    </row>
    <row r="207" spans="1:10" x14ac:dyDescent="0.35">
      <c r="A207" t="s">
        <v>229</v>
      </c>
      <c r="B207" t="s">
        <v>11</v>
      </c>
      <c r="C207">
        <v>31</v>
      </c>
      <c r="D207">
        <v>54</v>
      </c>
      <c r="E207" t="s">
        <v>12</v>
      </c>
      <c r="F207" t="s">
        <v>22</v>
      </c>
      <c r="G207" t="s">
        <v>14</v>
      </c>
      <c r="H207">
        <v>106.66</v>
      </c>
      <c r="I207">
        <v>6120.27</v>
      </c>
      <c r="J207" t="s">
        <v>15</v>
      </c>
    </row>
    <row r="208" spans="1:10" x14ac:dyDescent="0.35">
      <c r="A208" t="s">
        <v>230</v>
      </c>
      <c r="B208" t="s">
        <v>17</v>
      </c>
      <c r="C208">
        <v>41</v>
      </c>
      <c r="D208">
        <v>20</v>
      </c>
      <c r="E208" t="s">
        <v>18</v>
      </c>
      <c r="F208" t="s">
        <v>29</v>
      </c>
      <c r="G208" t="s">
        <v>14</v>
      </c>
      <c r="H208">
        <v>35.54</v>
      </c>
      <c r="I208">
        <v>653.83000000000004</v>
      </c>
      <c r="J208" t="s">
        <v>27</v>
      </c>
    </row>
    <row r="209" spans="1:10" x14ac:dyDescent="0.35">
      <c r="A209" t="s">
        <v>231</v>
      </c>
      <c r="B209" t="s">
        <v>17</v>
      </c>
      <c r="C209">
        <v>19</v>
      </c>
      <c r="D209">
        <v>33</v>
      </c>
      <c r="E209" t="s">
        <v>12</v>
      </c>
      <c r="F209" t="s">
        <v>33</v>
      </c>
      <c r="G209" t="s">
        <v>19</v>
      </c>
      <c r="H209">
        <v>94.44</v>
      </c>
      <c r="I209">
        <v>3072.04</v>
      </c>
      <c r="J209" t="s">
        <v>15</v>
      </c>
    </row>
    <row r="210" spans="1:10" x14ac:dyDescent="0.35">
      <c r="A210" t="s">
        <v>232</v>
      </c>
      <c r="B210" t="s">
        <v>17</v>
      </c>
      <c r="C210">
        <v>62</v>
      </c>
      <c r="D210">
        <v>40</v>
      </c>
      <c r="E210" t="s">
        <v>18</v>
      </c>
      <c r="F210" t="s">
        <v>33</v>
      </c>
      <c r="G210" t="s">
        <v>23</v>
      </c>
      <c r="H210">
        <v>53.38</v>
      </c>
      <c r="I210">
        <v>2190.08</v>
      </c>
      <c r="J210" t="s">
        <v>27</v>
      </c>
    </row>
    <row r="211" spans="1:10" x14ac:dyDescent="0.35">
      <c r="A211" t="s">
        <v>233</v>
      </c>
      <c r="B211" t="s">
        <v>11</v>
      </c>
      <c r="C211">
        <v>43</v>
      </c>
      <c r="D211">
        <v>32</v>
      </c>
      <c r="E211" t="s">
        <v>21</v>
      </c>
      <c r="F211" t="s">
        <v>29</v>
      </c>
      <c r="G211" t="s">
        <v>14</v>
      </c>
      <c r="H211">
        <v>124.53</v>
      </c>
      <c r="I211">
        <v>3757.94</v>
      </c>
      <c r="J211" t="s">
        <v>27</v>
      </c>
    </row>
    <row r="212" spans="1:10" x14ac:dyDescent="0.35">
      <c r="A212" t="s">
        <v>234</v>
      </c>
      <c r="B212" t="s">
        <v>11</v>
      </c>
      <c r="C212">
        <v>31</v>
      </c>
      <c r="D212">
        <v>2</v>
      </c>
      <c r="E212" t="s">
        <v>18</v>
      </c>
      <c r="F212" t="s">
        <v>33</v>
      </c>
      <c r="G212" t="s">
        <v>14</v>
      </c>
      <c r="H212">
        <v>75.37</v>
      </c>
      <c r="I212">
        <v>154.58000000000001</v>
      </c>
      <c r="J212" t="s">
        <v>27</v>
      </c>
    </row>
    <row r="213" spans="1:10" x14ac:dyDescent="0.35">
      <c r="A213" t="s">
        <v>235</v>
      </c>
      <c r="B213" t="s">
        <v>11</v>
      </c>
      <c r="C213">
        <v>68</v>
      </c>
      <c r="D213">
        <v>33</v>
      </c>
      <c r="E213" t="s">
        <v>12</v>
      </c>
      <c r="F213" t="s">
        <v>22</v>
      </c>
      <c r="G213" t="s">
        <v>23</v>
      </c>
      <c r="H213">
        <v>149.31</v>
      </c>
      <c r="I213">
        <v>5344.73</v>
      </c>
      <c r="J213" t="s">
        <v>15</v>
      </c>
    </row>
    <row r="214" spans="1:10" x14ac:dyDescent="0.35">
      <c r="A214" t="s">
        <v>236</v>
      </c>
      <c r="B214" t="s">
        <v>11</v>
      </c>
      <c r="C214">
        <v>24</v>
      </c>
      <c r="D214">
        <v>30</v>
      </c>
      <c r="E214" t="s">
        <v>12</v>
      </c>
      <c r="F214" t="s">
        <v>22</v>
      </c>
      <c r="G214" t="s">
        <v>19</v>
      </c>
      <c r="H214">
        <v>32.03</v>
      </c>
      <c r="I214">
        <v>1056.51</v>
      </c>
      <c r="J214" t="s">
        <v>27</v>
      </c>
    </row>
    <row r="215" spans="1:10" x14ac:dyDescent="0.35">
      <c r="A215" t="s">
        <v>237</v>
      </c>
      <c r="B215" t="s">
        <v>11</v>
      </c>
      <c r="C215">
        <v>20</v>
      </c>
      <c r="D215">
        <v>33</v>
      </c>
      <c r="E215" t="s">
        <v>12</v>
      </c>
      <c r="F215" t="s">
        <v>13</v>
      </c>
      <c r="G215" t="s">
        <v>19</v>
      </c>
      <c r="H215">
        <v>121.45</v>
      </c>
      <c r="I215">
        <v>3633.08</v>
      </c>
      <c r="J215" t="s">
        <v>15</v>
      </c>
    </row>
    <row r="216" spans="1:10" x14ac:dyDescent="0.35">
      <c r="A216" t="s">
        <v>238</v>
      </c>
      <c r="B216" t="s">
        <v>11</v>
      </c>
      <c r="C216">
        <v>64</v>
      </c>
      <c r="D216">
        <v>26</v>
      </c>
      <c r="E216" t="s">
        <v>12</v>
      </c>
      <c r="F216" t="s">
        <v>29</v>
      </c>
      <c r="G216" t="s">
        <v>23</v>
      </c>
      <c r="H216">
        <v>107.58</v>
      </c>
      <c r="I216">
        <v>2649.16</v>
      </c>
      <c r="J216" t="s">
        <v>27</v>
      </c>
    </row>
    <row r="217" spans="1:10" x14ac:dyDescent="0.35">
      <c r="A217" t="s">
        <v>239</v>
      </c>
      <c r="B217" t="s">
        <v>11</v>
      </c>
      <c r="C217">
        <v>40</v>
      </c>
      <c r="D217">
        <v>22</v>
      </c>
      <c r="E217" t="s">
        <v>12</v>
      </c>
      <c r="F217" t="s">
        <v>29</v>
      </c>
      <c r="G217" t="s">
        <v>14</v>
      </c>
      <c r="H217">
        <v>119.77</v>
      </c>
      <c r="I217">
        <v>2534.9699999999998</v>
      </c>
      <c r="J217" t="s">
        <v>15</v>
      </c>
    </row>
    <row r="218" spans="1:10" x14ac:dyDescent="0.35">
      <c r="A218" t="s">
        <v>240</v>
      </c>
      <c r="B218" t="s">
        <v>17</v>
      </c>
      <c r="C218">
        <v>63</v>
      </c>
      <c r="D218">
        <v>66</v>
      </c>
      <c r="E218" t="s">
        <v>12</v>
      </c>
      <c r="F218" t="s">
        <v>29</v>
      </c>
      <c r="G218" t="s">
        <v>23</v>
      </c>
      <c r="H218">
        <v>59.98</v>
      </c>
      <c r="I218">
        <v>3878.81</v>
      </c>
      <c r="J218" t="s">
        <v>27</v>
      </c>
    </row>
    <row r="219" spans="1:10" x14ac:dyDescent="0.35">
      <c r="A219" t="s">
        <v>241</v>
      </c>
      <c r="B219" t="s">
        <v>11</v>
      </c>
      <c r="C219">
        <v>60</v>
      </c>
      <c r="D219">
        <v>38</v>
      </c>
      <c r="E219" t="s">
        <v>12</v>
      </c>
      <c r="F219" t="s">
        <v>33</v>
      </c>
      <c r="G219" t="s">
        <v>23</v>
      </c>
      <c r="H219">
        <v>83.97</v>
      </c>
      <c r="I219">
        <v>3026.38</v>
      </c>
      <c r="J219" t="s">
        <v>15</v>
      </c>
    </row>
    <row r="220" spans="1:10" x14ac:dyDescent="0.35">
      <c r="A220" t="s">
        <v>242</v>
      </c>
      <c r="B220" t="s">
        <v>17</v>
      </c>
      <c r="C220">
        <v>64</v>
      </c>
      <c r="D220">
        <v>46</v>
      </c>
      <c r="E220" t="s">
        <v>12</v>
      </c>
      <c r="F220" t="s">
        <v>29</v>
      </c>
      <c r="G220" t="s">
        <v>23</v>
      </c>
      <c r="H220">
        <v>123.55</v>
      </c>
      <c r="I220">
        <v>5346.27</v>
      </c>
      <c r="J220" t="s">
        <v>15</v>
      </c>
    </row>
    <row r="221" spans="1:10" x14ac:dyDescent="0.35">
      <c r="A221" t="s">
        <v>243</v>
      </c>
      <c r="B221" t="s">
        <v>11</v>
      </c>
      <c r="C221">
        <v>62</v>
      </c>
      <c r="D221">
        <v>15</v>
      </c>
      <c r="E221" t="s">
        <v>18</v>
      </c>
      <c r="F221" t="s">
        <v>33</v>
      </c>
      <c r="G221" t="s">
        <v>23</v>
      </c>
      <c r="H221">
        <v>50.23</v>
      </c>
      <c r="I221">
        <v>821.95</v>
      </c>
      <c r="J221" t="s">
        <v>27</v>
      </c>
    </row>
    <row r="222" spans="1:10" x14ac:dyDescent="0.35">
      <c r="A222" t="s">
        <v>244</v>
      </c>
      <c r="B222" t="s">
        <v>11</v>
      </c>
      <c r="C222">
        <v>35</v>
      </c>
      <c r="D222">
        <v>44</v>
      </c>
      <c r="E222" t="s">
        <v>12</v>
      </c>
      <c r="F222" t="s">
        <v>29</v>
      </c>
      <c r="G222" t="s">
        <v>14</v>
      </c>
      <c r="H222">
        <v>49.38</v>
      </c>
      <c r="I222">
        <v>2354.59</v>
      </c>
      <c r="J222" t="s">
        <v>15</v>
      </c>
    </row>
    <row r="223" spans="1:10" x14ac:dyDescent="0.35">
      <c r="A223" t="s">
        <v>245</v>
      </c>
      <c r="B223" t="s">
        <v>11</v>
      </c>
      <c r="C223">
        <v>55</v>
      </c>
      <c r="D223">
        <v>49</v>
      </c>
      <c r="E223" t="s">
        <v>12</v>
      </c>
      <c r="F223" t="s">
        <v>13</v>
      </c>
      <c r="G223" t="s">
        <v>23</v>
      </c>
      <c r="H223">
        <v>91.64</v>
      </c>
      <c r="I223">
        <v>4083.53</v>
      </c>
      <c r="J223" t="s">
        <v>15</v>
      </c>
    </row>
    <row r="224" spans="1:10" x14ac:dyDescent="0.35">
      <c r="A224" t="s">
        <v>246</v>
      </c>
      <c r="B224" t="s">
        <v>17</v>
      </c>
      <c r="C224">
        <v>52</v>
      </c>
      <c r="D224">
        <v>61</v>
      </c>
      <c r="E224" t="s">
        <v>12</v>
      </c>
      <c r="F224" t="s">
        <v>22</v>
      </c>
      <c r="G224" t="s">
        <v>23</v>
      </c>
      <c r="H224">
        <v>88.06</v>
      </c>
      <c r="I224">
        <v>5198.49</v>
      </c>
      <c r="J224" t="s">
        <v>27</v>
      </c>
    </row>
    <row r="225" spans="1:10" x14ac:dyDescent="0.35">
      <c r="A225" t="s">
        <v>247</v>
      </c>
      <c r="B225" t="s">
        <v>17</v>
      </c>
      <c r="C225">
        <v>68</v>
      </c>
      <c r="D225">
        <v>67</v>
      </c>
      <c r="E225" t="s">
        <v>12</v>
      </c>
      <c r="F225" t="s">
        <v>33</v>
      </c>
      <c r="G225" t="s">
        <v>23</v>
      </c>
      <c r="H225">
        <v>56.69</v>
      </c>
      <c r="I225">
        <v>3726.18</v>
      </c>
      <c r="J225" t="s">
        <v>15</v>
      </c>
    </row>
    <row r="226" spans="1:10" x14ac:dyDescent="0.35">
      <c r="A226" t="s">
        <v>248</v>
      </c>
      <c r="B226" t="s">
        <v>17</v>
      </c>
      <c r="C226">
        <v>32</v>
      </c>
      <c r="D226">
        <v>6</v>
      </c>
      <c r="E226" t="s">
        <v>18</v>
      </c>
      <c r="F226" t="s">
        <v>29</v>
      </c>
      <c r="G226" t="s">
        <v>14</v>
      </c>
      <c r="H226">
        <v>58.75</v>
      </c>
      <c r="I226">
        <v>334.1</v>
      </c>
      <c r="J226" t="s">
        <v>15</v>
      </c>
    </row>
    <row r="227" spans="1:10" x14ac:dyDescent="0.35">
      <c r="A227" t="s">
        <v>249</v>
      </c>
      <c r="B227" t="s">
        <v>17</v>
      </c>
      <c r="C227">
        <v>42</v>
      </c>
      <c r="D227">
        <v>9</v>
      </c>
      <c r="E227" t="s">
        <v>12</v>
      </c>
      <c r="F227" t="s">
        <v>13</v>
      </c>
      <c r="G227" t="s">
        <v>14</v>
      </c>
      <c r="H227">
        <v>56.12</v>
      </c>
      <c r="I227">
        <v>518.1</v>
      </c>
      <c r="J227" t="s">
        <v>15</v>
      </c>
    </row>
    <row r="228" spans="1:10" x14ac:dyDescent="0.35">
      <c r="A228" t="s">
        <v>250</v>
      </c>
      <c r="B228" t="s">
        <v>11</v>
      </c>
      <c r="C228">
        <v>54</v>
      </c>
      <c r="D228">
        <v>6</v>
      </c>
      <c r="E228" t="s">
        <v>21</v>
      </c>
      <c r="F228" t="s">
        <v>13</v>
      </c>
      <c r="G228" t="s">
        <v>23</v>
      </c>
      <c r="H228">
        <v>120.3</v>
      </c>
      <c r="I228">
        <v>742.07</v>
      </c>
      <c r="J228" t="s">
        <v>27</v>
      </c>
    </row>
    <row r="229" spans="1:10" x14ac:dyDescent="0.35">
      <c r="A229" t="s">
        <v>251</v>
      </c>
      <c r="B229" t="s">
        <v>17</v>
      </c>
      <c r="C229">
        <v>45</v>
      </c>
      <c r="D229">
        <v>32</v>
      </c>
      <c r="E229" t="s">
        <v>18</v>
      </c>
      <c r="F229" t="s">
        <v>29</v>
      </c>
      <c r="G229" t="s">
        <v>14</v>
      </c>
      <c r="H229">
        <v>104.75</v>
      </c>
      <c r="I229">
        <v>3586.98</v>
      </c>
      <c r="J229" t="s">
        <v>15</v>
      </c>
    </row>
    <row r="230" spans="1:10" x14ac:dyDescent="0.35">
      <c r="A230" t="s">
        <v>252</v>
      </c>
      <c r="B230" t="s">
        <v>11</v>
      </c>
      <c r="C230">
        <v>27</v>
      </c>
      <c r="D230">
        <v>41</v>
      </c>
      <c r="E230" t="s">
        <v>18</v>
      </c>
      <c r="F230" t="s">
        <v>29</v>
      </c>
      <c r="G230" t="s">
        <v>19</v>
      </c>
      <c r="H230">
        <v>128.21</v>
      </c>
      <c r="I230">
        <v>5509.84</v>
      </c>
      <c r="J230" t="s">
        <v>15</v>
      </c>
    </row>
    <row r="231" spans="1:10" x14ac:dyDescent="0.35">
      <c r="A231" t="s">
        <v>253</v>
      </c>
      <c r="B231" t="s">
        <v>11</v>
      </c>
      <c r="C231">
        <v>56</v>
      </c>
      <c r="D231">
        <v>8</v>
      </c>
      <c r="E231" t="s">
        <v>21</v>
      </c>
      <c r="F231" t="s">
        <v>13</v>
      </c>
      <c r="G231" t="s">
        <v>23</v>
      </c>
      <c r="H231">
        <v>146.81</v>
      </c>
      <c r="I231">
        <v>1184.48</v>
      </c>
      <c r="J231" t="s">
        <v>15</v>
      </c>
    </row>
    <row r="232" spans="1:10" x14ac:dyDescent="0.35">
      <c r="A232" t="s">
        <v>254</v>
      </c>
      <c r="B232" t="s">
        <v>17</v>
      </c>
      <c r="C232">
        <v>34</v>
      </c>
      <c r="D232">
        <v>72</v>
      </c>
      <c r="E232" t="s">
        <v>18</v>
      </c>
      <c r="F232" t="s">
        <v>13</v>
      </c>
      <c r="G232" t="s">
        <v>14</v>
      </c>
      <c r="H232">
        <v>81.64</v>
      </c>
      <c r="I232">
        <v>6058.64</v>
      </c>
      <c r="J232" t="s">
        <v>15</v>
      </c>
    </row>
    <row r="233" spans="1:10" x14ac:dyDescent="0.35">
      <c r="A233" t="s">
        <v>255</v>
      </c>
      <c r="B233" t="s">
        <v>17</v>
      </c>
      <c r="C233">
        <v>56</v>
      </c>
      <c r="D233">
        <v>50</v>
      </c>
      <c r="E233" t="s">
        <v>18</v>
      </c>
      <c r="F233" t="s">
        <v>22</v>
      </c>
      <c r="G233" t="s">
        <v>23</v>
      </c>
      <c r="H233">
        <v>28.67</v>
      </c>
      <c r="I233">
        <v>1368.7</v>
      </c>
      <c r="J233" t="s">
        <v>15</v>
      </c>
    </row>
    <row r="234" spans="1:10" x14ac:dyDescent="0.35">
      <c r="A234" t="s">
        <v>256</v>
      </c>
      <c r="B234" t="s">
        <v>17</v>
      </c>
      <c r="C234">
        <v>39</v>
      </c>
      <c r="D234">
        <v>62</v>
      </c>
      <c r="E234" t="s">
        <v>21</v>
      </c>
      <c r="F234" t="s">
        <v>13</v>
      </c>
      <c r="G234" t="s">
        <v>14</v>
      </c>
      <c r="H234">
        <v>26.25</v>
      </c>
      <c r="I234">
        <v>1657.79</v>
      </c>
      <c r="J234" t="s">
        <v>15</v>
      </c>
    </row>
    <row r="235" spans="1:10" x14ac:dyDescent="0.35">
      <c r="A235" t="s">
        <v>257</v>
      </c>
      <c r="B235" t="s">
        <v>17</v>
      </c>
      <c r="C235">
        <v>43</v>
      </c>
      <c r="D235">
        <v>62</v>
      </c>
      <c r="E235" t="s">
        <v>21</v>
      </c>
      <c r="F235" t="s">
        <v>13</v>
      </c>
      <c r="G235" t="s">
        <v>14</v>
      </c>
      <c r="H235">
        <v>58.44</v>
      </c>
      <c r="I235">
        <v>3615.47</v>
      </c>
      <c r="J235" t="s">
        <v>15</v>
      </c>
    </row>
    <row r="236" spans="1:10" x14ac:dyDescent="0.35">
      <c r="A236" t="s">
        <v>258</v>
      </c>
      <c r="B236" t="s">
        <v>17</v>
      </c>
      <c r="C236">
        <v>61</v>
      </c>
      <c r="D236">
        <v>7</v>
      </c>
      <c r="E236" t="s">
        <v>21</v>
      </c>
      <c r="F236" t="s">
        <v>13</v>
      </c>
      <c r="G236" t="s">
        <v>23</v>
      </c>
      <c r="H236">
        <v>141.22999999999999</v>
      </c>
      <c r="I236">
        <v>916.11</v>
      </c>
      <c r="J236" t="s">
        <v>27</v>
      </c>
    </row>
    <row r="237" spans="1:10" x14ac:dyDescent="0.35">
      <c r="A237" t="s">
        <v>259</v>
      </c>
      <c r="B237" t="s">
        <v>17</v>
      </c>
      <c r="C237">
        <v>42</v>
      </c>
      <c r="D237">
        <v>4</v>
      </c>
      <c r="E237" t="s">
        <v>12</v>
      </c>
      <c r="F237" t="s">
        <v>22</v>
      </c>
      <c r="G237" t="s">
        <v>14</v>
      </c>
      <c r="H237">
        <v>88.02</v>
      </c>
      <c r="I237">
        <v>333.95</v>
      </c>
      <c r="J237" t="s">
        <v>15</v>
      </c>
    </row>
    <row r="238" spans="1:10" x14ac:dyDescent="0.35">
      <c r="A238" t="s">
        <v>260</v>
      </c>
      <c r="B238" t="s">
        <v>17</v>
      </c>
      <c r="C238">
        <v>34</v>
      </c>
      <c r="D238">
        <v>6</v>
      </c>
      <c r="E238" t="s">
        <v>21</v>
      </c>
      <c r="F238" t="s">
        <v>33</v>
      </c>
      <c r="G238" t="s">
        <v>14</v>
      </c>
      <c r="H238">
        <v>55.33</v>
      </c>
      <c r="I238">
        <v>318.14999999999998</v>
      </c>
      <c r="J238" t="s">
        <v>15</v>
      </c>
    </row>
    <row r="239" spans="1:10" x14ac:dyDescent="0.35">
      <c r="A239" t="s">
        <v>261</v>
      </c>
      <c r="B239" t="s">
        <v>17</v>
      </c>
      <c r="C239">
        <v>30</v>
      </c>
      <c r="D239">
        <v>58</v>
      </c>
      <c r="E239" t="s">
        <v>12</v>
      </c>
      <c r="F239" t="s">
        <v>13</v>
      </c>
      <c r="G239" t="s">
        <v>14</v>
      </c>
      <c r="H239">
        <v>71.89</v>
      </c>
      <c r="I239">
        <v>4523.46</v>
      </c>
      <c r="J239" t="s">
        <v>27</v>
      </c>
    </row>
    <row r="240" spans="1:10" x14ac:dyDescent="0.35">
      <c r="A240" t="s">
        <v>262</v>
      </c>
      <c r="B240" t="s">
        <v>11</v>
      </c>
      <c r="C240">
        <v>37</v>
      </c>
      <c r="D240">
        <v>22</v>
      </c>
      <c r="E240" t="s">
        <v>12</v>
      </c>
      <c r="F240" t="s">
        <v>22</v>
      </c>
      <c r="G240" t="s">
        <v>14</v>
      </c>
      <c r="H240">
        <v>97.82</v>
      </c>
      <c r="I240">
        <v>2036</v>
      </c>
      <c r="J240" t="s">
        <v>15</v>
      </c>
    </row>
    <row r="241" spans="1:10" x14ac:dyDescent="0.35">
      <c r="A241" t="s">
        <v>263</v>
      </c>
      <c r="B241" t="s">
        <v>17</v>
      </c>
      <c r="C241">
        <v>42</v>
      </c>
      <c r="D241">
        <v>26</v>
      </c>
      <c r="E241" t="s">
        <v>12</v>
      </c>
      <c r="F241" t="s">
        <v>29</v>
      </c>
      <c r="G241" t="s">
        <v>14</v>
      </c>
      <c r="H241">
        <v>104.88</v>
      </c>
      <c r="I241">
        <v>2611.94</v>
      </c>
      <c r="J241" t="s">
        <v>27</v>
      </c>
    </row>
    <row r="242" spans="1:10" x14ac:dyDescent="0.35">
      <c r="A242" t="s">
        <v>264</v>
      </c>
      <c r="B242" t="s">
        <v>17</v>
      </c>
      <c r="C242">
        <v>21</v>
      </c>
      <c r="D242">
        <v>3</v>
      </c>
      <c r="E242" t="s">
        <v>12</v>
      </c>
      <c r="F242" t="s">
        <v>13</v>
      </c>
      <c r="G242" t="s">
        <v>19</v>
      </c>
      <c r="H242">
        <v>40.01</v>
      </c>
      <c r="I242">
        <v>116.89</v>
      </c>
      <c r="J242" t="s">
        <v>27</v>
      </c>
    </row>
    <row r="243" spans="1:10" x14ac:dyDescent="0.35">
      <c r="A243" t="s">
        <v>265</v>
      </c>
      <c r="B243" t="s">
        <v>11</v>
      </c>
      <c r="C243">
        <v>27</v>
      </c>
      <c r="D243">
        <v>41</v>
      </c>
      <c r="E243" t="s">
        <v>12</v>
      </c>
      <c r="F243" t="s">
        <v>29</v>
      </c>
      <c r="G243" t="s">
        <v>19</v>
      </c>
      <c r="H243">
        <v>147.01</v>
      </c>
      <c r="I243">
        <v>6224.8</v>
      </c>
      <c r="J243" t="s">
        <v>15</v>
      </c>
    </row>
    <row r="244" spans="1:10" x14ac:dyDescent="0.35">
      <c r="A244" t="s">
        <v>266</v>
      </c>
      <c r="B244" t="s">
        <v>17</v>
      </c>
      <c r="C244">
        <v>20</v>
      </c>
      <c r="D244">
        <v>60</v>
      </c>
      <c r="E244" t="s">
        <v>12</v>
      </c>
      <c r="F244" t="s">
        <v>13</v>
      </c>
      <c r="G244" t="s">
        <v>19</v>
      </c>
      <c r="H244">
        <v>90.82</v>
      </c>
      <c r="I244">
        <v>5033.1400000000003</v>
      </c>
      <c r="J244" t="s">
        <v>15</v>
      </c>
    </row>
    <row r="245" spans="1:10" x14ac:dyDescent="0.35">
      <c r="A245" t="s">
        <v>267</v>
      </c>
      <c r="B245" t="s">
        <v>11</v>
      </c>
      <c r="C245">
        <v>58</v>
      </c>
      <c r="D245">
        <v>14</v>
      </c>
      <c r="E245" t="s">
        <v>21</v>
      </c>
      <c r="F245" t="s">
        <v>22</v>
      </c>
      <c r="G245" t="s">
        <v>23</v>
      </c>
      <c r="H245">
        <v>37.64</v>
      </c>
      <c r="I245">
        <v>574.79999999999995</v>
      </c>
      <c r="J245" t="s">
        <v>27</v>
      </c>
    </row>
    <row r="246" spans="1:10" x14ac:dyDescent="0.35">
      <c r="A246" t="s">
        <v>268</v>
      </c>
      <c r="B246" t="s">
        <v>11</v>
      </c>
      <c r="C246">
        <v>62</v>
      </c>
      <c r="D246">
        <v>12</v>
      </c>
      <c r="E246" t="s">
        <v>12</v>
      </c>
      <c r="F246" t="s">
        <v>33</v>
      </c>
      <c r="G246" t="s">
        <v>23</v>
      </c>
      <c r="H246">
        <v>136.16999999999999</v>
      </c>
      <c r="I246">
        <v>1753.51</v>
      </c>
      <c r="J246" t="s">
        <v>27</v>
      </c>
    </row>
    <row r="247" spans="1:10" x14ac:dyDescent="0.35">
      <c r="A247" t="s">
        <v>269</v>
      </c>
      <c r="B247" t="s">
        <v>17</v>
      </c>
      <c r="C247">
        <v>35</v>
      </c>
      <c r="D247">
        <v>12</v>
      </c>
      <c r="E247" t="s">
        <v>18</v>
      </c>
      <c r="F247" t="s">
        <v>29</v>
      </c>
      <c r="G247" t="s">
        <v>14</v>
      </c>
      <c r="H247">
        <v>29.7</v>
      </c>
      <c r="I247">
        <v>361.9</v>
      </c>
      <c r="J247" t="s">
        <v>15</v>
      </c>
    </row>
    <row r="248" spans="1:10" x14ac:dyDescent="0.35">
      <c r="A248" t="s">
        <v>270</v>
      </c>
      <c r="B248" t="s">
        <v>11</v>
      </c>
      <c r="C248">
        <v>64</v>
      </c>
      <c r="D248">
        <v>13</v>
      </c>
      <c r="E248" t="s">
        <v>12</v>
      </c>
      <c r="F248" t="s">
        <v>22</v>
      </c>
      <c r="G248" t="s">
        <v>23</v>
      </c>
      <c r="H248">
        <v>138.01</v>
      </c>
      <c r="I248">
        <v>1856.58</v>
      </c>
      <c r="J248" t="s">
        <v>27</v>
      </c>
    </row>
    <row r="249" spans="1:10" x14ac:dyDescent="0.35">
      <c r="A249" t="s">
        <v>271</v>
      </c>
      <c r="B249" t="s">
        <v>11</v>
      </c>
      <c r="C249">
        <v>53</v>
      </c>
      <c r="D249">
        <v>25</v>
      </c>
      <c r="E249" t="s">
        <v>12</v>
      </c>
      <c r="F249" t="s">
        <v>13</v>
      </c>
      <c r="G249" t="s">
        <v>23</v>
      </c>
      <c r="H249">
        <v>149.55000000000001</v>
      </c>
      <c r="I249">
        <v>3377.33</v>
      </c>
      <c r="J249" t="s">
        <v>15</v>
      </c>
    </row>
    <row r="250" spans="1:10" x14ac:dyDescent="0.35">
      <c r="A250" t="s">
        <v>272</v>
      </c>
      <c r="B250" t="s">
        <v>11</v>
      </c>
      <c r="C250">
        <v>64</v>
      </c>
      <c r="D250">
        <v>45</v>
      </c>
      <c r="E250" t="s">
        <v>21</v>
      </c>
      <c r="F250" t="s">
        <v>29</v>
      </c>
      <c r="G250" t="s">
        <v>23</v>
      </c>
      <c r="H250">
        <v>111.06</v>
      </c>
      <c r="I250">
        <v>4836.72</v>
      </c>
      <c r="J250" t="s">
        <v>15</v>
      </c>
    </row>
    <row r="251" spans="1:10" x14ac:dyDescent="0.35">
      <c r="A251" t="s">
        <v>273</v>
      </c>
      <c r="B251" t="s">
        <v>11</v>
      </c>
      <c r="C251">
        <v>39</v>
      </c>
      <c r="D251">
        <v>19</v>
      </c>
      <c r="E251" t="s">
        <v>21</v>
      </c>
      <c r="F251" t="s">
        <v>29</v>
      </c>
      <c r="G251" t="s">
        <v>14</v>
      </c>
      <c r="H251">
        <v>120.16</v>
      </c>
      <c r="I251">
        <v>2418.04</v>
      </c>
      <c r="J251" t="s">
        <v>15</v>
      </c>
    </row>
    <row r="252" spans="1:10" x14ac:dyDescent="0.35">
      <c r="A252" t="s">
        <v>274</v>
      </c>
      <c r="B252" t="s">
        <v>17</v>
      </c>
      <c r="C252">
        <v>51</v>
      </c>
      <c r="D252">
        <v>55</v>
      </c>
      <c r="E252" t="s">
        <v>12</v>
      </c>
      <c r="F252" t="s">
        <v>29</v>
      </c>
      <c r="G252" t="s">
        <v>23</v>
      </c>
      <c r="H252">
        <v>63.85</v>
      </c>
      <c r="I252">
        <v>3215</v>
      </c>
      <c r="J252" t="s">
        <v>27</v>
      </c>
    </row>
    <row r="253" spans="1:10" x14ac:dyDescent="0.35">
      <c r="A253" t="s">
        <v>275</v>
      </c>
      <c r="B253" t="s">
        <v>11</v>
      </c>
      <c r="C253">
        <v>64</v>
      </c>
      <c r="D253">
        <v>45</v>
      </c>
      <c r="E253" t="s">
        <v>18</v>
      </c>
      <c r="F253" t="s">
        <v>29</v>
      </c>
      <c r="G253" t="s">
        <v>23</v>
      </c>
      <c r="H253">
        <v>142.4</v>
      </c>
      <c r="I253">
        <v>6129.01</v>
      </c>
      <c r="J253" t="s">
        <v>15</v>
      </c>
    </row>
    <row r="254" spans="1:10" x14ac:dyDescent="0.35">
      <c r="A254" t="s">
        <v>276</v>
      </c>
      <c r="B254" t="s">
        <v>17</v>
      </c>
      <c r="C254">
        <v>25</v>
      </c>
      <c r="D254">
        <v>8</v>
      </c>
      <c r="E254" t="s">
        <v>18</v>
      </c>
      <c r="F254" t="s">
        <v>29</v>
      </c>
      <c r="G254" t="s">
        <v>19</v>
      </c>
      <c r="H254">
        <v>88.86</v>
      </c>
      <c r="I254">
        <v>723.01</v>
      </c>
      <c r="J254" t="s">
        <v>15</v>
      </c>
    </row>
    <row r="255" spans="1:10" x14ac:dyDescent="0.35">
      <c r="A255" t="s">
        <v>277</v>
      </c>
      <c r="B255" t="s">
        <v>11</v>
      </c>
      <c r="C255">
        <v>57</v>
      </c>
      <c r="D255">
        <v>53</v>
      </c>
      <c r="E255" t="s">
        <v>12</v>
      </c>
      <c r="F255" t="s">
        <v>29</v>
      </c>
      <c r="G255" t="s">
        <v>23</v>
      </c>
      <c r="H255">
        <v>115.21</v>
      </c>
      <c r="I255">
        <v>5808.66</v>
      </c>
      <c r="J255" t="s">
        <v>15</v>
      </c>
    </row>
    <row r="256" spans="1:10" x14ac:dyDescent="0.35">
      <c r="A256" t="s">
        <v>278</v>
      </c>
      <c r="B256" t="s">
        <v>11</v>
      </c>
      <c r="C256">
        <v>66</v>
      </c>
      <c r="D256">
        <v>55</v>
      </c>
      <c r="E256" t="s">
        <v>12</v>
      </c>
      <c r="F256" t="s">
        <v>29</v>
      </c>
      <c r="G256" t="s">
        <v>23</v>
      </c>
      <c r="H256">
        <v>140.13</v>
      </c>
      <c r="I256">
        <v>8376.1</v>
      </c>
      <c r="J256" t="s">
        <v>27</v>
      </c>
    </row>
    <row r="257" spans="1:10" x14ac:dyDescent="0.35">
      <c r="A257" t="s">
        <v>279</v>
      </c>
      <c r="B257" t="s">
        <v>11</v>
      </c>
      <c r="C257">
        <v>61</v>
      </c>
      <c r="D257">
        <v>32</v>
      </c>
      <c r="E257" t="s">
        <v>18</v>
      </c>
      <c r="F257" t="s">
        <v>22</v>
      </c>
      <c r="G257" t="s">
        <v>23</v>
      </c>
      <c r="H257">
        <v>146.77000000000001</v>
      </c>
      <c r="I257">
        <v>4350.08</v>
      </c>
      <c r="J257" t="s">
        <v>15</v>
      </c>
    </row>
    <row r="258" spans="1:10" x14ac:dyDescent="0.35">
      <c r="A258" t="s">
        <v>280</v>
      </c>
      <c r="B258" t="s">
        <v>11</v>
      </c>
      <c r="C258">
        <v>36</v>
      </c>
      <c r="D258">
        <v>51</v>
      </c>
      <c r="E258" t="s">
        <v>21</v>
      </c>
      <c r="F258" t="s">
        <v>13</v>
      </c>
      <c r="G258" t="s">
        <v>14</v>
      </c>
      <c r="H258">
        <v>128.32</v>
      </c>
      <c r="I258">
        <v>6933.57</v>
      </c>
      <c r="J258" t="s">
        <v>15</v>
      </c>
    </row>
    <row r="259" spans="1:10" x14ac:dyDescent="0.35">
      <c r="A259" t="s">
        <v>281</v>
      </c>
      <c r="B259" t="s">
        <v>17</v>
      </c>
      <c r="C259">
        <v>59</v>
      </c>
      <c r="D259">
        <v>44</v>
      </c>
      <c r="E259" t="s">
        <v>12</v>
      </c>
      <c r="F259" t="s">
        <v>33</v>
      </c>
      <c r="G259" t="s">
        <v>23</v>
      </c>
      <c r="H259">
        <v>59.39</v>
      </c>
      <c r="I259">
        <v>2617.31</v>
      </c>
      <c r="J259" t="s">
        <v>15</v>
      </c>
    </row>
    <row r="260" spans="1:10" x14ac:dyDescent="0.35">
      <c r="A260" t="s">
        <v>282</v>
      </c>
      <c r="B260" t="s">
        <v>17</v>
      </c>
      <c r="C260">
        <v>58</v>
      </c>
      <c r="D260">
        <v>70</v>
      </c>
      <c r="E260" t="s">
        <v>18</v>
      </c>
      <c r="F260" t="s">
        <v>13</v>
      </c>
      <c r="G260" t="s">
        <v>23</v>
      </c>
      <c r="H260">
        <v>145.65</v>
      </c>
      <c r="I260">
        <v>10705.95</v>
      </c>
      <c r="J260" t="s">
        <v>15</v>
      </c>
    </row>
    <row r="261" spans="1:10" x14ac:dyDescent="0.35">
      <c r="A261" t="s">
        <v>283</v>
      </c>
      <c r="B261" t="s">
        <v>11</v>
      </c>
      <c r="C261">
        <v>54</v>
      </c>
      <c r="D261">
        <v>18</v>
      </c>
      <c r="E261" t="s">
        <v>12</v>
      </c>
      <c r="F261" t="s">
        <v>22</v>
      </c>
      <c r="G261" t="s">
        <v>23</v>
      </c>
      <c r="H261">
        <v>101.66</v>
      </c>
      <c r="I261">
        <v>1760.61</v>
      </c>
      <c r="J261" t="s">
        <v>27</v>
      </c>
    </row>
    <row r="262" spans="1:10" x14ac:dyDescent="0.35">
      <c r="A262" t="s">
        <v>284</v>
      </c>
      <c r="B262" t="s">
        <v>11</v>
      </c>
      <c r="C262">
        <v>23</v>
      </c>
      <c r="D262">
        <v>22</v>
      </c>
      <c r="E262" t="s">
        <v>12</v>
      </c>
      <c r="F262" t="s">
        <v>33</v>
      </c>
      <c r="G262" t="s">
        <v>19</v>
      </c>
      <c r="H262">
        <v>140.97999999999999</v>
      </c>
      <c r="I262">
        <v>3110.55</v>
      </c>
      <c r="J262" t="s">
        <v>27</v>
      </c>
    </row>
    <row r="263" spans="1:10" x14ac:dyDescent="0.35">
      <c r="A263" t="s">
        <v>285</v>
      </c>
      <c r="B263" t="s">
        <v>17</v>
      </c>
      <c r="C263">
        <v>69</v>
      </c>
      <c r="D263">
        <v>37</v>
      </c>
      <c r="E263" t="s">
        <v>12</v>
      </c>
      <c r="F263" t="s">
        <v>22</v>
      </c>
      <c r="G263" t="s">
        <v>23</v>
      </c>
      <c r="H263">
        <v>107.89</v>
      </c>
      <c r="I263">
        <v>4276.82</v>
      </c>
      <c r="J263" t="s">
        <v>15</v>
      </c>
    </row>
    <row r="264" spans="1:10" x14ac:dyDescent="0.35">
      <c r="A264" t="s">
        <v>286</v>
      </c>
      <c r="B264" t="s">
        <v>11</v>
      </c>
      <c r="C264">
        <v>43</v>
      </c>
      <c r="D264">
        <v>56</v>
      </c>
      <c r="E264" t="s">
        <v>21</v>
      </c>
      <c r="F264" t="s">
        <v>13</v>
      </c>
      <c r="G264" t="s">
        <v>14</v>
      </c>
      <c r="H264">
        <v>59.94</v>
      </c>
      <c r="I264">
        <v>3334.4</v>
      </c>
      <c r="J264" t="s">
        <v>15</v>
      </c>
    </row>
    <row r="265" spans="1:10" x14ac:dyDescent="0.35">
      <c r="A265" t="s">
        <v>287</v>
      </c>
      <c r="B265" t="s">
        <v>11</v>
      </c>
      <c r="C265">
        <v>51</v>
      </c>
      <c r="D265">
        <v>59</v>
      </c>
      <c r="E265" t="s">
        <v>21</v>
      </c>
      <c r="F265" t="s">
        <v>22</v>
      </c>
      <c r="G265" t="s">
        <v>23</v>
      </c>
      <c r="H265">
        <v>68.099999999999994</v>
      </c>
      <c r="I265">
        <v>3905.17</v>
      </c>
      <c r="J265" t="s">
        <v>15</v>
      </c>
    </row>
    <row r="266" spans="1:10" x14ac:dyDescent="0.35">
      <c r="A266" t="s">
        <v>288</v>
      </c>
      <c r="B266" t="s">
        <v>11</v>
      </c>
      <c r="C266">
        <v>62</v>
      </c>
      <c r="D266">
        <v>3</v>
      </c>
      <c r="E266" t="s">
        <v>21</v>
      </c>
      <c r="F266" t="s">
        <v>29</v>
      </c>
      <c r="G266" t="s">
        <v>23</v>
      </c>
      <c r="H266">
        <v>91.56</v>
      </c>
      <c r="I266">
        <v>276.67</v>
      </c>
      <c r="J266" t="s">
        <v>27</v>
      </c>
    </row>
    <row r="267" spans="1:10" x14ac:dyDescent="0.35">
      <c r="A267" t="s">
        <v>289</v>
      </c>
      <c r="B267" t="s">
        <v>17</v>
      </c>
      <c r="C267">
        <v>23</v>
      </c>
      <c r="D267">
        <v>28</v>
      </c>
      <c r="E267" t="s">
        <v>12</v>
      </c>
      <c r="F267" t="s">
        <v>29</v>
      </c>
      <c r="G267" t="s">
        <v>19</v>
      </c>
      <c r="H267">
        <v>122.7</v>
      </c>
      <c r="I267">
        <v>3584.95</v>
      </c>
      <c r="J267" t="s">
        <v>27</v>
      </c>
    </row>
    <row r="268" spans="1:10" x14ac:dyDescent="0.35">
      <c r="A268" t="s">
        <v>290</v>
      </c>
      <c r="B268" t="s">
        <v>17</v>
      </c>
      <c r="C268">
        <v>54</v>
      </c>
      <c r="D268">
        <v>35</v>
      </c>
      <c r="E268" t="s">
        <v>12</v>
      </c>
      <c r="F268" t="s">
        <v>13</v>
      </c>
      <c r="G268" t="s">
        <v>23</v>
      </c>
      <c r="H268">
        <v>61.34</v>
      </c>
      <c r="I268">
        <v>2122.67</v>
      </c>
      <c r="J268" t="s">
        <v>27</v>
      </c>
    </row>
    <row r="269" spans="1:10" x14ac:dyDescent="0.35">
      <c r="A269" t="s">
        <v>291</v>
      </c>
      <c r="B269" t="s">
        <v>17</v>
      </c>
      <c r="C269">
        <v>50</v>
      </c>
      <c r="D269">
        <v>61</v>
      </c>
      <c r="E269" t="s">
        <v>12</v>
      </c>
      <c r="F269" t="s">
        <v>13</v>
      </c>
      <c r="G269" t="s">
        <v>23</v>
      </c>
      <c r="H269">
        <v>95.37</v>
      </c>
      <c r="I269">
        <v>6328.21</v>
      </c>
      <c r="J269" t="s">
        <v>27</v>
      </c>
    </row>
    <row r="270" spans="1:10" x14ac:dyDescent="0.35">
      <c r="A270" t="s">
        <v>292</v>
      </c>
      <c r="B270" t="s">
        <v>11</v>
      </c>
      <c r="C270">
        <v>70</v>
      </c>
      <c r="D270">
        <v>54</v>
      </c>
      <c r="E270" t="s">
        <v>21</v>
      </c>
      <c r="F270" t="s">
        <v>29</v>
      </c>
      <c r="G270" t="s">
        <v>23</v>
      </c>
      <c r="H270">
        <v>64.930000000000007</v>
      </c>
      <c r="I270">
        <v>3362.43</v>
      </c>
      <c r="J270" t="s">
        <v>15</v>
      </c>
    </row>
    <row r="271" spans="1:10" x14ac:dyDescent="0.35">
      <c r="A271" t="s">
        <v>293</v>
      </c>
      <c r="B271" t="s">
        <v>11</v>
      </c>
      <c r="C271">
        <v>39</v>
      </c>
      <c r="D271">
        <v>63</v>
      </c>
      <c r="E271" t="s">
        <v>12</v>
      </c>
      <c r="F271" t="s">
        <v>33</v>
      </c>
      <c r="G271" t="s">
        <v>14</v>
      </c>
      <c r="H271">
        <v>126.05</v>
      </c>
      <c r="I271">
        <v>7902.18</v>
      </c>
      <c r="J271" t="s">
        <v>15</v>
      </c>
    </row>
    <row r="272" spans="1:10" x14ac:dyDescent="0.35">
      <c r="A272" t="s">
        <v>294</v>
      </c>
      <c r="B272" t="s">
        <v>17</v>
      </c>
      <c r="C272">
        <v>38</v>
      </c>
      <c r="D272">
        <v>7</v>
      </c>
      <c r="E272" t="s">
        <v>12</v>
      </c>
      <c r="F272" t="s">
        <v>22</v>
      </c>
      <c r="G272" t="s">
        <v>14</v>
      </c>
      <c r="H272">
        <v>80.67</v>
      </c>
      <c r="I272">
        <v>593.71</v>
      </c>
      <c r="J272" t="s">
        <v>27</v>
      </c>
    </row>
    <row r="273" spans="1:10" x14ac:dyDescent="0.35">
      <c r="A273" t="s">
        <v>295</v>
      </c>
      <c r="B273" t="s">
        <v>17</v>
      </c>
      <c r="C273">
        <v>23</v>
      </c>
      <c r="D273">
        <v>49</v>
      </c>
      <c r="E273" t="s">
        <v>18</v>
      </c>
      <c r="F273" t="s">
        <v>13</v>
      </c>
      <c r="G273" t="s">
        <v>19</v>
      </c>
      <c r="H273">
        <v>29.97</v>
      </c>
      <c r="I273">
        <v>1524.08</v>
      </c>
      <c r="J273" t="s">
        <v>15</v>
      </c>
    </row>
    <row r="274" spans="1:10" x14ac:dyDescent="0.35">
      <c r="A274" t="s">
        <v>296</v>
      </c>
      <c r="B274" t="s">
        <v>17</v>
      </c>
      <c r="C274">
        <v>23</v>
      </c>
      <c r="D274">
        <v>31</v>
      </c>
      <c r="E274" t="s">
        <v>12</v>
      </c>
      <c r="F274" t="s">
        <v>33</v>
      </c>
      <c r="G274" t="s">
        <v>19</v>
      </c>
      <c r="H274">
        <v>41.59</v>
      </c>
      <c r="I274">
        <v>1383.06</v>
      </c>
      <c r="J274" t="s">
        <v>27</v>
      </c>
    </row>
    <row r="275" spans="1:10" x14ac:dyDescent="0.35">
      <c r="A275" t="s">
        <v>297</v>
      </c>
      <c r="B275" t="s">
        <v>17</v>
      </c>
      <c r="C275">
        <v>65</v>
      </c>
      <c r="D275">
        <v>58</v>
      </c>
      <c r="E275" t="s">
        <v>18</v>
      </c>
      <c r="F275" t="s">
        <v>13</v>
      </c>
      <c r="G275" t="s">
        <v>23</v>
      </c>
      <c r="H275">
        <v>27.94</v>
      </c>
      <c r="I275">
        <v>1781.54</v>
      </c>
      <c r="J275" t="s">
        <v>15</v>
      </c>
    </row>
    <row r="276" spans="1:10" x14ac:dyDescent="0.35">
      <c r="A276" t="s">
        <v>298</v>
      </c>
      <c r="B276" t="s">
        <v>11</v>
      </c>
      <c r="C276">
        <v>21</v>
      </c>
      <c r="D276">
        <v>61</v>
      </c>
      <c r="E276" t="s">
        <v>12</v>
      </c>
      <c r="F276" t="s">
        <v>33</v>
      </c>
      <c r="G276" t="s">
        <v>19</v>
      </c>
      <c r="H276">
        <v>84.91</v>
      </c>
      <c r="I276">
        <v>5103.74</v>
      </c>
      <c r="J276" t="s">
        <v>27</v>
      </c>
    </row>
    <row r="277" spans="1:10" x14ac:dyDescent="0.35">
      <c r="A277" t="s">
        <v>299</v>
      </c>
      <c r="B277" t="s">
        <v>17</v>
      </c>
      <c r="C277">
        <v>47</v>
      </c>
      <c r="D277">
        <v>24</v>
      </c>
      <c r="E277" t="s">
        <v>21</v>
      </c>
      <c r="F277" t="s">
        <v>13</v>
      </c>
      <c r="G277" t="s">
        <v>14</v>
      </c>
      <c r="H277">
        <v>33.82</v>
      </c>
      <c r="I277">
        <v>748.56</v>
      </c>
      <c r="J277" t="s">
        <v>15</v>
      </c>
    </row>
    <row r="278" spans="1:10" x14ac:dyDescent="0.35">
      <c r="A278" t="s">
        <v>300</v>
      </c>
      <c r="B278" t="s">
        <v>11</v>
      </c>
      <c r="C278">
        <v>28</v>
      </c>
      <c r="D278">
        <v>20</v>
      </c>
      <c r="E278" t="s">
        <v>12</v>
      </c>
      <c r="F278" t="s">
        <v>29</v>
      </c>
      <c r="G278" t="s">
        <v>19</v>
      </c>
      <c r="H278">
        <v>34.840000000000003</v>
      </c>
      <c r="I278">
        <v>631.36</v>
      </c>
      <c r="J278" t="s">
        <v>15</v>
      </c>
    </row>
    <row r="279" spans="1:10" x14ac:dyDescent="0.35">
      <c r="A279" t="s">
        <v>301</v>
      </c>
      <c r="B279" t="s">
        <v>17</v>
      </c>
      <c r="C279">
        <v>47</v>
      </c>
      <c r="D279">
        <v>37</v>
      </c>
      <c r="E279" t="s">
        <v>18</v>
      </c>
      <c r="F279" t="s">
        <v>22</v>
      </c>
      <c r="G279" t="s">
        <v>14</v>
      </c>
      <c r="H279">
        <v>142.34</v>
      </c>
      <c r="I279">
        <v>5505.55</v>
      </c>
      <c r="J279" t="s">
        <v>15</v>
      </c>
    </row>
    <row r="280" spans="1:10" x14ac:dyDescent="0.35">
      <c r="A280" t="s">
        <v>302</v>
      </c>
      <c r="B280" t="s">
        <v>11</v>
      </c>
      <c r="C280">
        <v>48</v>
      </c>
      <c r="D280">
        <v>4</v>
      </c>
      <c r="E280" t="s">
        <v>12</v>
      </c>
      <c r="F280" t="s">
        <v>22</v>
      </c>
      <c r="G280" t="s">
        <v>14</v>
      </c>
      <c r="H280">
        <v>133.44999999999999</v>
      </c>
      <c r="I280">
        <v>573.73</v>
      </c>
      <c r="J280" t="s">
        <v>15</v>
      </c>
    </row>
    <row r="281" spans="1:10" x14ac:dyDescent="0.35">
      <c r="A281" t="s">
        <v>303</v>
      </c>
      <c r="B281" t="s">
        <v>17</v>
      </c>
      <c r="C281">
        <v>41</v>
      </c>
      <c r="D281">
        <v>20</v>
      </c>
      <c r="E281" t="s">
        <v>12</v>
      </c>
      <c r="F281" t="s">
        <v>22</v>
      </c>
      <c r="G281" t="s">
        <v>14</v>
      </c>
      <c r="H281">
        <v>78.77</v>
      </c>
      <c r="I281">
        <v>1487.4</v>
      </c>
      <c r="J281" t="s">
        <v>15</v>
      </c>
    </row>
    <row r="282" spans="1:10" x14ac:dyDescent="0.35">
      <c r="A282" t="s">
        <v>304</v>
      </c>
      <c r="B282" t="s">
        <v>17</v>
      </c>
      <c r="C282">
        <v>26</v>
      </c>
      <c r="D282">
        <v>60</v>
      </c>
      <c r="E282" t="s">
        <v>12</v>
      </c>
      <c r="F282" t="s">
        <v>33</v>
      </c>
      <c r="G282" t="s">
        <v>19</v>
      </c>
      <c r="H282">
        <v>148.15</v>
      </c>
      <c r="I282">
        <v>8281.7900000000009</v>
      </c>
      <c r="J282" t="s">
        <v>15</v>
      </c>
    </row>
    <row r="283" spans="1:10" x14ac:dyDescent="0.35">
      <c r="A283" t="s">
        <v>305</v>
      </c>
      <c r="B283" t="s">
        <v>17</v>
      </c>
      <c r="C283">
        <v>20</v>
      </c>
      <c r="D283">
        <v>24</v>
      </c>
      <c r="E283" t="s">
        <v>12</v>
      </c>
      <c r="F283" t="s">
        <v>22</v>
      </c>
      <c r="G283" t="s">
        <v>19</v>
      </c>
      <c r="H283">
        <v>20.02</v>
      </c>
      <c r="I283">
        <v>438.41</v>
      </c>
      <c r="J283" t="s">
        <v>27</v>
      </c>
    </row>
    <row r="284" spans="1:10" x14ac:dyDescent="0.35">
      <c r="A284" t="s">
        <v>306</v>
      </c>
      <c r="B284" t="s">
        <v>17</v>
      </c>
      <c r="C284">
        <v>68</v>
      </c>
      <c r="D284">
        <v>50</v>
      </c>
      <c r="E284" t="s">
        <v>12</v>
      </c>
      <c r="F284" t="s">
        <v>22</v>
      </c>
      <c r="G284" t="s">
        <v>23</v>
      </c>
      <c r="H284">
        <v>99.82</v>
      </c>
      <c r="I284">
        <v>5313.12</v>
      </c>
      <c r="J284" t="s">
        <v>15</v>
      </c>
    </row>
    <row r="285" spans="1:10" x14ac:dyDescent="0.35">
      <c r="A285" t="s">
        <v>307</v>
      </c>
      <c r="B285" t="s">
        <v>11</v>
      </c>
      <c r="C285">
        <v>48</v>
      </c>
      <c r="D285">
        <v>49</v>
      </c>
      <c r="E285" t="s">
        <v>18</v>
      </c>
      <c r="F285" t="s">
        <v>33</v>
      </c>
      <c r="G285" t="s">
        <v>14</v>
      </c>
      <c r="I285">
        <v>4721.76</v>
      </c>
      <c r="J285" t="s">
        <v>15</v>
      </c>
    </row>
    <row r="286" spans="1:10" x14ac:dyDescent="0.35">
      <c r="A286" t="s">
        <v>308</v>
      </c>
      <c r="B286" t="s">
        <v>17</v>
      </c>
      <c r="C286">
        <v>57</v>
      </c>
      <c r="D286">
        <v>51</v>
      </c>
      <c r="E286" t="s">
        <v>12</v>
      </c>
      <c r="F286" t="s">
        <v>22</v>
      </c>
      <c r="G286" t="s">
        <v>23</v>
      </c>
      <c r="H286">
        <v>79.47</v>
      </c>
      <c r="I286">
        <v>3973.29</v>
      </c>
      <c r="J286" t="s">
        <v>27</v>
      </c>
    </row>
    <row r="287" spans="1:10" x14ac:dyDescent="0.35">
      <c r="A287" t="s">
        <v>309</v>
      </c>
      <c r="B287" t="s">
        <v>11</v>
      </c>
      <c r="C287">
        <v>54</v>
      </c>
      <c r="D287">
        <v>36</v>
      </c>
      <c r="E287" t="s">
        <v>21</v>
      </c>
      <c r="F287" t="s">
        <v>13</v>
      </c>
      <c r="G287" t="s">
        <v>23</v>
      </c>
      <c r="H287">
        <v>71.599999999999994</v>
      </c>
      <c r="I287">
        <v>2579.02</v>
      </c>
      <c r="J287" t="s">
        <v>15</v>
      </c>
    </row>
    <row r="288" spans="1:10" x14ac:dyDescent="0.35">
      <c r="A288" t="s">
        <v>310</v>
      </c>
      <c r="B288" t="s">
        <v>11</v>
      </c>
      <c r="C288">
        <v>53</v>
      </c>
      <c r="D288">
        <v>66</v>
      </c>
      <c r="E288" t="s">
        <v>21</v>
      </c>
      <c r="F288" t="s">
        <v>33</v>
      </c>
      <c r="G288" t="s">
        <v>23</v>
      </c>
      <c r="H288">
        <v>79.2</v>
      </c>
      <c r="I288">
        <v>5582.08</v>
      </c>
      <c r="J288" t="s">
        <v>15</v>
      </c>
    </row>
    <row r="289" spans="1:10" x14ac:dyDescent="0.35">
      <c r="A289" t="s">
        <v>311</v>
      </c>
      <c r="B289" t="s">
        <v>11</v>
      </c>
      <c r="C289">
        <v>41</v>
      </c>
      <c r="D289">
        <v>34</v>
      </c>
      <c r="E289" t="s">
        <v>21</v>
      </c>
      <c r="F289" t="s">
        <v>29</v>
      </c>
      <c r="G289" t="s">
        <v>14</v>
      </c>
      <c r="H289">
        <v>73.94</v>
      </c>
      <c r="I289">
        <v>2589.8000000000002</v>
      </c>
      <c r="J289" t="s">
        <v>15</v>
      </c>
    </row>
    <row r="290" spans="1:10" x14ac:dyDescent="0.35">
      <c r="A290" t="s">
        <v>312</v>
      </c>
      <c r="B290" t="s">
        <v>11</v>
      </c>
      <c r="C290">
        <v>48</v>
      </c>
      <c r="D290">
        <v>36</v>
      </c>
      <c r="E290" t="s">
        <v>12</v>
      </c>
      <c r="F290" t="s">
        <v>22</v>
      </c>
      <c r="G290" t="s">
        <v>14</v>
      </c>
      <c r="H290">
        <v>114.96</v>
      </c>
      <c r="I290">
        <v>4233.8</v>
      </c>
      <c r="J290" t="s">
        <v>15</v>
      </c>
    </row>
    <row r="291" spans="1:10" x14ac:dyDescent="0.35">
      <c r="A291" t="s">
        <v>313</v>
      </c>
      <c r="B291" t="s">
        <v>17</v>
      </c>
      <c r="C291">
        <v>23</v>
      </c>
      <c r="D291">
        <v>6</v>
      </c>
      <c r="E291" t="s">
        <v>12</v>
      </c>
      <c r="F291" t="s">
        <v>33</v>
      </c>
      <c r="G291" t="s">
        <v>19</v>
      </c>
      <c r="H291">
        <v>37.6</v>
      </c>
      <c r="I291">
        <v>210.97</v>
      </c>
      <c r="J291" t="s">
        <v>15</v>
      </c>
    </row>
    <row r="292" spans="1:10" x14ac:dyDescent="0.35">
      <c r="A292" t="s">
        <v>314</v>
      </c>
      <c r="B292" t="s">
        <v>11</v>
      </c>
      <c r="C292">
        <v>19</v>
      </c>
      <c r="D292">
        <v>39</v>
      </c>
      <c r="E292" t="s">
        <v>21</v>
      </c>
      <c r="F292" t="s">
        <v>22</v>
      </c>
      <c r="G292" t="s">
        <v>19</v>
      </c>
      <c r="H292">
        <v>45.69</v>
      </c>
      <c r="I292">
        <v>1786.61</v>
      </c>
      <c r="J292" t="s">
        <v>15</v>
      </c>
    </row>
    <row r="293" spans="1:10" x14ac:dyDescent="0.35">
      <c r="A293" t="s">
        <v>315</v>
      </c>
      <c r="B293" t="s">
        <v>11</v>
      </c>
      <c r="C293">
        <v>37</v>
      </c>
      <c r="D293">
        <v>42</v>
      </c>
      <c r="E293" t="s">
        <v>18</v>
      </c>
      <c r="F293" t="s">
        <v>22</v>
      </c>
      <c r="G293" t="s">
        <v>14</v>
      </c>
      <c r="H293">
        <v>43.47</v>
      </c>
      <c r="I293">
        <v>1904.39</v>
      </c>
      <c r="J293" t="s">
        <v>15</v>
      </c>
    </row>
    <row r="294" spans="1:10" x14ac:dyDescent="0.35">
      <c r="A294" t="s">
        <v>316</v>
      </c>
      <c r="B294" t="s">
        <v>11</v>
      </c>
      <c r="C294">
        <v>45</v>
      </c>
      <c r="D294">
        <v>58</v>
      </c>
      <c r="E294" t="s">
        <v>12</v>
      </c>
      <c r="F294" t="s">
        <v>22</v>
      </c>
      <c r="G294" t="s">
        <v>14</v>
      </c>
      <c r="H294">
        <v>54.12</v>
      </c>
      <c r="I294">
        <v>3436.07</v>
      </c>
      <c r="J294" t="s">
        <v>15</v>
      </c>
    </row>
    <row r="295" spans="1:10" x14ac:dyDescent="0.35">
      <c r="A295" t="s">
        <v>317</v>
      </c>
      <c r="B295" t="s">
        <v>17</v>
      </c>
      <c r="C295">
        <v>28</v>
      </c>
      <c r="D295">
        <v>12</v>
      </c>
      <c r="E295" t="s">
        <v>12</v>
      </c>
      <c r="F295" t="s">
        <v>13</v>
      </c>
      <c r="G295" t="s">
        <v>19</v>
      </c>
      <c r="H295">
        <v>88.28</v>
      </c>
      <c r="I295">
        <v>996.1</v>
      </c>
      <c r="J295" t="s">
        <v>15</v>
      </c>
    </row>
    <row r="296" spans="1:10" x14ac:dyDescent="0.35">
      <c r="A296" t="s">
        <v>318</v>
      </c>
      <c r="B296" t="s">
        <v>17</v>
      </c>
      <c r="C296">
        <v>21</v>
      </c>
      <c r="D296">
        <v>3</v>
      </c>
      <c r="E296" t="s">
        <v>12</v>
      </c>
      <c r="F296" t="s">
        <v>33</v>
      </c>
      <c r="G296" t="s">
        <v>19</v>
      </c>
      <c r="H296">
        <v>34.46</v>
      </c>
      <c r="I296">
        <v>93.24</v>
      </c>
      <c r="J296" t="s">
        <v>15</v>
      </c>
    </row>
    <row r="297" spans="1:10" x14ac:dyDescent="0.35">
      <c r="A297" t="s">
        <v>319</v>
      </c>
      <c r="B297" t="s">
        <v>17</v>
      </c>
      <c r="C297">
        <v>32</v>
      </c>
      <c r="D297">
        <v>18</v>
      </c>
      <c r="E297" t="s">
        <v>18</v>
      </c>
      <c r="F297" t="s">
        <v>29</v>
      </c>
      <c r="G297" t="s">
        <v>14</v>
      </c>
      <c r="H297">
        <v>132.86000000000001</v>
      </c>
      <c r="I297">
        <v>2188.35</v>
      </c>
      <c r="J297" t="s">
        <v>15</v>
      </c>
    </row>
    <row r="298" spans="1:10" x14ac:dyDescent="0.35">
      <c r="A298" t="s">
        <v>320</v>
      </c>
      <c r="B298" t="s">
        <v>17</v>
      </c>
      <c r="C298">
        <v>23</v>
      </c>
      <c r="D298">
        <v>40</v>
      </c>
      <c r="E298" t="s">
        <v>12</v>
      </c>
      <c r="F298" t="s">
        <v>29</v>
      </c>
      <c r="G298" t="s">
        <v>19</v>
      </c>
      <c r="H298">
        <v>58.66</v>
      </c>
      <c r="I298">
        <v>2288.14</v>
      </c>
      <c r="J298" t="s">
        <v>15</v>
      </c>
    </row>
    <row r="299" spans="1:10" x14ac:dyDescent="0.35">
      <c r="A299" t="s">
        <v>321</v>
      </c>
      <c r="B299" t="s">
        <v>11</v>
      </c>
      <c r="C299">
        <v>66</v>
      </c>
      <c r="D299">
        <v>21</v>
      </c>
      <c r="E299" t="s">
        <v>12</v>
      </c>
      <c r="F299" t="s">
        <v>29</v>
      </c>
      <c r="G299" t="s">
        <v>23</v>
      </c>
      <c r="H299">
        <v>41.13</v>
      </c>
      <c r="I299">
        <v>919.1</v>
      </c>
      <c r="J299" t="s">
        <v>15</v>
      </c>
    </row>
    <row r="300" spans="1:10" x14ac:dyDescent="0.35">
      <c r="A300" t="s">
        <v>322</v>
      </c>
      <c r="B300" t="s">
        <v>11</v>
      </c>
      <c r="C300">
        <v>47</v>
      </c>
      <c r="D300">
        <v>15</v>
      </c>
      <c r="E300" t="s">
        <v>18</v>
      </c>
      <c r="F300" t="s">
        <v>13</v>
      </c>
      <c r="G300" t="s">
        <v>14</v>
      </c>
      <c r="H300">
        <v>107.83</v>
      </c>
      <c r="I300">
        <v>1458.02</v>
      </c>
      <c r="J300" t="s">
        <v>15</v>
      </c>
    </row>
    <row r="301" spans="1:10" x14ac:dyDescent="0.35">
      <c r="A301" t="s">
        <v>323</v>
      </c>
      <c r="B301" t="s">
        <v>17</v>
      </c>
      <c r="C301">
        <v>55</v>
      </c>
      <c r="D301">
        <v>26</v>
      </c>
      <c r="E301" t="s">
        <v>12</v>
      </c>
      <c r="F301" t="s">
        <v>13</v>
      </c>
      <c r="G301" t="s">
        <v>23</v>
      </c>
      <c r="H301">
        <v>24.95</v>
      </c>
      <c r="I301">
        <v>643.09</v>
      </c>
      <c r="J301" t="s">
        <v>15</v>
      </c>
    </row>
    <row r="302" spans="1:10" x14ac:dyDescent="0.35">
      <c r="A302" t="s">
        <v>324</v>
      </c>
      <c r="B302" t="s">
        <v>11</v>
      </c>
      <c r="C302">
        <v>68</v>
      </c>
      <c r="D302">
        <v>8</v>
      </c>
      <c r="E302" t="s">
        <v>12</v>
      </c>
      <c r="F302" t="s">
        <v>33</v>
      </c>
      <c r="G302" t="s">
        <v>23</v>
      </c>
      <c r="H302">
        <v>100.6</v>
      </c>
      <c r="I302">
        <v>777.31</v>
      </c>
      <c r="J302" t="s">
        <v>27</v>
      </c>
    </row>
    <row r="303" spans="1:10" x14ac:dyDescent="0.35">
      <c r="A303" t="s">
        <v>325</v>
      </c>
      <c r="B303" t="s">
        <v>11</v>
      </c>
      <c r="C303">
        <v>19</v>
      </c>
      <c r="D303">
        <v>42</v>
      </c>
      <c r="E303" t="s">
        <v>21</v>
      </c>
      <c r="F303" t="s">
        <v>13</v>
      </c>
      <c r="G303" t="s">
        <v>19</v>
      </c>
      <c r="H303">
        <v>110.77</v>
      </c>
      <c r="I303">
        <v>4235.9399999999996</v>
      </c>
      <c r="J303" t="s">
        <v>27</v>
      </c>
    </row>
    <row r="304" spans="1:10" x14ac:dyDescent="0.35">
      <c r="A304" t="s">
        <v>326</v>
      </c>
      <c r="B304" t="s">
        <v>11</v>
      </c>
      <c r="C304">
        <v>32</v>
      </c>
      <c r="D304">
        <v>44</v>
      </c>
      <c r="E304" t="s">
        <v>18</v>
      </c>
      <c r="F304" t="s">
        <v>13</v>
      </c>
      <c r="G304" t="s">
        <v>14</v>
      </c>
      <c r="H304">
        <v>47.94</v>
      </c>
      <c r="I304">
        <v>2088.37</v>
      </c>
      <c r="J304" t="s">
        <v>15</v>
      </c>
    </row>
    <row r="305" spans="1:10" x14ac:dyDescent="0.35">
      <c r="A305" t="s">
        <v>327</v>
      </c>
      <c r="B305" t="s">
        <v>17</v>
      </c>
      <c r="C305">
        <v>28</v>
      </c>
      <c r="D305">
        <v>14</v>
      </c>
      <c r="E305" t="s">
        <v>12</v>
      </c>
      <c r="F305" t="s">
        <v>29</v>
      </c>
      <c r="G305" t="s">
        <v>19</v>
      </c>
      <c r="H305">
        <v>25.46</v>
      </c>
      <c r="I305">
        <v>338.96</v>
      </c>
      <c r="J305" t="s">
        <v>15</v>
      </c>
    </row>
    <row r="306" spans="1:10" x14ac:dyDescent="0.35">
      <c r="A306" t="s">
        <v>328</v>
      </c>
      <c r="B306" t="s">
        <v>17</v>
      </c>
      <c r="C306">
        <v>25</v>
      </c>
      <c r="D306">
        <v>2</v>
      </c>
      <c r="E306" t="s">
        <v>12</v>
      </c>
      <c r="F306" t="s">
        <v>13</v>
      </c>
      <c r="G306" t="s">
        <v>19</v>
      </c>
      <c r="H306">
        <v>67.27</v>
      </c>
      <c r="I306">
        <v>130.55000000000001</v>
      </c>
      <c r="J306" t="s">
        <v>27</v>
      </c>
    </row>
    <row r="307" spans="1:10" x14ac:dyDescent="0.35">
      <c r="A307" t="s">
        <v>329</v>
      </c>
      <c r="B307" t="s">
        <v>11</v>
      </c>
      <c r="C307">
        <v>43</v>
      </c>
      <c r="D307">
        <v>37</v>
      </c>
      <c r="E307" t="s">
        <v>12</v>
      </c>
      <c r="F307" t="s">
        <v>22</v>
      </c>
      <c r="G307" t="s">
        <v>14</v>
      </c>
      <c r="H307">
        <v>32.82</v>
      </c>
      <c r="I307">
        <v>1264.28</v>
      </c>
      <c r="J307" t="s">
        <v>27</v>
      </c>
    </row>
    <row r="308" spans="1:10" x14ac:dyDescent="0.35">
      <c r="A308" t="s">
        <v>330</v>
      </c>
      <c r="B308" t="s">
        <v>17</v>
      </c>
      <c r="C308">
        <v>68</v>
      </c>
      <c r="D308">
        <v>69</v>
      </c>
      <c r="E308" t="s">
        <v>12</v>
      </c>
      <c r="F308" t="s">
        <v>29</v>
      </c>
      <c r="G308" t="s">
        <v>23</v>
      </c>
      <c r="H308">
        <v>35.14</v>
      </c>
      <c r="I308">
        <v>2435.11</v>
      </c>
      <c r="J308" t="s">
        <v>15</v>
      </c>
    </row>
    <row r="309" spans="1:10" x14ac:dyDescent="0.35">
      <c r="A309" t="s">
        <v>331</v>
      </c>
      <c r="B309" t="s">
        <v>17</v>
      </c>
      <c r="C309">
        <v>62</v>
      </c>
      <c r="D309">
        <v>38</v>
      </c>
      <c r="E309" t="s">
        <v>21</v>
      </c>
      <c r="F309" t="s">
        <v>29</v>
      </c>
      <c r="G309" t="s">
        <v>23</v>
      </c>
      <c r="H309">
        <v>53.05</v>
      </c>
      <c r="I309">
        <v>1864.57</v>
      </c>
      <c r="J309" t="s">
        <v>27</v>
      </c>
    </row>
    <row r="310" spans="1:10" x14ac:dyDescent="0.35">
      <c r="A310" t="s">
        <v>332</v>
      </c>
      <c r="B310" t="s">
        <v>17</v>
      </c>
      <c r="C310">
        <v>61</v>
      </c>
      <c r="D310">
        <v>41</v>
      </c>
      <c r="E310" t="s">
        <v>12</v>
      </c>
      <c r="F310" t="s">
        <v>29</v>
      </c>
      <c r="G310" t="s">
        <v>23</v>
      </c>
      <c r="H310">
        <v>58.41</v>
      </c>
      <c r="I310">
        <v>2615.81</v>
      </c>
      <c r="J310" t="s">
        <v>27</v>
      </c>
    </row>
    <row r="311" spans="1:10" x14ac:dyDescent="0.35">
      <c r="A311" t="s">
        <v>333</v>
      </c>
      <c r="B311" t="s">
        <v>17</v>
      </c>
      <c r="C311">
        <v>22</v>
      </c>
      <c r="D311">
        <v>62</v>
      </c>
      <c r="E311" t="s">
        <v>12</v>
      </c>
      <c r="F311" t="s">
        <v>29</v>
      </c>
      <c r="G311" t="s">
        <v>19</v>
      </c>
      <c r="H311">
        <v>88.9</v>
      </c>
      <c r="I311">
        <v>5661.62</v>
      </c>
      <c r="J311" t="s">
        <v>15</v>
      </c>
    </row>
    <row r="312" spans="1:10" x14ac:dyDescent="0.35">
      <c r="A312" t="s">
        <v>334</v>
      </c>
      <c r="B312" t="s">
        <v>17</v>
      </c>
      <c r="C312">
        <v>23</v>
      </c>
      <c r="D312">
        <v>60</v>
      </c>
      <c r="E312" t="s">
        <v>12</v>
      </c>
      <c r="F312" t="s">
        <v>13</v>
      </c>
      <c r="G312" t="s">
        <v>19</v>
      </c>
      <c r="H312">
        <v>108.19</v>
      </c>
      <c r="I312">
        <v>6836.57</v>
      </c>
      <c r="J312" t="s">
        <v>15</v>
      </c>
    </row>
    <row r="313" spans="1:10" x14ac:dyDescent="0.35">
      <c r="A313" t="s">
        <v>335</v>
      </c>
      <c r="B313" t="s">
        <v>11</v>
      </c>
      <c r="C313">
        <v>43</v>
      </c>
      <c r="D313">
        <v>14</v>
      </c>
      <c r="E313" t="s">
        <v>21</v>
      </c>
      <c r="F313" t="s">
        <v>29</v>
      </c>
      <c r="G313" t="s">
        <v>14</v>
      </c>
      <c r="H313">
        <v>97.06</v>
      </c>
      <c r="I313">
        <v>1244.48</v>
      </c>
      <c r="J313" t="s">
        <v>15</v>
      </c>
    </row>
    <row r="314" spans="1:10" x14ac:dyDescent="0.35">
      <c r="A314" t="s">
        <v>336</v>
      </c>
      <c r="B314" t="s">
        <v>17</v>
      </c>
      <c r="C314">
        <v>21</v>
      </c>
      <c r="D314">
        <v>2</v>
      </c>
      <c r="E314" t="s">
        <v>12</v>
      </c>
      <c r="F314" t="s">
        <v>22</v>
      </c>
      <c r="G314" t="s">
        <v>19</v>
      </c>
      <c r="H314">
        <v>39.29</v>
      </c>
      <c r="I314">
        <v>71.459999999999994</v>
      </c>
      <c r="J314" t="s">
        <v>15</v>
      </c>
    </row>
    <row r="315" spans="1:10" x14ac:dyDescent="0.35">
      <c r="A315" t="s">
        <v>337</v>
      </c>
      <c r="B315" t="s">
        <v>11</v>
      </c>
      <c r="C315">
        <v>36</v>
      </c>
      <c r="D315">
        <v>70</v>
      </c>
      <c r="E315" t="s">
        <v>18</v>
      </c>
      <c r="F315" t="s">
        <v>33</v>
      </c>
      <c r="G315" t="s">
        <v>14</v>
      </c>
      <c r="H315">
        <v>42.37</v>
      </c>
      <c r="I315">
        <v>2680.85</v>
      </c>
      <c r="J315" t="s">
        <v>15</v>
      </c>
    </row>
    <row r="316" spans="1:10" x14ac:dyDescent="0.35">
      <c r="A316" t="s">
        <v>338</v>
      </c>
      <c r="B316" t="s">
        <v>11</v>
      </c>
      <c r="C316">
        <v>37</v>
      </c>
      <c r="D316">
        <v>17</v>
      </c>
      <c r="E316" t="s">
        <v>12</v>
      </c>
      <c r="F316" t="s">
        <v>13</v>
      </c>
      <c r="G316" t="s">
        <v>14</v>
      </c>
      <c r="H316">
        <v>134.24</v>
      </c>
      <c r="I316">
        <v>2140.04</v>
      </c>
      <c r="J316" t="s">
        <v>27</v>
      </c>
    </row>
    <row r="317" spans="1:10" x14ac:dyDescent="0.35">
      <c r="A317" t="s">
        <v>339</v>
      </c>
      <c r="B317" t="s">
        <v>17</v>
      </c>
      <c r="C317">
        <v>50</v>
      </c>
      <c r="D317">
        <v>28</v>
      </c>
      <c r="E317" t="s">
        <v>18</v>
      </c>
      <c r="F317" t="s">
        <v>33</v>
      </c>
      <c r="G317" t="s">
        <v>23</v>
      </c>
      <c r="H317">
        <v>92.59</v>
      </c>
      <c r="I317">
        <v>2548.14</v>
      </c>
      <c r="J317" t="s">
        <v>15</v>
      </c>
    </row>
    <row r="318" spans="1:10" x14ac:dyDescent="0.35">
      <c r="A318" t="s">
        <v>340</v>
      </c>
      <c r="B318" t="s">
        <v>11</v>
      </c>
      <c r="C318">
        <v>37</v>
      </c>
      <c r="D318">
        <v>66</v>
      </c>
      <c r="E318" t="s">
        <v>18</v>
      </c>
      <c r="F318" t="s">
        <v>13</v>
      </c>
      <c r="G318" t="s">
        <v>14</v>
      </c>
      <c r="H318">
        <v>133.09</v>
      </c>
      <c r="I318">
        <v>9549.59</v>
      </c>
      <c r="J318" t="s">
        <v>15</v>
      </c>
    </row>
    <row r="319" spans="1:10" x14ac:dyDescent="0.35">
      <c r="A319" t="s">
        <v>341</v>
      </c>
      <c r="B319" t="s">
        <v>11</v>
      </c>
      <c r="C319">
        <v>66</v>
      </c>
      <c r="D319">
        <v>35</v>
      </c>
      <c r="E319" t="s">
        <v>12</v>
      </c>
      <c r="F319" t="s">
        <v>13</v>
      </c>
      <c r="G319" t="s">
        <v>23</v>
      </c>
      <c r="H319">
        <v>68.3</v>
      </c>
      <c r="I319">
        <v>2369.9699999999998</v>
      </c>
      <c r="J319" t="s">
        <v>15</v>
      </c>
    </row>
    <row r="320" spans="1:10" x14ac:dyDescent="0.35">
      <c r="A320" t="s">
        <v>342</v>
      </c>
      <c r="B320" t="s">
        <v>11</v>
      </c>
      <c r="C320">
        <v>29</v>
      </c>
      <c r="D320">
        <v>5</v>
      </c>
      <c r="E320" t="s">
        <v>12</v>
      </c>
      <c r="F320" t="s">
        <v>33</v>
      </c>
      <c r="G320" t="s">
        <v>19</v>
      </c>
      <c r="H320">
        <v>99.87</v>
      </c>
      <c r="I320">
        <v>478.4</v>
      </c>
      <c r="J320" t="s">
        <v>27</v>
      </c>
    </row>
    <row r="321" spans="1:10" x14ac:dyDescent="0.35">
      <c r="A321" t="s">
        <v>343</v>
      </c>
      <c r="B321" t="s">
        <v>17</v>
      </c>
      <c r="C321">
        <v>64</v>
      </c>
      <c r="D321">
        <v>65</v>
      </c>
      <c r="E321" t="s">
        <v>12</v>
      </c>
      <c r="F321" t="s">
        <v>29</v>
      </c>
      <c r="G321" t="s">
        <v>23</v>
      </c>
      <c r="H321">
        <v>88.08</v>
      </c>
      <c r="I321">
        <v>5796.12</v>
      </c>
      <c r="J321" t="s">
        <v>15</v>
      </c>
    </row>
    <row r="322" spans="1:10" x14ac:dyDescent="0.35">
      <c r="A322" t="s">
        <v>344</v>
      </c>
      <c r="B322" t="s">
        <v>17</v>
      </c>
      <c r="C322">
        <v>18</v>
      </c>
      <c r="D322">
        <v>40</v>
      </c>
      <c r="E322" t="s">
        <v>12</v>
      </c>
      <c r="F322" t="s">
        <v>33</v>
      </c>
      <c r="G322" t="s">
        <v>19</v>
      </c>
      <c r="H322">
        <v>61.49</v>
      </c>
      <c r="I322">
        <v>2268.6999999999998</v>
      </c>
      <c r="J322" t="s">
        <v>27</v>
      </c>
    </row>
    <row r="323" spans="1:10" x14ac:dyDescent="0.35">
      <c r="A323" t="s">
        <v>345</v>
      </c>
      <c r="B323" t="s">
        <v>11</v>
      </c>
      <c r="C323">
        <v>43</v>
      </c>
      <c r="D323">
        <v>56</v>
      </c>
      <c r="E323" t="s">
        <v>12</v>
      </c>
      <c r="F323" t="s">
        <v>29</v>
      </c>
      <c r="G323" t="s">
        <v>14</v>
      </c>
      <c r="H323">
        <v>81.09</v>
      </c>
      <c r="I323">
        <v>4640.49</v>
      </c>
      <c r="J323" t="s">
        <v>15</v>
      </c>
    </row>
    <row r="324" spans="1:10" x14ac:dyDescent="0.35">
      <c r="A324" t="s">
        <v>346</v>
      </c>
      <c r="B324" t="s">
        <v>17</v>
      </c>
      <c r="C324">
        <v>31</v>
      </c>
      <c r="D324">
        <v>36</v>
      </c>
      <c r="E324" t="s">
        <v>12</v>
      </c>
      <c r="F324" t="s">
        <v>13</v>
      </c>
      <c r="G324" t="s">
        <v>14</v>
      </c>
      <c r="H324">
        <v>85.32</v>
      </c>
      <c r="I324">
        <v>3113.56</v>
      </c>
      <c r="J324" t="s">
        <v>27</v>
      </c>
    </row>
    <row r="325" spans="1:10" x14ac:dyDescent="0.35">
      <c r="A325" t="s">
        <v>347</v>
      </c>
      <c r="B325" t="s">
        <v>17</v>
      </c>
      <c r="C325">
        <v>55</v>
      </c>
      <c r="D325">
        <v>45</v>
      </c>
      <c r="E325" t="s">
        <v>12</v>
      </c>
      <c r="F325" t="s">
        <v>29</v>
      </c>
      <c r="G325" t="s">
        <v>23</v>
      </c>
      <c r="H325">
        <v>46.1</v>
      </c>
      <c r="I325">
        <v>2195.65</v>
      </c>
      <c r="J325" t="s">
        <v>15</v>
      </c>
    </row>
    <row r="326" spans="1:10" x14ac:dyDescent="0.35">
      <c r="A326" t="s">
        <v>348</v>
      </c>
      <c r="B326" t="s">
        <v>17</v>
      </c>
      <c r="C326">
        <v>54</v>
      </c>
      <c r="D326">
        <v>23</v>
      </c>
      <c r="E326" t="s">
        <v>18</v>
      </c>
      <c r="F326" t="s">
        <v>22</v>
      </c>
      <c r="G326" t="s">
        <v>23</v>
      </c>
      <c r="H326">
        <v>60.95</v>
      </c>
      <c r="I326">
        <v>1538.3</v>
      </c>
      <c r="J326" t="s">
        <v>15</v>
      </c>
    </row>
    <row r="327" spans="1:10" x14ac:dyDescent="0.35">
      <c r="A327" t="s">
        <v>349</v>
      </c>
      <c r="B327" t="s">
        <v>17</v>
      </c>
      <c r="C327">
        <v>28</v>
      </c>
      <c r="D327">
        <v>47</v>
      </c>
      <c r="E327" t="s">
        <v>12</v>
      </c>
      <c r="F327" t="s">
        <v>22</v>
      </c>
      <c r="G327" t="s">
        <v>19</v>
      </c>
      <c r="H327">
        <v>122.88</v>
      </c>
      <c r="I327">
        <v>5487.6</v>
      </c>
      <c r="J327" t="s">
        <v>27</v>
      </c>
    </row>
    <row r="328" spans="1:10" x14ac:dyDescent="0.35">
      <c r="A328" t="s">
        <v>350</v>
      </c>
      <c r="B328" t="s">
        <v>11</v>
      </c>
      <c r="C328">
        <v>53</v>
      </c>
      <c r="D328">
        <v>31</v>
      </c>
      <c r="E328" t="s">
        <v>18</v>
      </c>
      <c r="F328" t="s">
        <v>22</v>
      </c>
      <c r="G328" t="s">
        <v>23</v>
      </c>
      <c r="H328">
        <v>139.05000000000001</v>
      </c>
      <c r="I328">
        <v>4318.87</v>
      </c>
      <c r="J328" t="s">
        <v>15</v>
      </c>
    </row>
    <row r="329" spans="1:10" x14ac:dyDescent="0.35">
      <c r="A329" t="s">
        <v>351</v>
      </c>
      <c r="B329" t="s">
        <v>11</v>
      </c>
      <c r="C329">
        <v>30</v>
      </c>
      <c r="D329">
        <v>11</v>
      </c>
      <c r="E329" t="s">
        <v>12</v>
      </c>
      <c r="F329" t="s">
        <v>13</v>
      </c>
      <c r="G329" t="s">
        <v>14</v>
      </c>
      <c r="H329">
        <v>66.77</v>
      </c>
      <c r="I329">
        <v>794.53</v>
      </c>
      <c r="J329" t="s">
        <v>15</v>
      </c>
    </row>
    <row r="330" spans="1:10" x14ac:dyDescent="0.35">
      <c r="A330" t="s">
        <v>352</v>
      </c>
      <c r="B330" t="s">
        <v>17</v>
      </c>
      <c r="C330">
        <v>60</v>
      </c>
      <c r="D330">
        <v>10</v>
      </c>
      <c r="E330" t="s">
        <v>18</v>
      </c>
      <c r="F330" t="s">
        <v>13</v>
      </c>
      <c r="G330" t="s">
        <v>23</v>
      </c>
      <c r="H330">
        <v>59.91</v>
      </c>
      <c r="I330">
        <v>633.27</v>
      </c>
      <c r="J330" t="s">
        <v>15</v>
      </c>
    </row>
    <row r="331" spans="1:10" x14ac:dyDescent="0.35">
      <c r="A331" t="s">
        <v>353</v>
      </c>
      <c r="B331" t="s">
        <v>17</v>
      </c>
      <c r="C331">
        <v>20</v>
      </c>
      <c r="D331">
        <v>67</v>
      </c>
      <c r="E331" t="s">
        <v>21</v>
      </c>
      <c r="F331" t="s">
        <v>29</v>
      </c>
      <c r="G331" t="s">
        <v>19</v>
      </c>
      <c r="H331">
        <v>45.38</v>
      </c>
      <c r="I331">
        <v>3032.8</v>
      </c>
      <c r="J331" t="s">
        <v>15</v>
      </c>
    </row>
    <row r="332" spans="1:10" x14ac:dyDescent="0.35">
      <c r="A332" t="s">
        <v>354</v>
      </c>
      <c r="B332" t="s">
        <v>11</v>
      </c>
      <c r="C332">
        <v>50</v>
      </c>
      <c r="D332">
        <v>14</v>
      </c>
      <c r="E332" t="s">
        <v>12</v>
      </c>
      <c r="F332" t="s">
        <v>29</v>
      </c>
      <c r="G332" t="s">
        <v>23</v>
      </c>
      <c r="H332">
        <v>108.2</v>
      </c>
      <c r="I332">
        <v>1649.73</v>
      </c>
      <c r="J332" t="s">
        <v>15</v>
      </c>
    </row>
    <row r="333" spans="1:10" x14ac:dyDescent="0.35">
      <c r="A333" t="s">
        <v>355</v>
      </c>
      <c r="B333" t="s">
        <v>11</v>
      </c>
      <c r="C333">
        <v>23</v>
      </c>
      <c r="D333">
        <v>10</v>
      </c>
      <c r="E333" t="s">
        <v>21</v>
      </c>
      <c r="F333" t="s">
        <v>33</v>
      </c>
      <c r="G333" t="s">
        <v>19</v>
      </c>
      <c r="H333">
        <v>62</v>
      </c>
      <c r="I333">
        <v>565.1</v>
      </c>
      <c r="J333" t="s">
        <v>15</v>
      </c>
    </row>
    <row r="334" spans="1:10" x14ac:dyDescent="0.35">
      <c r="A334" t="s">
        <v>356</v>
      </c>
      <c r="B334" t="s">
        <v>17</v>
      </c>
      <c r="C334">
        <v>67</v>
      </c>
      <c r="D334">
        <v>1</v>
      </c>
      <c r="E334" t="s">
        <v>12</v>
      </c>
      <c r="F334" t="s">
        <v>13</v>
      </c>
      <c r="G334" t="s">
        <v>23</v>
      </c>
      <c r="H334">
        <v>148.41</v>
      </c>
      <c r="I334">
        <v>161.19999999999999</v>
      </c>
      <c r="J334" t="s">
        <v>27</v>
      </c>
    </row>
    <row r="335" spans="1:10" x14ac:dyDescent="0.35">
      <c r="A335" t="s">
        <v>357</v>
      </c>
      <c r="B335" t="s">
        <v>11</v>
      </c>
      <c r="C335">
        <v>27</v>
      </c>
      <c r="D335">
        <v>5</v>
      </c>
      <c r="E335" t="s">
        <v>12</v>
      </c>
      <c r="F335" t="s">
        <v>33</v>
      </c>
      <c r="G335" t="s">
        <v>19</v>
      </c>
      <c r="H335">
        <v>62.34</v>
      </c>
      <c r="I335">
        <v>283.68</v>
      </c>
      <c r="J335" t="s">
        <v>27</v>
      </c>
    </row>
    <row r="336" spans="1:10" x14ac:dyDescent="0.35">
      <c r="A336" t="s">
        <v>358</v>
      </c>
      <c r="B336" t="s">
        <v>17</v>
      </c>
      <c r="C336">
        <v>22</v>
      </c>
      <c r="D336">
        <v>20</v>
      </c>
      <c r="E336" t="s">
        <v>18</v>
      </c>
      <c r="F336" t="s">
        <v>33</v>
      </c>
      <c r="G336" t="s">
        <v>19</v>
      </c>
      <c r="H336">
        <v>71.239999999999995</v>
      </c>
      <c r="I336">
        <v>1438.28</v>
      </c>
      <c r="J336" t="s">
        <v>15</v>
      </c>
    </row>
    <row r="337" spans="1:10" x14ac:dyDescent="0.35">
      <c r="A337" t="s">
        <v>359</v>
      </c>
      <c r="B337" t="s">
        <v>17</v>
      </c>
      <c r="C337">
        <v>40</v>
      </c>
      <c r="D337">
        <v>8</v>
      </c>
      <c r="E337" t="s">
        <v>12</v>
      </c>
      <c r="F337" t="s">
        <v>13</v>
      </c>
      <c r="G337" t="s">
        <v>14</v>
      </c>
      <c r="H337">
        <v>98.43</v>
      </c>
      <c r="I337">
        <v>848.93</v>
      </c>
      <c r="J337" t="s">
        <v>15</v>
      </c>
    </row>
    <row r="338" spans="1:10" x14ac:dyDescent="0.35">
      <c r="A338" t="s">
        <v>360</v>
      </c>
      <c r="B338" t="s">
        <v>11</v>
      </c>
      <c r="C338">
        <v>27</v>
      </c>
      <c r="D338">
        <v>43</v>
      </c>
      <c r="E338" t="s">
        <v>12</v>
      </c>
      <c r="F338" t="s">
        <v>22</v>
      </c>
      <c r="G338" t="s">
        <v>19</v>
      </c>
      <c r="H338">
        <v>124.22</v>
      </c>
      <c r="I338">
        <v>5087.9799999999996</v>
      </c>
      <c r="J338" t="s">
        <v>15</v>
      </c>
    </row>
    <row r="339" spans="1:10" x14ac:dyDescent="0.35">
      <c r="A339" t="s">
        <v>361</v>
      </c>
      <c r="B339" t="s">
        <v>11</v>
      </c>
      <c r="C339">
        <v>61</v>
      </c>
      <c r="D339">
        <v>1</v>
      </c>
      <c r="E339" t="s">
        <v>21</v>
      </c>
      <c r="F339" t="s">
        <v>29</v>
      </c>
      <c r="G339" t="s">
        <v>23</v>
      </c>
      <c r="H339">
        <v>81.040000000000006</v>
      </c>
      <c r="I339">
        <v>80.59</v>
      </c>
      <c r="J339" t="s">
        <v>27</v>
      </c>
    </row>
    <row r="340" spans="1:10" x14ac:dyDescent="0.35">
      <c r="A340" t="s">
        <v>362</v>
      </c>
      <c r="B340" t="s">
        <v>17</v>
      </c>
      <c r="C340">
        <v>19</v>
      </c>
      <c r="D340">
        <v>57</v>
      </c>
      <c r="E340" t="s">
        <v>18</v>
      </c>
      <c r="F340" t="s">
        <v>29</v>
      </c>
      <c r="G340" t="s">
        <v>19</v>
      </c>
      <c r="H340">
        <v>74.95</v>
      </c>
      <c r="I340">
        <v>4122.05</v>
      </c>
      <c r="J340" t="s">
        <v>15</v>
      </c>
    </row>
    <row r="341" spans="1:10" x14ac:dyDescent="0.35">
      <c r="A341" t="s">
        <v>363</v>
      </c>
      <c r="B341" t="s">
        <v>17</v>
      </c>
      <c r="C341">
        <v>30</v>
      </c>
      <c r="D341">
        <v>64</v>
      </c>
      <c r="E341" t="s">
        <v>21</v>
      </c>
      <c r="F341" t="s">
        <v>29</v>
      </c>
      <c r="G341" t="s">
        <v>14</v>
      </c>
      <c r="H341">
        <v>149.43</v>
      </c>
      <c r="I341">
        <v>10428.34</v>
      </c>
      <c r="J341" t="s">
        <v>15</v>
      </c>
    </row>
    <row r="342" spans="1:10" x14ac:dyDescent="0.35">
      <c r="A342" t="s">
        <v>364</v>
      </c>
      <c r="B342" t="s">
        <v>11</v>
      </c>
      <c r="C342">
        <v>57</v>
      </c>
      <c r="D342">
        <v>28</v>
      </c>
      <c r="E342" t="s">
        <v>12</v>
      </c>
      <c r="F342" t="s">
        <v>13</v>
      </c>
      <c r="G342" t="s">
        <v>23</v>
      </c>
      <c r="H342">
        <v>21.36</v>
      </c>
      <c r="I342">
        <v>636.79</v>
      </c>
      <c r="J342" t="s">
        <v>15</v>
      </c>
    </row>
    <row r="343" spans="1:10" x14ac:dyDescent="0.35">
      <c r="A343" t="s">
        <v>365</v>
      </c>
      <c r="B343" t="s">
        <v>17</v>
      </c>
      <c r="C343">
        <v>19</v>
      </c>
      <c r="D343">
        <v>37</v>
      </c>
      <c r="E343" t="s">
        <v>21</v>
      </c>
      <c r="F343" t="s">
        <v>13</v>
      </c>
      <c r="G343" t="s">
        <v>19</v>
      </c>
      <c r="H343">
        <v>136.36000000000001</v>
      </c>
      <c r="I343">
        <v>5256.22</v>
      </c>
      <c r="J343" t="s">
        <v>27</v>
      </c>
    </row>
    <row r="344" spans="1:10" x14ac:dyDescent="0.35">
      <c r="A344" t="s">
        <v>366</v>
      </c>
      <c r="B344" t="s">
        <v>11</v>
      </c>
      <c r="C344">
        <v>37</v>
      </c>
      <c r="D344">
        <v>47</v>
      </c>
      <c r="E344" t="s">
        <v>12</v>
      </c>
      <c r="F344" t="s">
        <v>13</v>
      </c>
      <c r="G344" t="s">
        <v>14</v>
      </c>
      <c r="H344">
        <v>39.39</v>
      </c>
      <c r="I344">
        <v>1883.78</v>
      </c>
      <c r="J344" t="s">
        <v>15</v>
      </c>
    </row>
    <row r="345" spans="1:10" x14ac:dyDescent="0.35">
      <c r="A345" t="s">
        <v>367</v>
      </c>
      <c r="B345" t="s">
        <v>17</v>
      </c>
      <c r="C345">
        <v>18</v>
      </c>
      <c r="D345">
        <v>37</v>
      </c>
      <c r="E345" t="s">
        <v>21</v>
      </c>
      <c r="F345" t="s">
        <v>13</v>
      </c>
      <c r="G345" t="s">
        <v>19</v>
      </c>
      <c r="H345">
        <v>122.17</v>
      </c>
      <c r="I345">
        <v>4810.12</v>
      </c>
      <c r="J345" t="s">
        <v>15</v>
      </c>
    </row>
    <row r="346" spans="1:10" x14ac:dyDescent="0.35">
      <c r="A346" t="s">
        <v>368</v>
      </c>
      <c r="B346" t="s">
        <v>11</v>
      </c>
      <c r="C346">
        <v>54</v>
      </c>
      <c r="D346">
        <v>49</v>
      </c>
      <c r="E346" t="s">
        <v>18</v>
      </c>
      <c r="F346" t="s">
        <v>13</v>
      </c>
      <c r="G346" t="s">
        <v>23</v>
      </c>
      <c r="H346">
        <v>100.33</v>
      </c>
      <c r="I346">
        <v>4810.24</v>
      </c>
      <c r="J346" t="s">
        <v>15</v>
      </c>
    </row>
    <row r="347" spans="1:10" x14ac:dyDescent="0.35">
      <c r="A347" t="s">
        <v>369</v>
      </c>
      <c r="B347" t="s">
        <v>11</v>
      </c>
      <c r="C347">
        <v>26</v>
      </c>
      <c r="D347">
        <v>44</v>
      </c>
      <c r="E347" t="s">
        <v>21</v>
      </c>
      <c r="F347" t="s">
        <v>22</v>
      </c>
      <c r="G347" t="s">
        <v>19</v>
      </c>
      <c r="H347">
        <v>64.44</v>
      </c>
      <c r="I347">
        <v>2805.62</v>
      </c>
      <c r="J347" t="s">
        <v>15</v>
      </c>
    </row>
    <row r="348" spans="1:10" x14ac:dyDescent="0.35">
      <c r="A348" t="s">
        <v>370</v>
      </c>
      <c r="B348" t="s">
        <v>11</v>
      </c>
      <c r="C348">
        <v>34</v>
      </c>
      <c r="D348">
        <v>56</v>
      </c>
      <c r="E348" t="s">
        <v>18</v>
      </c>
      <c r="F348" t="s">
        <v>22</v>
      </c>
      <c r="G348" t="s">
        <v>14</v>
      </c>
      <c r="H348">
        <v>133.6</v>
      </c>
      <c r="I348">
        <v>7825.76</v>
      </c>
      <c r="J348" t="s">
        <v>15</v>
      </c>
    </row>
    <row r="349" spans="1:10" x14ac:dyDescent="0.35">
      <c r="A349" t="s">
        <v>371</v>
      </c>
      <c r="B349" t="s">
        <v>17</v>
      </c>
      <c r="C349">
        <v>26</v>
      </c>
      <c r="D349">
        <v>28</v>
      </c>
      <c r="E349" t="s">
        <v>12</v>
      </c>
      <c r="F349" t="s">
        <v>29</v>
      </c>
      <c r="G349" t="s">
        <v>19</v>
      </c>
      <c r="H349">
        <v>21.68</v>
      </c>
      <c r="I349">
        <v>589.77</v>
      </c>
      <c r="J349" t="s">
        <v>15</v>
      </c>
    </row>
    <row r="350" spans="1:10" x14ac:dyDescent="0.35">
      <c r="A350" t="s">
        <v>372</v>
      </c>
      <c r="B350" t="s">
        <v>17</v>
      </c>
      <c r="C350">
        <v>28</v>
      </c>
      <c r="D350">
        <v>6</v>
      </c>
      <c r="E350" t="s">
        <v>21</v>
      </c>
      <c r="F350" t="s">
        <v>29</v>
      </c>
      <c r="G350" t="s">
        <v>19</v>
      </c>
      <c r="H350">
        <v>49.47</v>
      </c>
      <c r="I350">
        <v>270.93</v>
      </c>
      <c r="J350" t="s">
        <v>27</v>
      </c>
    </row>
    <row r="351" spans="1:10" x14ac:dyDescent="0.35">
      <c r="A351" t="s">
        <v>373</v>
      </c>
      <c r="B351" t="s">
        <v>11</v>
      </c>
      <c r="C351">
        <v>32</v>
      </c>
      <c r="D351">
        <v>61</v>
      </c>
      <c r="E351" t="s">
        <v>18</v>
      </c>
      <c r="F351" t="s">
        <v>22</v>
      </c>
      <c r="G351" t="s">
        <v>14</v>
      </c>
      <c r="H351">
        <v>93.7</v>
      </c>
      <c r="I351">
        <v>5229.1000000000004</v>
      </c>
      <c r="J351" t="s">
        <v>15</v>
      </c>
    </row>
    <row r="352" spans="1:10" x14ac:dyDescent="0.35">
      <c r="A352" t="s">
        <v>374</v>
      </c>
      <c r="B352" t="s">
        <v>17</v>
      </c>
      <c r="C352">
        <v>41</v>
      </c>
      <c r="D352">
        <v>20</v>
      </c>
      <c r="E352" t="s">
        <v>12</v>
      </c>
      <c r="F352" t="s">
        <v>13</v>
      </c>
      <c r="G352" t="s">
        <v>14</v>
      </c>
      <c r="H352">
        <v>65.7</v>
      </c>
      <c r="I352">
        <v>1212.92</v>
      </c>
      <c r="J352" t="s">
        <v>15</v>
      </c>
    </row>
    <row r="353" spans="1:10" x14ac:dyDescent="0.35">
      <c r="A353" t="s">
        <v>375</v>
      </c>
      <c r="B353" t="s">
        <v>11</v>
      </c>
      <c r="C353">
        <v>55</v>
      </c>
      <c r="D353">
        <v>2</v>
      </c>
      <c r="E353" t="s">
        <v>18</v>
      </c>
      <c r="F353" t="s">
        <v>22</v>
      </c>
      <c r="G353" t="s">
        <v>23</v>
      </c>
      <c r="H353">
        <v>99.35</v>
      </c>
      <c r="I353">
        <v>213.39</v>
      </c>
      <c r="J353" t="s">
        <v>27</v>
      </c>
    </row>
    <row r="354" spans="1:10" x14ac:dyDescent="0.35">
      <c r="A354" t="s">
        <v>376</v>
      </c>
      <c r="B354" t="s">
        <v>11</v>
      </c>
      <c r="C354">
        <v>52</v>
      </c>
      <c r="D354">
        <v>37</v>
      </c>
      <c r="E354" t="s">
        <v>12</v>
      </c>
      <c r="F354" t="s">
        <v>29</v>
      </c>
      <c r="G354" t="s">
        <v>23</v>
      </c>
      <c r="H354">
        <v>23.13</v>
      </c>
      <c r="I354">
        <v>851.06</v>
      </c>
      <c r="J354" t="s">
        <v>15</v>
      </c>
    </row>
    <row r="355" spans="1:10" x14ac:dyDescent="0.35">
      <c r="A355" t="s">
        <v>377</v>
      </c>
      <c r="B355" t="s">
        <v>17</v>
      </c>
      <c r="C355">
        <v>47</v>
      </c>
      <c r="D355">
        <v>20</v>
      </c>
      <c r="E355" t="s">
        <v>21</v>
      </c>
      <c r="F355" t="s">
        <v>13</v>
      </c>
      <c r="G355" t="s">
        <v>14</v>
      </c>
      <c r="H355">
        <v>35.14</v>
      </c>
      <c r="I355">
        <v>732.72</v>
      </c>
      <c r="J355" t="s">
        <v>27</v>
      </c>
    </row>
    <row r="356" spans="1:10" x14ac:dyDescent="0.35">
      <c r="A356" t="s">
        <v>378</v>
      </c>
      <c r="B356" t="s">
        <v>17</v>
      </c>
      <c r="C356">
        <v>48</v>
      </c>
      <c r="D356">
        <v>26</v>
      </c>
      <c r="E356" t="s">
        <v>18</v>
      </c>
      <c r="F356" t="s">
        <v>29</v>
      </c>
      <c r="G356" t="s">
        <v>14</v>
      </c>
      <c r="H356">
        <v>36.520000000000003</v>
      </c>
      <c r="I356">
        <v>929.18</v>
      </c>
      <c r="J356" t="s">
        <v>27</v>
      </c>
    </row>
    <row r="357" spans="1:10" x14ac:dyDescent="0.35">
      <c r="A357" t="s">
        <v>379</v>
      </c>
      <c r="B357" t="s">
        <v>11</v>
      </c>
      <c r="C357">
        <v>66</v>
      </c>
      <c r="D357">
        <v>29</v>
      </c>
      <c r="E357" t="s">
        <v>21</v>
      </c>
      <c r="F357" t="s">
        <v>29</v>
      </c>
      <c r="G357" t="s">
        <v>23</v>
      </c>
      <c r="H357">
        <v>44.61</v>
      </c>
      <c r="I357">
        <v>1231.26</v>
      </c>
      <c r="J357" t="s">
        <v>15</v>
      </c>
    </row>
    <row r="358" spans="1:10" x14ac:dyDescent="0.35">
      <c r="A358" t="s">
        <v>380</v>
      </c>
      <c r="B358" t="s">
        <v>17</v>
      </c>
      <c r="C358">
        <v>22</v>
      </c>
      <c r="D358">
        <v>1</v>
      </c>
      <c r="E358" t="s">
        <v>12</v>
      </c>
      <c r="F358" t="s">
        <v>22</v>
      </c>
      <c r="G358" t="s">
        <v>19</v>
      </c>
      <c r="H358">
        <v>79.709999999999994</v>
      </c>
      <c r="I358">
        <v>77.27</v>
      </c>
      <c r="J358" t="s">
        <v>15</v>
      </c>
    </row>
    <row r="359" spans="1:10" x14ac:dyDescent="0.35">
      <c r="A359" t="s">
        <v>381</v>
      </c>
      <c r="B359" t="s">
        <v>17</v>
      </c>
      <c r="C359">
        <v>61</v>
      </c>
      <c r="D359">
        <v>35</v>
      </c>
      <c r="E359" t="s">
        <v>21</v>
      </c>
      <c r="F359" t="s">
        <v>13</v>
      </c>
      <c r="G359" t="s">
        <v>23</v>
      </c>
      <c r="H359">
        <v>117.78</v>
      </c>
      <c r="I359">
        <v>4364.84</v>
      </c>
      <c r="J359" t="s">
        <v>15</v>
      </c>
    </row>
    <row r="360" spans="1:10" x14ac:dyDescent="0.35">
      <c r="A360" t="s">
        <v>382</v>
      </c>
      <c r="B360" t="s">
        <v>11</v>
      </c>
      <c r="C360">
        <v>67</v>
      </c>
      <c r="D360">
        <v>70</v>
      </c>
      <c r="E360" t="s">
        <v>12</v>
      </c>
      <c r="F360" t="s">
        <v>22</v>
      </c>
      <c r="G360" t="s">
        <v>23</v>
      </c>
      <c r="H360">
        <v>137.72</v>
      </c>
      <c r="I360">
        <v>9881.83</v>
      </c>
      <c r="J360" t="s">
        <v>15</v>
      </c>
    </row>
    <row r="361" spans="1:10" x14ac:dyDescent="0.35">
      <c r="A361" t="s">
        <v>383</v>
      </c>
      <c r="B361" t="s">
        <v>11</v>
      </c>
      <c r="C361">
        <v>31</v>
      </c>
      <c r="D361">
        <v>59</v>
      </c>
      <c r="E361" t="s">
        <v>18</v>
      </c>
      <c r="F361" t="s">
        <v>33</v>
      </c>
      <c r="G361" t="s">
        <v>14</v>
      </c>
      <c r="H361">
        <v>128.6</v>
      </c>
      <c r="I361">
        <v>8251.51</v>
      </c>
      <c r="J361" t="s">
        <v>27</v>
      </c>
    </row>
    <row r="362" spans="1:10" x14ac:dyDescent="0.35">
      <c r="A362" t="s">
        <v>384</v>
      </c>
      <c r="B362" t="s">
        <v>17</v>
      </c>
      <c r="C362">
        <v>70</v>
      </c>
      <c r="D362">
        <v>69</v>
      </c>
      <c r="E362" t="s">
        <v>12</v>
      </c>
      <c r="F362" t="s">
        <v>13</v>
      </c>
      <c r="G362" t="s">
        <v>23</v>
      </c>
      <c r="H362">
        <v>45.6</v>
      </c>
      <c r="I362">
        <v>3259.48</v>
      </c>
      <c r="J362" t="s">
        <v>15</v>
      </c>
    </row>
    <row r="363" spans="1:10" x14ac:dyDescent="0.35">
      <c r="A363" t="s">
        <v>385</v>
      </c>
      <c r="B363" t="s">
        <v>11</v>
      </c>
      <c r="C363">
        <v>28</v>
      </c>
      <c r="D363">
        <v>33</v>
      </c>
      <c r="E363" t="s">
        <v>12</v>
      </c>
      <c r="F363" t="s">
        <v>22</v>
      </c>
      <c r="G363" t="s">
        <v>19</v>
      </c>
      <c r="H363">
        <v>77.349999999999994</v>
      </c>
      <c r="I363">
        <v>2588.38</v>
      </c>
      <c r="J363" t="s">
        <v>15</v>
      </c>
    </row>
    <row r="364" spans="1:10" x14ac:dyDescent="0.35">
      <c r="A364" t="s">
        <v>386</v>
      </c>
      <c r="B364" t="s">
        <v>11</v>
      </c>
      <c r="C364">
        <v>26</v>
      </c>
      <c r="D364">
        <v>51</v>
      </c>
      <c r="E364" t="s">
        <v>21</v>
      </c>
      <c r="F364" t="s">
        <v>29</v>
      </c>
      <c r="G364" t="s">
        <v>19</v>
      </c>
      <c r="H364">
        <v>45.92</v>
      </c>
      <c r="I364">
        <v>2393.5300000000002</v>
      </c>
      <c r="J364" t="s">
        <v>15</v>
      </c>
    </row>
    <row r="365" spans="1:10" x14ac:dyDescent="0.35">
      <c r="A365" t="s">
        <v>387</v>
      </c>
      <c r="B365" t="s">
        <v>17</v>
      </c>
      <c r="C365">
        <v>51</v>
      </c>
      <c r="D365">
        <v>12</v>
      </c>
      <c r="E365" t="s">
        <v>12</v>
      </c>
      <c r="F365" t="s">
        <v>13</v>
      </c>
      <c r="G365" t="s">
        <v>23</v>
      </c>
      <c r="H365">
        <v>54.38</v>
      </c>
      <c r="I365">
        <v>710.29</v>
      </c>
      <c r="J365" t="s">
        <v>15</v>
      </c>
    </row>
    <row r="366" spans="1:10" x14ac:dyDescent="0.35">
      <c r="A366" t="s">
        <v>388</v>
      </c>
      <c r="B366" t="s">
        <v>11</v>
      </c>
      <c r="C366">
        <v>29</v>
      </c>
      <c r="D366">
        <v>20</v>
      </c>
      <c r="E366" t="s">
        <v>21</v>
      </c>
      <c r="F366" t="s">
        <v>22</v>
      </c>
      <c r="G366" t="s">
        <v>19</v>
      </c>
      <c r="H366">
        <v>85.46</v>
      </c>
      <c r="I366">
        <v>1807.72</v>
      </c>
      <c r="J366" t="s">
        <v>15</v>
      </c>
    </row>
    <row r="367" spans="1:10" x14ac:dyDescent="0.35">
      <c r="A367" t="s">
        <v>389</v>
      </c>
      <c r="B367" t="s">
        <v>11</v>
      </c>
      <c r="C367">
        <v>52</v>
      </c>
      <c r="D367">
        <v>53</v>
      </c>
      <c r="E367" t="s">
        <v>21</v>
      </c>
      <c r="F367" t="s">
        <v>13</v>
      </c>
      <c r="G367" t="s">
        <v>23</v>
      </c>
      <c r="H367">
        <v>28.85</v>
      </c>
      <c r="I367">
        <v>1383.5</v>
      </c>
      <c r="J367" t="s">
        <v>15</v>
      </c>
    </row>
    <row r="368" spans="1:10" x14ac:dyDescent="0.35">
      <c r="A368" t="s">
        <v>390</v>
      </c>
      <c r="B368" t="s">
        <v>17</v>
      </c>
      <c r="C368">
        <v>52</v>
      </c>
      <c r="D368">
        <v>43</v>
      </c>
      <c r="E368" t="s">
        <v>18</v>
      </c>
      <c r="F368" t="s">
        <v>13</v>
      </c>
      <c r="G368" t="s">
        <v>23</v>
      </c>
      <c r="H368">
        <v>48.36</v>
      </c>
      <c r="I368">
        <v>2093.6799999999998</v>
      </c>
      <c r="J368" t="s">
        <v>15</v>
      </c>
    </row>
    <row r="369" spans="1:10" x14ac:dyDescent="0.35">
      <c r="A369" t="s">
        <v>391</v>
      </c>
      <c r="B369" t="s">
        <v>17</v>
      </c>
      <c r="C369">
        <v>18</v>
      </c>
      <c r="D369">
        <v>50</v>
      </c>
      <c r="E369" t="s">
        <v>21</v>
      </c>
      <c r="F369" t="s">
        <v>29</v>
      </c>
      <c r="G369" t="s">
        <v>19</v>
      </c>
      <c r="H369">
        <v>141.6</v>
      </c>
      <c r="I369">
        <v>7346.69</v>
      </c>
      <c r="J369" t="s">
        <v>15</v>
      </c>
    </row>
    <row r="370" spans="1:10" x14ac:dyDescent="0.35">
      <c r="A370" t="s">
        <v>392</v>
      </c>
      <c r="B370" t="s">
        <v>11</v>
      </c>
      <c r="C370">
        <v>57</v>
      </c>
      <c r="D370">
        <v>29</v>
      </c>
      <c r="E370" t="s">
        <v>12</v>
      </c>
      <c r="F370" t="s">
        <v>13</v>
      </c>
      <c r="G370" t="s">
        <v>23</v>
      </c>
      <c r="H370">
        <v>80.599999999999994</v>
      </c>
      <c r="I370">
        <v>2453.66</v>
      </c>
      <c r="J370" t="s">
        <v>15</v>
      </c>
    </row>
    <row r="371" spans="1:10" x14ac:dyDescent="0.35">
      <c r="A371" t="s">
        <v>393</v>
      </c>
      <c r="B371" t="s">
        <v>11</v>
      </c>
      <c r="C371">
        <v>39</v>
      </c>
      <c r="D371">
        <v>57</v>
      </c>
      <c r="E371" t="s">
        <v>12</v>
      </c>
      <c r="F371" t="s">
        <v>33</v>
      </c>
      <c r="G371" t="s">
        <v>14</v>
      </c>
      <c r="H371">
        <v>77.900000000000006</v>
      </c>
      <c r="I371">
        <v>4185.55</v>
      </c>
      <c r="J371" t="s">
        <v>27</v>
      </c>
    </row>
    <row r="372" spans="1:10" x14ac:dyDescent="0.35">
      <c r="A372" t="s">
        <v>394</v>
      </c>
      <c r="B372" t="s">
        <v>17</v>
      </c>
      <c r="C372">
        <v>46</v>
      </c>
      <c r="D372">
        <v>39</v>
      </c>
      <c r="E372" t="s">
        <v>12</v>
      </c>
      <c r="F372" t="s">
        <v>33</v>
      </c>
      <c r="G372" t="s">
        <v>14</v>
      </c>
      <c r="H372">
        <v>21.89</v>
      </c>
      <c r="I372">
        <v>916.4</v>
      </c>
      <c r="J372" t="s">
        <v>27</v>
      </c>
    </row>
    <row r="373" spans="1:10" x14ac:dyDescent="0.35">
      <c r="A373" t="s">
        <v>395</v>
      </c>
      <c r="B373" t="s">
        <v>17</v>
      </c>
      <c r="C373">
        <v>25</v>
      </c>
      <c r="D373">
        <v>56</v>
      </c>
      <c r="E373" t="s">
        <v>12</v>
      </c>
      <c r="F373" t="s">
        <v>22</v>
      </c>
      <c r="G373" t="s">
        <v>19</v>
      </c>
      <c r="H373">
        <v>52.16</v>
      </c>
      <c r="I373">
        <v>3187.26</v>
      </c>
      <c r="J373" t="s">
        <v>27</v>
      </c>
    </row>
    <row r="374" spans="1:10" x14ac:dyDescent="0.35">
      <c r="A374" t="s">
        <v>396</v>
      </c>
      <c r="B374" t="s">
        <v>17</v>
      </c>
      <c r="C374">
        <v>28</v>
      </c>
      <c r="D374">
        <v>43</v>
      </c>
      <c r="E374" t="s">
        <v>12</v>
      </c>
      <c r="F374" t="s">
        <v>22</v>
      </c>
      <c r="G374" t="s">
        <v>19</v>
      </c>
      <c r="H374">
        <v>132.62</v>
      </c>
      <c r="I374">
        <v>5402.38</v>
      </c>
      <c r="J374" t="s">
        <v>15</v>
      </c>
    </row>
    <row r="375" spans="1:10" x14ac:dyDescent="0.35">
      <c r="A375" t="s">
        <v>397</v>
      </c>
      <c r="B375" t="s">
        <v>17</v>
      </c>
      <c r="C375">
        <v>58</v>
      </c>
      <c r="D375">
        <v>50</v>
      </c>
      <c r="E375" t="s">
        <v>21</v>
      </c>
      <c r="F375" t="s">
        <v>13</v>
      </c>
      <c r="G375" t="s">
        <v>23</v>
      </c>
      <c r="H375">
        <v>41.4</v>
      </c>
      <c r="I375">
        <v>2228.4</v>
      </c>
      <c r="J375" t="s">
        <v>15</v>
      </c>
    </row>
    <row r="376" spans="1:10" x14ac:dyDescent="0.35">
      <c r="A376" t="s">
        <v>398</v>
      </c>
      <c r="B376" t="s">
        <v>11</v>
      </c>
      <c r="C376">
        <v>54</v>
      </c>
      <c r="D376">
        <v>23</v>
      </c>
      <c r="E376" t="s">
        <v>21</v>
      </c>
      <c r="F376" t="s">
        <v>13</v>
      </c>
      <c r="G376" t="s">
        <v>23</v>
      </c>
      <c r="H376">
        <v>73.97</v>
      </c>
      <c r="I376">
        <v>1564.18</v>
      </c>
      <c r="J376" t="s">
        <v>15</v>
      </c>
    </row>
    <row r="377" spans="1:10" x14ac:dyDescent="0.35">
      <c r="A377" t="s">
        <v>399</v>
      </c>
      <c r="B377" t="s">
        <v>17</v>
      </c>
      <c r="C377">
        <v>31</v>
      </c>
      <c r="D377">
        <v>44</v>
      </c>
      <c r="E377" t="s">
        <v>12</v>
      </c>
      <c r="F377" t="s">
        <v>29</v>
      </c>
      <c r="G377" t="s">
        <v>14</v>
      </c>
      <c r="H377">
        <v>21.86</v>
      </c>
      <c r="I377">
        <v>876.37</v>
      </c>
      <c r="J377" t="s">
        <v>15</v>
      </c>
    </row>
    <row r="378" spans="1:10" x14ac:dyDescent="0.35">
      <c r="A378" t="s">
        <v>400</v>
      </c>
      <c r="B378" t="s">
        <v>17</v>
      </c>
      <c r="C378">
        <v>47</v>
      </c>
      <c r="D378">
        <v>38</v>
      </c>
      <c r="E378" t="s">
        <v>18</v>
      </c>
      <c r="F378" t="s">
        <v>13</v>
      </c>
      <c r="G378" t="s">
        <v>14</v>
      </c>
      <c r="H378">
        <v>82.18</v>
      </c>
      <c r="I378">
        <v>2891.27</v>
      </c>
      <c r="J378" t="s">
        <v>15</v>
      </c>
    </row>
    <row r="379" spans="1:10" x14ac:dyDescent="0.35">
      <c r="A379" t="s">
        <v>401</v>
      </c>
      <c r="B379" t="s">
        <v>11</v>
      </c>
      <c r="C379">
        <v>52</v>
      </c>
      <c r="D379">
        <v>23</v>
      </c>
      <c r="E379" t="s">
        <v>18</v>
      </c>
      <c r="F379" t="s">
        <v>13</v>
      </c>
      <c r="G379" t="s">
        <v>23</v>
      </c>
      <c r="H379">
        <v>22.73</v>
      </c>
      <c r="I379">
        <v>476.55</v>
      </c>
      <c r="J379" t="s">
        <v>15</v>
      </c>
    </row>
    <row r="380" spans="1:10" x14ac:dyDescent="0.35">
      <c r="A380" t="s">
        <v>402</v>
      </c>
      <c r="B380" t="s">
        <v>17</v>
      </c>
      <c r="C380">
        <v>38</v>
      </c>
      <c r="D380">
        <v>45</v>
      </c>
      <c r="E380" t="s">
        <v>18</v>
      </c>
      <c r="F380" t="s">
        <v>33</v>
      </c>
      <c r="G380" t="s">
        <v>14</v>
      </c>
      <c r="H380">
        <v>126.55</v>
      </c>
      <c r="I380">
        <v>6087.7</v>
      </c>
      <c r="J380" t="s">
        <v>15</v>
      </c>
    </row>
    <row r="381" spans="1:10" x14ac:dyDescent="0.35">
      <c r="A381" t="s">
        <v>403</v>
      </c>
      <c r="B381" t="s">
        <v>11</v>
      </c>
      <c r="C381">
        <v>54</v>
      </c>
      <c r="D381">
        <v>52</v>
      </c>
      <c r="E381" t="s">
        <v>21</v>
      </c>
      <c r="F381" t="s">
        <v>13</v>
      </c>
      <c r="G381" t="s">
        <v>23</v>
      </c>
      <c r="H381">
        <v>127.23</v>
      </c>
      <c r="I381">
        <v>6032.5</v>
      </c>
      <c r="J381" t="s">
        <v>15</v>
      </c>
    </row>
    <row r="382" spans="1:10" x14ac:dyDescent="0.35">
      <c r="A382" t="s">
        <v>404</v>
      </c>
      <c r="B382" t="s">
        <v>17</v>
      </c>
      <c r="C382">
        <v>22</v>
      </c>
      <c r="D382">
        <v>50</v>
      </c>
      <c r="E382" t="s">
        <v>12</v>
      </c>
      <c r="F382" t="s">
        <v>13</v>
      </c>
      <c r="G382" t="s">
        <v>19</v>
      </c>
      <c r="H382">
        <v>122.41</v>
      </c>
      <c r="I382">
        <v>5840.99</v>
      </c>
      <c r="J382" t="s">
        <v>15</v>
      </c>
    </row>
    <row r="383" spans="1:10" x14ac:dyDescent="0.35">
      <c r="A383" t="s">
        <v>405</v>
      </c>
      <c r="B383" t="s">
        <v>17</v>
      </c>
      <c r="C383">
        <v>36</v>
      </c>
      <c r="D383">
        <v>8</v>
      </c>
      <c r="E383" t="s">
        <v>12</v>
      </c>
      <c r="F383" t="s">
        <v>13</v>
      </c>
      <c r="G383" t="s">
        <v>14</v>
      </c>
      <c r="H383">
        <v>56.84</v>
      </c>
      <c r="I383">
        <v>418.68</v>
      </c>
      <c r="J383" t="s">
        <v>15</v>
      </c>
    </row>
    <row r="384" spans="1:10" x14ac:dyDescent="0.35">
      <c r="A384" t="s">
        <v>406</v>
      </c>
      <c r="B384" t="s">
        <v>17</v>
      </c>
      <c r="C384">
        <v>31</v>
      </c>
      <c r="D384">
        <v>1</v>
      </c>
      <c r="E384" t="s">
        <v>12</v>
      </c>
      <c r="F384" t="s">
        <v>22</v>
      </c>
      <c r="G384" t="s">
        <v>14</v>
      </c>
      <c r="H384">
        <v>128.84</v>
      </c>
      <c r="I384">
        <v>123.57</v>
      </c>
      <c r="J384" t="s">
        <v>15</v>
      </c>
    </row>
    <row r="385" spans="1:10" x14ac:dyDescent="0.35">
      <c r="A385" t="s">
        <v>407</v>
      </c>
      <c r="B385" t="s">
        <v>11</v>
      </c>
      <c r="C385">
        <v>43</v>
      </c>
      <c r="D385">
        <v>8</v>
      </c>
      <c r="E385" t="s">
        <v>12</v>
      </c>
      <c r="F385" t="s">
        <v>22</v>
      </c>
      <c r="G385" t="s">
        <v>14</v>
      </c>
      <c r="H385">
        <v>90.59</v>
      </c>
      <c r="I385">
        <v>665.37</v>
      </c>
      <c r="J385" t="s">
        <v>27</v>
      </c>
    </row>
    <row r="386" spans="1:10" x14ac:dyDescent="0.35">
      <c r="A386" t="s">
        <v>408</v>
      </c>
      <c r="B386" t="s">
        <v>11</v>
      </c>
      <c r="C386">
        <v>21</v>
      </c>
      <c r="D386">
        <v>29</v>
      </c>
      <c r="E386" t="s">
        <v>18</v>
      </c>
      <c r="F386" t="s">
        <v>29</v>
      </c>
      <c r="G386" t="s">
        <v>19</v>
      </c>
      <c r="H386">
        <v>68.599999999999994</v>
      </c>
      <c r="I386">
        <v>2056.25</v>
      </c>
      <c r="J386" t="s">
        <v>15</v>
      </c>
    </row>
    <row r="387" spans="1:10" x14ac:dyDescent="0.35">
      <c r="A387" t="s">
        <v>409</v>
      </c>
      <c r="B387" t="s">
        <v>17</v>
      </c>
      <c r="C387">
        <v>42</v>
      </c>
      <c r="D387">
        <v>5</v>
      </c>
      <c r="E387" t="s">
        <v>18</v>
      </c>
      <c r="F387" t="s">
        <v>13</v>
      </c>
      <c r="G387" t="s">
        <v>14</v>
      </c>
      <c r="H387">
        <v>101.29</v>
      </c>
      <c r="I387">
        <v>469.31</v>
      </c>
      <c r="J387" t="s">
        <v>15</v>
      </c>
    </row>
    <row r="388" spans="1:10" x14ac:dyDescent="0.35">
      <c r="A388" t="s">
        <v>410</v>
      </c>
      <c r="B388" t="s">
        <v>11</v>
      </c>
      <c r="C388">
        <v>62</v>
      </c>
      <c r="D388">
        <v>47</v>
      </c>
      <c r="E388" t="s">
        <v>12</v>
      </c>
      <c r="F388" t="s">
        <v>33</v>
      </c>
      <c r="G388" t="s">
        <v>23</v>
      </c>
      <c r="H388">
        <v>21.6</v>
      </c>
      <c r="I388">
        <v>1086.6400000000001</v>
      </c>
      <c r="J388" t="s">
        <v>15</v>
      </c>
    </row>
    <row r="389" spans="1:10" x14ac:dyDescent="0.35">
      <c r="A389" t="s">
        <v>411</v>
      </c>
      <c r="B389" t="s">
        <v>11</v>
      </c>
      <c r="C389">
        <v>59</v>
      </c>
      <c r="D389">
        <v>34</v>
      </c>
      <c r="E389" t="s">
        <v>12</v>
      </c>
      <c r="F389" t="s">
        <v>13</v>
      </c>
      <c r="G389" t="s">
        <v>23</v>
      </c>
      <c r="H389">
        <v>38.58</v>
      </c>
      <c r="I389">
        <v>1394.93</v>
      </c>
      <c r="J389" t="s">
        <v>27</v>
      </c>
    </row>
    <row r="390" spans="1:10" x14ac:dyDescent="0.35">
      <c r="A390" t="s">
        <v>412</v>
      </c>
      <c r="B390" t="s">
        <v>11</v>
      </c>
      <c r="C390">
        <v>42</v>
      </c>
      <c r="D390">
        <v>65</v>
      </c>
      <c r="E390" t="s">
        <v>18</v>
      </c>
      <c r="F390" t="s">
        <v>29</v>
      </c>
      <c r="G390" t="s">
        <v>14</v>
      </c>
      <c r="H390">
        <v>116.5</v>
      </c>
      <c r="I390">
        <v>6835.94</v>
      </c>
      <c r="J390" t="s">
        <v>15</v>
      </c>
    </row>
    <row r="391" spans="1:10" x14ac:dyDescent="0.35">
      <c r="A391" t="s">
        <v>413</v>
      </c>
      <c r="B391" t="s">
        <v>11</v>
      </c>
      <c r="C391">
        <v>35</v>
      </c>
      <c r="D391">
        <v>55</v>
      </c>
      <c r="E391" t="s">
        <v>12</v>
      </c>
      <c r="F391" t="s">
        <v>22</v>
      </c>
      <c r="G391" t="s">
        <v>14</v>
      </c>
      <c r="H391">
        <v>51.74</v>
      </c>
      <c r="I391">
        <v>3070.92</v>
      </c>
      <c r="J391" t="s">
        <v>15</v>
      </c>
    </row>
    <row r="392" spans="1:10" x14ac:dyDescent="0.35">
      <c r="A392" t="s">
        <v>414</v>
      </c>
      <c r="B392" t="s">
        <v>11</v>
      </c>
      <c r="C392">
        <v>57</v>
      </c>
      <c r="D392">
        <v>43</v>
      </c>
      <c r="E392" t="s">
        <v>12</v>
      </c>
      <c r="F392" t="s">
        <v>33</v>
      </c>
      <c r="G392" t="s">
        <v>23</v>
      </c>
      <c r="H392">
        <v>97.74</v>
      </c>
      <c r="I392">
        <v>3806.87</v>
      </c>
      <c r="J392" t="s">
        <v>27</v>
      </c>
    </row>
    <row r="393" spans="1:10" x14ac:dyDescent="0.35">
      <c r="A393" t="s">
        <v>415</v>
      </c>
      <c r="B393" t="s">
        <v>11</v>
      </c>
      <c r="C393">
        <v>25</v>
      </c>
      <c r="D393">
        <v>30</v>
      </c>
      <c r="E393" t="s">
        <v>18</v>
      </c>
      <c r="F393" t="s">
        <v>29</v>
      </c>
      <c r="G393" t="s">
        <v>19</v>
      </c>
      <c r="H393">
        <v>70.06</v>
      </c>
      <c r="I393">
        <v>1992.36</v>
      </c>
      <c r="J393" t="s">
        <v>15</v>
      </c>
    </row>
    <row r="394" spans="1:10" x14ac:dyDescent="0.35">
      <c r="A394" t="s">
        <v>416</v>
      </c>
      <c r="B394" t="s">
        <v>17</v>
      </c>
      <c r="C394">
        <v>56</v>
      </c>
      <c r="D394">
        <v>17</v>
      </c>
      <c r="E394" t="s">
        <v>12</v>
      </c>
      <c r="F394" t="s">
        <v>22</v>
      </c>
      <c r="G394" t="s">
        <v>23</v>
      </c>
      <c r="H394">
        <v>131.12</v>
      </c>
      <c r="I394">
        <v>2020.58</v>
      </c>
      <c r="J394" t="s">
        <v>15</v>
      </c>
    </row>
    <row r="395" spans="1:10" x14ac:dyDescent="0.35">
      <c r="A395" t="s">
        <v>417</v>
      </c>
      <c r="B395" t="s">
        <v>17</v>
      </c>
      <c r="C395">
        <v>57</v>
      </c>
      <c r="D395">
        <v>26</v>
      </c>
      <c r="E395" t="s">
        <v>12</v>
      </c>
      <c r="F395" t="s">
        <v>33</v>
      </c>
      <c r="G395" t="s">
        <v>23</v>
      </c>
      <c r="H395">
        <v>143.81</v>
      </c>
      <c r="I395">
        <v>3616.3</v>
      </c>
      <c r="J395" t="s">
        <v>15</v>
      </c>
    </row>
    <row r="396" spans="1:10" x14ac:dyDescent="0.35">
      <c r="A396" t="s">
        <v>418</v>
      </c>
      <c r="B396" t="s">
        <v>11</v>
      </c>
      <c r="C396">
        <v>31</v>
      </c>
      <c r="D396">
        <v>8</v>
      </c>
      <c r="E396" t="s">
        <v>12</v>
      </c>
      <c r="F396" t="s">
        <v>13</v>
      </c>
      <c r="G396" t="s">
        <v>14</v>
      </c>
      <c r="H396">
        <v>134.86000000000001</v>
      </c>
      <c r="I396">
        <v>1081.8699999999999</v>
      </c>
      <c r="J396" t="s">
        <v>15</v>
      </c>
    </row>
    <row r="397" spans="1:10" x14ac:dyDescent="0.35">
      <c r="A397" t="s">
        <v>419</v>
      </c>
      <c r="B397" t="s">
        <v>17</v>
      </c>
      <c r="C397">
        <v>49</v>
      </c>
      <c r="D397">
        <v>47</v>
      </c>
      <c r="E397" t="s">
        <v>18</v>
      </c>
      <c r="F397" t="s">
        <v>33</v>
      </c>
      <c r="G397" t="s">
        <v>14</v>
      </c>
      <c r="H397">
        <v>55.18</v>
      </c>
      <c r="I397">
        <v>2747.33</v>
      </c>
      <c r="J397" t="s">
        <v>15</v>
      </c>
    </row>
    <row r="398" spans="1:10" x14ac:dyDescent="0.35">
      <c r="A398" t="s">
        <v>420</v>
      </c>
      <c r="B398" t="s">
        <v>17</v>
      </c>
      <c r="C398">
        <v>68</v>
      </c>
      <c r="D398">
        <v>72</v>
      </c>
      <c r="E398" t="s">
        <v>21</v>
      </c>
      <c r="F398" t="s">
        <v>22</v>
      </c>
      <c r="G398" t="s">
        <v>23</v>
      </c>
      <c r="H398">
        <v>45.24</v>
      </c>
      <c r="I398">
        <v>3151.73</v>
      </c>
      <c r="J398" t="s">
        <v>15</v>
      </c>
    </row>
    <row r="399" spans="1:10" x14ac:dyDescent="0.35">
      <c r="A399" t="s">
        <v>421</v>
      </c>
      <c r="B399" t="s">
        <v>17</v>
      </c>
      <c r="C399">
        <v>55</v>
      </c>
      <c r="D399">
        <v>46</v>
      </c>
      <c r="E399" t="s">
        <v>12</v>
      </c>
      <c r="F399" t="s">
        <v>22</v>
      </c>
      <c r="G399" t="s">
        <v>23</v>
      </c>
      <c r="H399">
        <v>81.680000000000007</v>
      </c>
      <c r="I399">
        <v>3911.7</v>
      </c>
      <c r="J399" t="s">
        <v>27</v>
      </c>
    </row>
    <row r="400" spans="1:10" x14ac:dyDescent="0.35">
      <c r="A400" t="s">
        <v>422</v>
      </c>
      <c r="B400" t="s">
        <v>17</v>
      </c>
      <c r="C400">
        <v>50</v>
      </c>
      <c r="D400">
        <v>68</v>
      </c>
      <c r="E400" t="s">
        <v>12</v>
      </c>
      <c r="F400" t="s">
        <v>22</v>
      </c>
      <c r="G400" t="s">
        <v>23</v>
      </c>
      <c r="H400">
        <v>20.95</v>
      </c>
      <c r="I400">
        <v>1335.56</v>
      </c>
      <c r="J400" t="s">
        <v>27</v>
      </c>
    </row>
    <row r="401" spans="1:10" x14ac:dyDescent="0.35">
      <c r="A401" t="s">
        <v>423</v>
      </c>
      <c r="B401" t="s">
        <v>11</v>
      </c>
      <c r="C401">
        <v>40</v>
      </c>
      <c r="D401">
        <v>33</v>
      </c>
      <c r="E401" t="s">
        <v>12</v>
      </c>
      <c r="F401" t="s">
        <v>29</v>
      </c>
      <c r="G401" t="s">
        <v>14</v>
      </c>
      <c r="H401">
        <v>23.36</v>
      </c>
      <c r="I401">
        <v>809.52</v>
      </c>
      <c r="J401" t="s">
        <v>27</v>
      </c>
    </row>
    <row r="402" spans="1:10" x14ac:dyDescent="0.35">
      <c r="A402" t="s">
        <v>424</v>
      </c>
      <c r="B402" t="s">
        <v>17</v>
      </c>
      <c r="C402">
        <v>32</v>
      </c>
      <c r="D402">
        <v>1</v>
      </c>
      <c r="E402" t="s">
        <v>21</v>
      </c>
      <c r="F402" t="s">
        <v>29</v>
      </c>
      <c r="G402" t="s">
        <v>14</v>
      </c>
      <c r="H402">
        <v>91.93</v>
      </c>
      <c r="I402">
        <v>87.08</v>
      </c>
      <c r="J402" t="s">
        <v>15</v>
      </c>
    </row>
    <row r="403" spans="1:10" x14ac:dyDescent="0.35">
      <c r="A403" t="s">
        <v>425</v>
      </c>
      <c r="B403" t="s">
        <v>17</v>
      </c>
      <c r="C403">
        <v>50</v>
      </c>
      <c r="D403">
        <v>19</v>
      </c>
      <c r="E403" t="s">
        <v>21</v>
      </c>
      <c r="F403" t="s">
        <v>13</v>
      </c>
      <c r="G403" t="s">
        <v>23</v>
      </c>
      <c r="H403">
        <v>87.66</v>
      </c>
      <c r="I403">
        <v>1546.8</v>
      </c>
      <c r="J403" t="s">
        <v>15</v>
      </c>
    </row>
    <row r="404" spans="1:10" x14ac:dyDescent="0.35">
      <c r="A404" t="s">
        <v>426</v>
      </c>
      <c r="B404" t="s">
        <v>11</v>
      </c>
      <c r="C404">
        <v>42</v>
      </c>
      <c r="D404">
        <v>31</v>
      </c>
      <c r="E404" t="s">
        <v>12</v>
      </c>
      <c r="F404" t="s">
        <v>29</v>
      </c>
      <c r="G404" t="s">
        <v>14</v>
      </c>
      <c r="H404">
        <v>149.30000000000001</v>
      </c>
      <c r="I404">
        <v>4337.1000000000004</v>
      </c>
      <c r="J404" t="s">
        <v>15</v>
      </c>
    </row>
    <row r="405" spans="1:10" x14ac:dyDescent="0.35">
      <c r="A405" t="s">
        <v>427</v>
      </c>
      <c r="B405" t="s">
        <v>11</v>
      </c>
      <c r="C405">
        <v>34</v>
      </c>
      <c r="D405">
        <v>14</v>
      </c>
      <c r="E405" t="s">
        <v>18</v>
      </c>
      <c r="F405" t="s">
        <v>13</v>
      </c>
      <c r="G405" t="s">
        <v>14</v>
      </c>
      <c r="H405">
        <v>46.24</v>
      </c>
      <c r="I405">
        <v>606.20000000000005</v>
      </c>
      <c r="J405" t="s">
        <v>15</v>
      </c>
    </row>
    <row r="406" spans="1:10" x14ac:dyDescent="0.35">
      <c r="A406" t="s">
        <v>428</v>
      </c>
      <c r="B406" t="s">
        <v>17</v>
      </c>
      <c r="C406">
        <v>50</v>
      </c>
      <c r="D406">
        <v>53</v>
      </c>
      <c r="E406" t="s">
        <v>12</v>
      </c>
      <c r="F406" t="s">
        <v>33</v>
      </c>
      <c r="G406" t="s">
        <v>23</v>
      </c>
      <c r="H406">
        <v>53.55</v>
      </c>
      <c r="I406">
        <v>2845.45</v>
      </c>
      <c r="J406" t="s">
        <v>15</v>
      </c>
    </row>
    <row r="407" spans="1:10" x14ac:dyDescent="0.35">
      <c r="A407" t="s">
        <v>429</v>
      </c>
      <c r="B407" t="s">
        <v>17</v>
      </c>
      <c r="C407">
        <v>64</v>
      </c>
      <c r="D407">
        <v>48</v>
      </c>
      <c r="E407" t="s">
        <v>12</v>
      </c>
      <c r="F407" t="s">
        <v>33</v>
      </c>
      <c r="G407" t="s">
        <v>23</v>
      </c>
      <c r="H407">
        <v>34.76</v>
      </c>
      <c r="I407">
        <v>1783.54</v>
      </c>
      <c r="J407" t="s">
        <v>15</v>
      </c>
    </row>
    <row r="408" spans="1:10" x14ac:dyDescent="0.35">
      <c r="A408" t="s">
        <v>430</v>
      </c>
      <c r="B408" t="s">
        <v>17</v>
      </c>
      <c r="C408">
        <v>19</v>
      </c>
      <c r="D408">
        <v>69</v>
      </c>
      <c r="E408" t="s">
        <v>12</v>
      </c>
      <c r="F408" t="s">
        <v>22</v>
      </c>
      <c r="G408" t="s">
        <v>19</v>
      </c>
      <c r="H408">
        <v>139.28</v>
      </c>
      <c r="I408">
        <v>8802.2900000000009</v>
      </c>
      <c r="J408" t="s">
        <v>27</v>
      </c>
    </row>
    <row r="409" spans="1:10" x14ac:dyDescent="0.35">
      <c r="A409" t="s">
        <v>431</v>
      </c>
      <c r="B409" t="s">
        <v>17</v>
      </c>
      <c r="C409">
        <v>31</v>
      </c>
      <c r="D409">
        <v>62</v>
      </c>
      <c r="E409" t="s">
        <v>12</v>
      </c>
      <c r="F409" t="s">
        <v>33</v>
      </c>
      <c r="G409" t="s">
        <v>14</v>
      </c>
      <c r="H409">
        <v>121.12</v>
      </c>
      <c r="I409">
        <v>7820.27</v>
      </c>
      <c r="J409" t="s">
        <v>15</v>
      </c>
    </row>
    <row r="410" spans="1:10" x14ac:dyDescent="0.35">
      <c r="A410" t="s">
        <v>432</v>
      </c>
      <c r="B410" t="s">
        <v>17</v>
      </c>
      <c r="C410">
        <v>70</v>
      </c>
      <c r="D410">
        <v>66</v>
      </c>
      <c r="E410" t="s">
        <v>12</v>
      </c>
      <c r="F410" t="s">
        <v>22</v>
      </c>
      <c r="G410" t="s">
        <v>23</v>
      </c>
      <c r="H410">
        <v>126.9</v>
      </c>
      <c r="I410">
        <v>8633.94</v>
      </c>
      <c r="J410" t="s">
        <v>15</v>
      </c>
    </row>
    <row r="411" spans="1:10" x14ac:dyDescent="0.35">
      <c r="A411" t="s">
        <v>433</v>
      </c>
      <c r="B411" t="s">
        <v>17</v>
      </c>
      <c r="C411">
        <v>57</v>
      </c>
      <c r="D411">
        <v>64</v>
      </c>
      <c r="E411" t="s">
        <v>12</v>
      </c>
      <c r="F411" t="s">
        <v>13</v>
      </c>
      <c r="G411" t="s">
        <v>23</v>
      </c>
      <c r="H411">
        <v>137.36000000000001</v>
      </c>
      <c r="I411">
        <v>9446.01</v>
      </c>
      <c r="J411" t="s">
        <v>15</v>
      </c>
    </row>
    <row r="412" spans="1:10" x14ac:dyDescent="0.35">
      <c r="A412" t="s">
        <v>434</v>
      </c>
      <c r="B412" t="s">
        <v>11</v>
      </c>
      <c r="C412">
        <v>57</v>
      </c>
      <c r="D412">
        <v>70</v>
      </c>
      <c r="E412" t="s">
        <v>12</v>
      </c>
      <c r="F412" t="s">
        <v>29</v>
      </c>
      <c r="G412" t="s">
        <v>23</v>
      </c>
      <c r="H412">
        <v>88.24</v>
      </c>
      <c r="I412">
        <v>5860.73</v>
      </c>
      <c r="J412" t="s">
        <v>15</v>
      </c>
    </row>
    <row r="413" spans="1:10" x14ac:dyDescent="0.35">
      <c r="A413" t="s">
        <v>435</v>
      </c>
      <c r="B413" t="s">
        <v>17</v>
      </c>
      <c r="C413">
        <v>68</v>
      </c>
      <c r="D413">
        <v>63</v>
      </c>
      <c r="E413" t="s">
        <v>21</v>
      </c>
      <c r="F413" t="s">
        <v>13</v>
      </c>
      <c r="G413" t="s">
        <v>23</v>
      </c>
      <c r="H413">
        <v>78.66</v>
      </c>
      <c r="I413">
        <v>4906.13</v>
      </c>
      <c r="J413" t="s">
        <v>15</v>
      </c>
    </row>
    <row r="414" spans="1:10" x14ac:dyDescent="0.35">
      <c r="A414" t="s">
        <v>436</v>
      </c>
      <c r="B414" t="s">
        <v>17</v>
      </c>
      <c r="C414">
        <v>56</v>
      </c>
      <c r="D414">
        <v>33</v>
      </c>
      <c r="E414" t="s">
        <v>12</v>
      </c>
      <c r="F414" t="s">
        <v>22</v>
      </c>
      <c r="G414" t="s">
        <v>23</v>
      </c>
      <c r="H414">
        <v>62.95</v>
      </c>
      <c r="I414">
        <v>2254.27</v>
      </c>
      <c r="J414" t="s">
        <v>27</v>
      </c>
    </row>
    <row r="415" spans="1:10" x14ac:dyDescent="0.35">
      <c r="A415" t="s">
        <v>437</v>
      </c>
      <c r="B415" t="s">
        <v>11</v>
      </c>
      <c r="C415">
        <v>68</v>
      </c>
      <c r="D415">
        <v>41</v>
      </c>
      <c r="E415" t="s">
        <v>21</v>
      </c>
      <c r="F415" t="s">
        <v>13</v>
      </c>
      <c r="G415" t="s">
        <v>23</v>
      </c>
      <c r="H415">
        <v>96.6</v>
      </c>
      <c r="I415">
        <v>4087.33</v>
      </c>
      <c r="J415" t="s">
        <v>15</v>
      </c>
    </row>
    <row r="416" spans="1:10" x14ac:dyDescent="0.35">
      <c r="A416" t="s">
        <v>438</v>
      </c>
      <c r="B416" t="s">
        <v>11</v>
      </c>
      <c r="C416">
        <v>23</v>
      </c>
      <c r="D416">
        <v>48</v>
      </c>
      <c r="E416" t="s">
        <v>18</v>
      </c>
      <c r="F416" t="s">
        <v>22</v>
      </c>
      <c r="G416" t="s">
        <v>19</v>
      </c>
      <c r="H416">
        <v>79.06</v>
      </c>
      <c r="I416">
        <v>3710.46</v>
      </c>
      <c r="J416" t="s">
        <v>15</v>
      </c>
    </row>
    <row r="417" spans="1:10" x14ac:dyDescent="0.35">
      <c r="A417" t="s">
        <v>439</v>
      </c>
      <c r="B417" t="s">
        <v>11</v>
      </c>
      <c r="C417">
        <v>23</v>
      </c>
      <c r="D417">
        <v>13</v>
      </c>
      <c r="E417" t="s">
        <v>12</v>
      </c>
      <c r="F417" t="s">
        <v>29</v>
      </c>
      <c r="G417" t="s">
        <v>19</v>
      </c>
      <c r="H417">
        <v>78.7</v>
      </c>
      <c r="I417">
        <v>947.68</v>
      </c>
      <c r="J417" t="s">
        <v>15</v>
      </c>
    </row>
    <row r="418" spans="1:10" x14ac:dyDescent="0.35">
      <c r="A418" t="s">
        <v>440</v>
      </c>
      <c r="B418" t="s">
        <v>11</v>
      </c>
      <c r="C418">
        <v>20</v>
      </c>
      <c r="D418">
        <v>31</v>
      </c>
      <c r="E418" t="s">
        <v>12</v>
      </c>
      <c r="F418" t="s">
        <v>22</v>
      </c>
      <c r="G418" t="s">
        <v>19</v>
      </c>
      <c r="H418">
        <v>141.80000000000001</v>
      </c>
      <c r="I418">
        <v>4186.99</v>
      </c>
      <c r="J418" t="s">
        <v>15</v>
      </c>
    </row>
    <row r="419" spans="1:10" x14ac:dyDescent="0.35">
      <c r="A419" t="s">
        <v>441</v>
      </c>
      <c r="B419" t="s">
        <v>17</v>
      </c>
      <c r="C419">
        <v>24</v>
      </c>
      <c r="D419">
        <v>68</v>
      </c>
      <c r="E419" t="s">
        <v>12</v>
      </c>
      <c r="F419" t="s">
        <v>33</v>
      </c>
      <c r="G419" t="s">
        <v>19</v>
      </c>
      <c r="H419">
        <v>147.91999999999999</v>
      </c>
      <c r="I419">
        <v>10221.94</v>
      </c>
      <c r="J419" t="s">
        <v>15</v>
      </c>
    </row>
    <row r="420" spans="1:10" x14ac:dyDescent="0.35">
      <c r="A420" t="s">
        <v>442</v>
      </c>
      <c r="B420" t="s">
        <v>17</v>
      </c>
      <c r="C420">
        <v>68</v>
      </c>
      <c r="D420">
        <v>4</v>
      </c>
      <c r="E420" t="s">
        <v>12</v>
      </c>
      <c r="F420" t="s">
        <v>22</v>
      </c>
      <c r="G420" t="s">
        <v>23</v>
      </c>
      <c r="H420">
        <v>123.54</v>
      </c>
      <c r="I420">
        <v>515.72</v>
      </c>
      <c r="J420" t="s">
        <v>27</v>
      </c>
    </row>
    <row r="421" spans="1:10" x14ac:dyDescent="0.35">
      <c r="A421" t="s">
        <v>443</v>
      </c>
      <c r="B421" t="s">
        <v>17</v>
      </c>
      <c r="C421">
        <v>25</v>
      </c>
      <c r="D421">
        <v>19</v>
      </c>
      <c r="E421" t="s">
        <v>12</v>
      </c>
      <c r="F421" t="s">
        <v>33</v>
      </c>
      <c r="G421" t="s">
        <v>19</v>
      </c>
      <c r="H421">
        <v>118.38</v>
      </c>
      <c r="I421">
        <v>2080.27</v>
      </c>
      <c r="J421" t="s">
        <v>15</v>
      </c>
    </row>
    <row r="422" spans="1:10" x14ac:dyDescent="0.35">
      <c r="A422" t="s">
        <v>444</v>
      </c>
      <c r="B422" t="s">
        <v>17</v>
      </c>
      <c r="C422">
        <v>59</v>
      </c>
      <c r="D422">
        <v>70</v>
      </c>
      <c r="E422" t="s">
        <v>21</v>
      </c>
      <c r="F422" t="s">
        <v>33</v>
      </c>
      <c r="G422" t="s">
        <v>23</v>
      </c>
      <c r="H422">
        <v>108.47</v>
      </c>
      <c r="I422">
        <v>7744.15</v>
      </c>
      <c r="J422" t="s">
        <v>15</v>
      </c>
    </row>
    <row r="423" spans="1:10" x14ac:dyDescent="0.35">
      <c r="A423" t="s">
        <v>445</v>
      </c>
      <c r="B423" t="s">
        <v>17</v>
      </c>
      <c r="C423">
        <v>69</v>
      </c>
      <c r="D423">
        <v>13</v>
      </c>
      <c r="E423" t="s">
        <v>21</v>
      </c>
      <c r="F423" t="s">
        <v>33</v>
      </c>
      <c r="G423" t="s">
        <v>23</v>
      </c>
      <c r="H423">
        <v>41.59</v>
      </c>
      <c r="I423">
        <v>546.11</v>
      </c>
      <c r="J423" t="s">
        <v>15</v>
      </c>
    </row>
    <row r="424" spans="1:10" x14ac:dyDescent="0.35">
      <c r="A424" t="s">
        <v>446</v>
      </c>
      <c r="B424" t="s">
        <v>17</v>
      </c>
      <c r="C424">
        <v>32</v>
      </c>
      <c r="D424">
        <v>23</v>
      </c>
      <c r="E424" t="s">
        <v>12</v>
      </c>
      <c r="F424" t="s">
        <v>33</v>
      </c>
      <c r="G424" t="s">
        <v>14</v>
      </c>
      <c r="H424">
        <v>27.68</v>
      </c>
      <c r="I424">
        <v>638.41999999999996</v>
      </c>
      <c r="J424" t="s">
        <v>15</v>
      </c>
    </row>
    <row r="425" spans="1:10" x14ac:dyDescent="0.35">
      <c r="A425" t="s">
        <v>447</v>
      </c>
      <c r="B425" t="s">
        <v>11</v>
      </c>
      <c r="C425">
        <v>64</v>
      </c>
      <c r="D425">
        <v>1</v>
      </c>
      <c r="E425" t="s">
        <v>18</v>
      </c>
      <c r="F425" t="s">
        <v>33</v>
      </c>
      <c r="G425" t="s">
        <v>23</v>
      </c>
      <c r="H425">
        <v>109.79</v>
      </c>
      <c r="I425">
        <v>113.96</v>
      </c>
      <c r="J425" t="s">
        <v>15</v>
      </c>
    </row>
    <row r="426" spans="1:10" x14ac:dyDescent="0.35">
      <c r="A426" t="s">
        <v>448</v>
      </c>
      <c r="B426" t="s">
        <v>17</v>
      </c>
      <c r="C426">
        <v>46</v>
      </c>
      <c r="D426">
        <v>54</v>
      </c>
      <c r="E426" t="s">
        <v>12</v>
      </c>
      <c r="F426" t="s">
        <v>22</v>
      </c>
      <c r="G426" t="s">
        <v>14</v>
      </c>
      <c r="H426">
        <v>114.74</v>
      </c>
      <c r="I426">
        <v>6614.12</v>
      </c>
      <c r="J426" t="s">
        <v>15</v>
      </c>
    </row>
    <row r="427" spans="1:10" x14ac:dyDescent="0.35">
      <c r="A427" t="s">
        <v>449</v>
      </c>
      <c r="B427" t="s">
        <v>11</v>
      </c>
      <c r="C427">
        <v>50</v>
      </c>
      <c r="D427">
        <v>71</v>
      </c>
      <c r="E427" t="s">
        <v>18</v>
      </c>
      <c r="F427" t="s">
        <v>29</v>
      </c>
      <c r="G427" t="s">
        <v>23</v>
      </c>
      <c r="H427">
        <v>26.11</v>
      </c>
      <c r="I427">
        <v>1788.18</v>
      </c>
      <c r="J427" t="s">
        <v>27</v>
      </c>
    </row>
    <row r="428" spans="1:10" x14ac:dyDescent="0.35">
      <c r="A428" t="s">
        <v>450</v>
      </c>
      <c r="B428" t="s">
        <v>11</v>
      </c>
      <c r="C428">
        <v>69</v>
      </c>
      <c r="D428">
        <v>15</v>
      </c>
      <c r="E428" t="s">
        <v>21</v>
      </c>
      <c r="F428" t="s">
        <v>13</v>
      </c>
      <c r="G428" t="s">
        <v>23</v>
      </c>
      <c r="H428">
        <v>140.65</v>
      </c>
      <c r="I428">
        <v>2273.89</v>
      </c>
      <c r="J428" t="s">
        <v>15</v>
      </c>
    </row>
    <row r="429" spans="1:10" x14ac:dyDescent="0.35">
      <c r="A429" t="s">
        <v>451</v>
      </c>
      <c r="B429" t="s">
        <v>17</v>
      </c>
      <c r="C429">
        <v>47</v>
      </c>
      <c r="D429">
        <v>65</v>
      </c>
      <c r="E429" t="s">
        <v>21</v>
      </c>
      <c r="F429" t="s">
        <v>13</v>
      </c>
      <c r="G429" t="s">
        <v>14</v>
      </c>
      <c r="H429">
        <v>31.85</v>
      </c>
      <c r="I429">
        <v>1929.74</v>
      </c>
      <c r="J429" t="s">
        <v>15</v>
      </c>
    </row>
    <row r="430" spans="1:10" x14ac:dyDescent="0.35">
      <c r="A430" t="s">
        <v>452</v>
      </c>
      <c r="B430" t="s">
        <v>11</v>
      </c>
      <c r="C430">
        <v>56</v>
      </c>
      <c r="D430">
        <v>71</v>
      </c>
      <c r="E430" t="s">
        <v>12</v>
      </c>
      <c r="F430" t="s">
        <v>29</v>
      </c>
      <c r="G430" t="s">
        <v>23</v>
      </c>
      <c r="H430">
        <v>57.17</v>
      </c>
      <c r="I430">
        <v>3793.63</v>
      </c>
      <c r="J430" t="s">
        <v>15</v>
      </c>
    </row>
    <row r="431" spans="1:10" x14ac:dyDescent="0.35">
      <c r="A431" t="s">
        <v>453</v>
      </c>
      <c r="B431" t="s">
        <v>17</v>
      </c>
      <c r="C431">
        <v>44</v>
      </c>
      <c r="D431">
        <v>15</v>
      </c>
      <c r="E431" t="s">
        <v>12</v>
      </c>
      <c r="F431" t="s">
        <v>29</v>
      </c>
      <c r="G431" t="s">
        <v>14</v>
      </c>
      <c r="H431">
        <v>107.41</v>
      </c>
      <c r="I431">
        <v>1536</v>
      </c>
      <c r="J431" t="s">
        <v>27</v>
      </c>
    </row>
    <row r="432" spans="1:10" x14ac:dyDescent="0.35">
      <c r="A432" t="s">
        <v>454</v>
      </c>
      <c r="B432" t="s">
        <v>11</v>
      </c>
      <c r="C432">
        <v>53</v>
      </c>
      <c r="D432">
        <v>21</v>
      </c>
      <c r="E432" t="s">
        <v>18</v>
      </c>
      <c r="F432" t="s">
        <v>33</v>
      </c>
      <c r="G432" t="s">
        <v>23</v>
      </c>
      <c r="H432">
        <v>42.08</v>
      </c>
      <c r="I432">
        <v>816.44</v>
      </c>
      <c r="J432" t="s">
        <v>15</v>
      </c>
    </row>
    <row r="433" spans="1:10" x14ac:dyDescent="0.35">
      <c r="A433" t="s">
        <v>455</v>
      </c>
      <c r="B433" t="s">
        <v>17</v>
      </c>
      <c r="C433">
        <v>46</v>
      </c>
      <c r="D433">
        <v>19</v>
      </c>
      <c r="E433" t="s">
        <v>12</v>
      </c>
      <c r="F433" t="s">
        <v>33</v>
      </c>
      <c r="G433" t="s">
        <v>14</v>
      </c>
      <c r="H433">
        <v>27.2</v>
      </c>
      <c r="I433">
        <v>488.93</v>
      </c>
      <c r="J433" t="s">
        <v>27</v>
      </c>
    </row>
    <row r="434" spans="1:10" x14ac:dyDescent="0.35">
      <c r="A434" t="s">
        <v>456</v>
      </c>
      <c r="B434" t="s">
        <v>11</v>
      </c>
      <c r="C434">
        <v>55</v>
      </c>
      <c r="D434">
        <v>60</v>
      </c>
      <c r="E434" t="s">
        <v>18</v>
      </c>
      <c r="F434" t="s">
        <v>33</v>
      </c>
      <c r="G434" t="s">
        <v>23</v>
      </c>
      <c r="H434">
        <v>63.05</v>
      </c>
      <c r="I434">
        <v>3485.21</v>
      </c>
      <c r="J434" t="s">
        <v>27</v>
      </c>
    </row>
    <row r="435" spans="1:10" x14ac:dyDescent="0.35">
      <c r="A435" t="s">
        <v>457</v>
      </c>
      <c r="B435" t="s">
        <v>17</v>
      </c>
      <c r="C435">
        <v>50</v>
      </c>
      <c r="D435">
        <v>33</v>
      </c>
      <c r="E435" t="s">
        <v>12</v>
      </c>
      <c r="F435" t="s">
        <v>13</v>
      </c>
      <c r="G435" t="s">
        <v>23</v>
      </c>
      <c r="H435">
        <v>119.58</v>
      </c>
      <c r="I435">
        <v>4200.08</v>
      </c>
      <c r="J435" t="s">
        <v>27</v>
      </c>
    </row>
    <row r="436" spans="1:10" x14ac:dyDescent="0.35">
      <c r="A436" t="s">
        <v>458</v>
      </c>
      <c r="B436" t="s">
        <v>17</v>
      </c>
      <c r="C436">
        <v>54</v>
      </c>
      <c r="D436">
        <v>49</v>
      </c>
      <c r="E436" t="s">
        <v>12</v>
      </c>
      <c r="F436" t="s">
        <v>29</v>
      </c>
      <c r="G436" t="s">
        <v>23</v>
      </c>
      <c r="H436">
        <v>73.78</v>
      </c>
      <c r="I436">
        <v>3354.18</v>
      </c>
      <c r="J436" t="s">
        <v>15</v>
      </c>
    </row>
    <row r="437" spans="1:10" x14ac:dyDescent="0.35">
      <c r="A437" t="s">
        <v>459</v>
      </c>
      <c r="B437" t="s">
        <v>17</v>
      </c>
      <c r="C437">
        <v>44</v>
      </c>
      <c r="D437">
        <v>35</v>
      </c>
      <c r="E437" t="s">
        <v>12</v>
      </c>
      <c r="F437" t="s">
        <v>29</v>
      </c>
      <c r="G437" t="s">
        <v>14</v>
      </c>
      <c r="H437">
        <v>104.89</v>
      </c>
      <c r="I437">
        <v>3852.72</v>
      </c>
      <c r="J437" t="s">
        <v>15</v>
      </c>
    </row>
    <row r="438" spans="1:10" x14ac:dyDescent="0.35">
      <c r="A438" t="s">
        <v>460</v>
      </c>
      <c r="B438" t="s">
        <v>17</v>
      </c>
      <c r="C438">
        <v>50</v>
      </c>
      <c r="D438">
        <v>44</v>
      </c>
      <c r="E438" t="s">
        <v>12</v>
      </c>
      <c r="F438" t="s">
        <v>29</v>
      </c>
      <c r="G438" t="s">
        <v>23</v>
      </c>
      <c r="H438">
        <v>95.35</v>
      </c>
      <c r="I438">
        <v>3816.06</v>
      </c>
      <c r="J438" t="s">
        <v>15</v>
      </c>
    </row>
    <row r="439" spans="1:10" x14ac:dyDescent="0.35">
      <c r="A439" t="s">
        <v>461</v>
      </c>
      <c r="B439" t="s">
        <v>17</v>
      </c>
      <c r="C439">
        <v>21</v>
      </c>
      <c r="D439">
        <v>11</v>
      </c>
      <c r="E439" t="s">
        <v>18</v>
      </c>
      <c r="F439" t="s">
        <v>29</v>
      </c>
      <c r="G439" t="s">
        <v>19</v>
      </c>
      <c r="H439">
        <v>22.89</v>
      </c>
      <c r="I439">
        <v>274.38</v>
      </c>
      <c r="J439" t="s">
        <v>15</v>
      </c>
    </row>
    <row r="440" spans="1:10" x14ac:dyDescent="0.35">
      <c r="A440" t="s">
        <v>462</v>
      </c>
      <c r="B440" t="s">
        <v>11</v>
      </c>
      <c r="C440">
        <v>39</v>
      </c>
      <c r="D440">
        <v>72</v>
      </c>
      <c r="E440" t="s">
        <v>12</v>
      </c>
      <c r="F440" t="s">
        <v>29</v>
      </c>
      <c r="G440" t="s">
        <v>14</v>
      </c>
      <c r="H440">
        <v>148.51</v>
      </c>
      <c r="I440">
        <v>11144.3</v>
      </c>
      <c r="J440" t="s">
        <v>27</v>
      </c>
    </row>
    <row r="441" spans="1:10" x14ac:dyDescent="0.35">
      <c r="A441" t="s">
        <v>463</v>
      </c>
      <c r="B441" t="s">
        <v>11</v>
      </c>
      <c r="C441">
        <v>19</v>
      </c>
      <c r="D441">
        <v>66</v>
      </c>
      <c r="E441" t="s">
        <v>12</v>
      </c>
      <c r="F441" t="s">
        <v>33</v>
      </c>
      <c r="G441" t="s">
        <v>19</v>
      </c>
      <c r="H441">
        <v>25.39</v>
      </c>
      <c r="I441">
        <v>1510.44</v>
      </c>
      <c r="J441" t="s">
        <v>15</v>
      </c>
    </row>
    <row r="442" spans="1:10" x14ac:dyDescent="0.35">
      <c r="A442" t="s">
        <v>464</v>
      </c>
      <c r="B442" t="s">
        <v>11</v>
      </c>
      <c r="C442">
        <v>27</v>
      </c>
      <c r="D442">
        <v>46</v>
      </c>
      <c r="E442" t="s">
        <v>12</v>
      </c>
      <c r="F442" t="s">
        <v>22</v>
      </c>
      <c r="G442" t="s">
        <v>19</v>
      </c>
      <c r="H442">
        <v>145.81</v>
      </c>
      <c r="I442">
        <v>7061.21</v>
      </c>
      <c r="J442" t="s">
        <v>27</v>
      </c>
    </row>
    <row r="443" spans="1:10" x14ac:dyDescent="0.35">
      <c r="A443" t="s">
        <v>465</v>
      </c>
      <c r="B443" t="s">
        <v>17</v>
      </c>
      <c r="C443">
        <v>22</v>
      </c>
      <c r="D443">
        <v>9</v>
      </c>
      <c r="E443" t="s">
        <v>12</v>
      </c>
      <c r="F443" t="s">
        <v>29</v>
      </c>
      <c r="G443" t="s">
        <v>19</v>
      </c>
      <c r="H443">
        <v>91.48</v>
      </c>
      <c r="I443">
        <v>825.64</v>
      </c>
      <c r="J443" t="s">
        <v>27</v>
      </c>
    </row>
    <row r="444" spans="1:10" x14ac:dyDescent="0.35">
      <c r="A444" t="s">
        <v>466</v>
      </c>
      <c r="B444" t="s">
        <v>11</v>
      </c>
      <c r="C444">
        <v>27</v>
      </c>
      <c r="D444">
        <v>3</v>
      </c>
      <c r="E444" t="s">
        <v>12</v>
      </c>
      <c r="F444" t="s">
        <v>29</v>
      </c>
      <c r="G444" t="s">
        <v>19</v>
      </c>
      <c r="H444">
        <v>145.21</v>
      </c>
      <c r="I444">
        <v>459.97</v>
      </c>
      <c r="J444" t="s">
        <v>15</v>
      </c>
    </row>
    <row r="445" spans="1:10" x14ac:dyDescent="0.35">
      <c r="A445" t="s">
        <v>467</v>
      </c>
      <c r="B445" t="s">
        <v>17</v>
      </c>
      <c r="C445">
        <v>50</v>
      </c>
      <c r="D445">
        <v>26</v>
      </c>
      <c r="E445" t="s">
        <v>12</v>
      </c>
      <c r="F445" t="s">
        <v>13</v>
      </c>
      <c r="G445" t="s">
        <v>23</v>
      </c>
      <c r="H445">
        <v>34.92</v>
      </c>
      <c r="I445">
        <v>912.01</v>
      </c>
      <c r="J445" t="s">
        <v>27</v>
      </c>
    </row>
    <row r="446" spans="1:10" x14ac:dyDescent="0.35">
      <c r="A446" t="s">
        <v>468</v>
      </c>
      <c r="B446" t="s">
        <v>17</v>
      </c>
      <c r="C446">
        <v>55</v>
      </c>
      <c r="D446">
        <v>72</v>
      </c>
      <c r="E446" t="s">
        <v>18</v>
      </c>
      <c r="F446" t="s">
        <v>29</v>
      </c>
      <c r="G446" t="s">
        <v>23</v>
      </c>
      <c r="I446">
        <v>6200.08</v>
      </c>
      <c r="J446" t="s">
        <v>15</v>
      </c>
    </row>
    <row r="447" spans="1:10" x14ac:dyDescent="0.35">
      <c r="A447" t="s">
        <v>469</v>
      </c>
      <c r="B447" t="s">
        <v>11</v>
      </c>
      <c r="C447">
        <v>30</v>
      </c>
      <c r="D447">
        <v>48</v>
      </c>
      <c r="E447" t="s">
        <v>12</v>
      </c>
      <c r="F447" t="s">
        <v>33</v>
      </c>
      <c r="G447" t="s">
        <v>14</v>
      </c>
      <c r="H447">
        <v>42.04</v>
      </c>
      <c r="I447">
        <v>2133.48</v>
      </c>
      <c r="J447" t="s">
        <v>15</v>
      </c>
    </row>
    <row r="448" spans="1:10" x14ac:dyDescent="0.35">
      <c r="A448" t="s">
        <v>470</v>
      </c>
      <c r="B448" t="s">
        <v>11</v>
      </c>
      <c r="C448">
        <v>48</v>
      </c>
      <c r="D448">
        <v>66</v>
      </c>
      <c r="E448" t="s">
        <v>12</v>
      </c>
      <c r="F448" t="s">
        <v>13</v>
      </c>
      <c r="G448" t="s">
        <v>14</v>
      </c>
      <c r="H448">
        <v>26.63</v>
      </c>
      <c r="I448">
        <v>1724.22</v>
      </c>
      <c r="J448" t="s">
        <v>15</v>
      </c>
    </row>
    <row r="449" spans="1:10" x14ac:dyDescent="0.35">
      <c r="A449" t="s">
        <v>471</v>
      </c>
      <c r="B449" t="s">
        <v>17</v>
      </c>
      <c r="C449">
        <v>64</v>
      </c>
      <c r="D449">
        <v>70</v>
      </c>
      <c r="E449" t="s">
        <v>12</v>
      </c>
      <c r="F449" t="s">
        <v>13</v>
      </c>
      <c r="G449" t="s">
        <v>23</v>
      </c>
      <c r="H449">
        <v>100.28</v>
      </c>
      <c r="I449">
        <v>6321.44</v>
      </c>
      <c r="J449" t="s">
        <v>15</v>
      </c>
    </row>
    <row r="450" spans="1:10" x14ac:dyDescent="0.35">
      <c r="A450" t="s">
        <v>472</v>
      </c>
      <c r="B450" t="s">
        <v>11</v>
      </c>
      <c r="C450">
        <v>53</v>
      </c>
      <c r="D450">
        <v>28</v>
      </c>
      <c r="E450" t="s">
        <v>12</v>
      </c>
      <c r="F450" t="s">
        <v>13</v>
      </c>
      <c r="G450" t="s">
        <v>23</v>
      </c>
      <c r="H450">
        <v>47.01</v>
      </c>
      <c r="I450">
        <v>1408.41</v>
      </c>
      <c r="J450" t="s">
        <v>27</v>
      </c>
    </row>
    <row r="451" spans="1:10" x14ac:dyDescent="0.35">
      <c r="A451" t="s">
        <v>473</v>
      </c>
      <c r="B451" t="s">
        <v>17</v>
      </c>
      <c r="C451">
        <v>62</v>
      </c>
      <c r="D451">
        <v>26</v>
      </c>
      <c r="E451" t="s">
        <v>18</v>
      </c>
      <c r="F451" t="s">
        <v>29</v>
      </c>
      <c r="G451" t="s">
        <v>23</v>
      </c>
      <c r="H451">
        <v>96.4</v>
      </c>
      <c r="I451">
        <v>2446.69</v>
      </c>
      <c r="J451" t="s">
        <v>15</v>
      </c>
    </row>
    <row r="452" spans="1:10" x14ac:dyDescent="0.35">
      <c r="A452" t="s">
        <v>474</v>
      </c>
      <c r="B452" t="s">
        <v>17</v>
      </c>
      <c r="C452">
        <v>41</v>
      </c>
      <c r="D452">
        <v>25</v>
      </c>
      <c r="E452" t="s">
        <v>12</v>
      </c>
      <c r="F452" t="s">
        <v>22</v>
      </c>
      <c r="G452" t="s">
        <v>14</v>
      </c>
      <c r="H452">
        <v>34.61</v>
      </c>
      <c r="I452">
        <v>864.57</v>
      </c>
      <c r="J452" t="s">
        <v>15</v>
      </c>
    </row>
    <row r="453" spans="1:10" x14ac:dyDescent="0.35">
      <c r="A453" t="s">
        <v>475</v>
      </c>
      <c r="B453" t="s">
        <v>17</v>
      </c>
      <c r="C453">
        <v>69</v>
      </c>
      <c r="D453">
        <v>12</v>
      </c>
      <c r="E453" t="s">
        <v>12</v>
      </c>
      <c r="F453" t="s">
        <v>22</v>
      </c>
      <c r="G453" t="s">
        <v>23</v>
      </c>
      <c r="H453">
        <v>63.16</v>
      </c>
      <c r="I453">
        <v>683.31</v>
      </c>
      <c r="J453" t="s">
        <v>15</v>
      </c>
    </row>
    <row r="454" spans="1:10" x14ac:dyDescent="0.35">
      <c r="A454" t="s">
        <v>476</v>
      </c>
      <c r="B454" t="s">
        <v>17</v>
      </c>
      <c r="C454">
        <v>32</v>
      </c>
      <c r="D454">
        <v>5</v>
      </c>
      <c r="E454" t="s">
        <v>21</v>
      </c>
      <c r="F454" t="s">
        <v>22</v>
      </c>
      <c r="G454" t="s">
        <v>14</v>
      </c>
      <c r="H454">
        <v>121.61</v>
      </c>
      <c r="I454">
        <v>607.09</v>
      </c>
      <c r="J454" t="s">
        <v>27</v>
      </c>
    </row>
    <row r="455" spans="1:10" x14ac:dyDescent="0.35">
      <c r="A455" t="s">
        <v>477</v>
      </c>
      <c r="B455" t="s">
        <v>17</v>
      </c>
      <c r="C455">
        <v>46</v>
      </c>
      <c r="D455">
        <v>48</v>
      </c>
      <c r="E455" t="s">
        <v>12</v>
      </c>
      <c r="F455" t="s">
        <v>29</v>
      </c>
      <c r="G455" t="s">
        <v>14</v>
      </c>
      <c r="H455">
        <v>76.819999999999993</v>
      </c>
      <c r="I455">
        <v>4046.13</v>
      </c>
      <c r="J455" t="s">
        <v>15</v>
      </c>
    </row>
    <row r="456" spans="1:10" x14ac:dyDescent="0.35">
      <c r="A456" t="s">
        <v>478</v>
      </c>
      <c r="B456" t="s">
        <v>11</v>
      </c>
      <c r="C456">
        <v>25</v>
      </c>
      <c r="D456">
        <v>37</v>
      </c>
      <c r="E456" t="s">
        <v>12</v>
      </c>
      <c r="G456" t="s">
        <v>19</v>
      </c>
      <c r="H456">
        <v>101.61</v>
      </c>
      <c r="I456">
        <v>3592.85</v>
      </c>
      <c r="J456" t="s">
        <v>15</v>
      </c>
    </row>
    <row r="457" spans="1:10" x14ac:dyDescent="0.35">
      <c r="A457" t="s">
        <v>479</v>
      </c>
      <c r="B457" t="s">
        <v>11</v>
      </c>
      <c r="C457">
        <v>22</v>
      </c>
      <c r="D457">
        <v>44</v>
      </c>
      <c r="E457" t="s">
        <v>18</v>
      </c>
      <c r="F457" t="s">
        <v>13</v>
      </c>
      <c r="G457" t="s">
        <v>19</v>
      </c>
      <c r="H457">
        <v>104.17</v>
      </c>
      <c r="I457">
        <v>4487.6099999999997</v>
      </c>
      <c r="J457" t="s">
        <v>15</v>
      </c>
    </row>
    <row r="458" spans="1:10" x14ac:dyDescent="0.35">
      <c r="A458" t="s">
        <v>480</v>
      </c>
      <c r="B458" t="s">
        <v>17</v>
      </c>
      <c r="C458">
        <v>46</v>
      </c>
      <c r="D458">
        <v>15</v>
      </c>
      <c r="E458" t="s">
        <v>21</v>
      </c>
      <c r="F458" t="s">
        <v>33</v>
      </c>
      <c r="G458" t="s">
        <v>14</v>
      </c>
      <c r="H458">
        <v>129.69</v>
      </c>
      <c r="I458">
        <v>2018.18</v>
      </c>
      <c r="J458" t="s">
        <v>15</v>
      </c>
    </row>
    <row r="459" spans="1:10" x14ac:dyDescent="0.35">
      <c r="A459" t="s">
        <v>481</v>
      </c>
      <c r="B459" t="s">
        <v>17</v>
      </c>
      <c r="C459">
        <v>64</v>
      </c>
      <c r="D459">
        <v>43</v>
      </c>
      <c r="E459" t="s">
        <v>18</v>
      </c>
      <c r="F459" t="s">
        <v>13</v>
      </c>
      <c r="G459" t="s">
        <v>23</v>
      </c>
      <c r="H459">
        <v>62.24</v>
      </c>
      <c r="I459">
        <v>2844.82</v>
      </c>
      <c r="J459" t="s">
        <v>15</v>
      </c>
    </row>
    <row r="460" spans="1:10" x14ac:dyDescent="0.35">
      <c r="A460" t="s">
        <v>482</v>
      </c>
      <c r="B460" t="s">
        <v>11</v>
      </c>
      <c r="C460">
        <v>21</v>
      </c>
      <c r="D460">
        <v>48</v>
      </c>
      <c r="E460" t="s">
        <v>12</v>
      </c>
      <c r="F460" t="s">
        <v>13</v>
      </c>
      <c r="G460" t="s">
        <v>19</v>
      </c>
      <c r="H460">
        <v>109.35</v>
      </c>
      <c r="I460">
        <v>5162.08</v>
      </c>
      <c r="J460" t="s">
        <v>15</v>
      </c>
    </row>
    <row r="461" spans="1:10" x14ac:dyDescent="0.35">
      <c r="A461" t="s">
        <v>483</v>
      </c>
      <c r="B461" t="s">
        <v>11</v>
      </c>
      <c r="C461">
        <v>29</v>
      </c>
      <c r="D461">
        <v>70</v>
      </c>
      <c r="E461" t="s">
        <v>12</v>
      </c>
      <c r="F461" t="s">
        <v>22</v>
      </c>
      <c r="G461" t="s">
        <v>19</v>
      </c>
      <c r="H461">
        <v>145.01</v>
      </c>
      <c r="I461">
        <v>9764.2999999999993</v>
      </c>
      <c r="J461" t="s">
        <v>15</v>
      </c>
    </row>
    <row r="462" spans="1:10" x14ac:dyDescent="0.35">
      <c r="A462" t="s">
        <v>484</v>
      </c>
      <c r="B462" t="s">
        <v>17</v>
      </c>
      <c r="C462">
        <v>62</v>
      </c>
      <c r="D462">
        <v>46</v>
      </c>
      <c r="E462" t="s">
        <v>12</v>
      </c>
      <c r="F462" t="s">
        <v>22</v>
      </c>
      <c r="G462" t="s">
        <v>23</v>
      </c>
      <c r="H462">
        <v>114.93</v>
      </c>
      <c r="I462">
        <v>5749.72</v>
      </c>
      <c r="J462" t="s">
        <v>27</v>
      </c>
    </row>
    <row r="463" spans="1:10" x14ac:dyDescent="0.35">
      <c r="A463" t="s">
        <v>485</v>
      </c>
      <c r="B463" t="s">
        <v>11</v>
      </c>
      <c r="C463">
        <v>19</v>
      </c>
      <c r="D463">
        <v>43</v>
      </c>
      <c r="E463" t="s">
        <v>12</v>
      </c>
      <c r="F463" t="s">
        <v>13</v>
      </c>
      <c r="G463" t="s">
        <v>19</v>
      </c>
      <c r="H463">
        <v>83.68</v>
      </c>
      <c r="I463">
        <v>3725.72</v>
      </c>
      <c r="J463" t="s">
        <v>15</v>
      </c>
    </row>
    <row r="464" spans="1:10" x14ac:dyDescent="0.35">
      <c r="A464" t="s">
        <v>486</v>
      </c>
      <c r="B464" t="s">
        <v>17</v>
      </c>
      <c r="C464">
        <v>44</v>
      </c>
      <c r="D464">
        <v>21</v>
      </c>
      <c r="E464" t="s">
        <v>18</v>
      </c>
      <c r="F464" t="s">
        <v>13</v>
      </c>
      <c r="G464" t="s">
        <v>14</v>
      </c>
      <c r="H464">
        <v>101.99</v>
      </c>
      <c r="I464">
        <v>1978.59</v>
      </c>
      <c r="J464" t="s">
        <v>15</v>
      </c>
    </row>
    <row r="465" spans="1:10" x14ac:dyDescent="0.35">
      <c r="A465" t="s">
        <v>487</v>
      </c>
      <c r="B465" t="s">
        <v>11</v>
      </c>
      <c r="C465">
        <v>48</v>
      </c>
      <c r="D465">
        <v>23</v>
      </c>
      <c r="E465" t="s">
        <v>12</v>
      </c>
      <c r="F465" t="s">
        <v>13</v>
      </c>
      <c r="G465" t="s">
        <v>14</v>
      </c>
      <c r="H465">
        <v>116.16</v>
      </c>
      <c r="I465">
        <v>2441.34</v>
      </c>
      <c r="J465" t="s">
        <v>27</v>
      </c>
    </row>
    <row r="466" spans="1:10" x14ac:dyDescent="0.35">
      <c r="A466" t="s">
        <v>488</v>
      </c>
      <c r="B466" t="s">
        <v>17</v>
      </c>
      <c r="C466">
        <v>68</v>
      </c>
      <c r="D466">
        <v>47</v>
      </c>
      <c r="E466" t="s">
        <v>18</v>
      </c>
      <c r="F466" t="s">
        <v>33</v>
      </c>
      <c r="G466" t="s">
        <v>23</v>
      </c>
      <c r="H466">
        <v>99.6</v>
      </c>
      <c r="I466">
        <v>4665.8</v>
      </c>
      <c r="J466" t="s">
        <v>15</v>
      </c>
    </row>
    <row r="467" spans="1:10" x14ac:dyDescent="0.35">
      <c r="A467" t="s">
        <v>489</v>
      </c>
      <c r="B467" t="s">
        <v>11</v>
      </c>
      <c r="C467">
        <v>68</v>
      </c>
      <c r="D467">
        <v>15</v>
      </c>
      <c r="E467" t="s">
        <v>21</v>
      </c>
      <c r="F467" t="s">
        <v>13</v>
      </c>
      <c r="G467" t="s">
        <v>23</v>
      </c>
      <c r="H467">
        <v>22.17</v>
      </c>
      <c r="I467">
        <v>313.93</v>
      </c>
      <c r="J467" t="s">
        <v>15</v>
      </c>
    </row>
    <row r="468" spans="1:10" x14ac:dyDescent="0.35">
      <c r="A468" t="s">
        <v>490</v>
      </c>
      <c r="B468" t="s">
        <v>17</v>
      </c>
      <c r="C468">
        <v>53</v>
      </c>
      <c r="D468">
        <v>25</v>
      </c>
      <c r="E468" t="s">
        <v>12</v>
      </c>
      <c r="F468" t="s">
        <v>33</v>
      </c>
      <c r="G468" t="s">
        <v>23</v>
      </c>
      <c r="H468">
        <v>45.32</v>
      </c>
      <c r="I468">
        <v>1077.25</v>
      </c>
      <c r="J468" t="s">
        <v>15</v>
      </c>
    </row>
    <row r="469" spans="1:10" x14ac:dyDescent="0.35">
      <c r="A469" t="s">
        <v>491</v>
      </c>
      <c r="B469" t="s">
        <v>11</v>
      </c>
      <c r="C469">
        <v>53</v>
      </c>
      <c r="D469">
        <v>36</v>
      </c>
      <c r="E469" t="s">
        <v>12</v>
      </c>
      <c r="F469" t="s">
        <v>13</v>
      </c>
      <c r="G469" t="s">
        <v>23</v>
      </c>
      <c r="H469">
        <v>125.36</v>
      </c>
      <c r="I469">
        <v>4853.8599999999997</v>
      </c>
      <c r="J469" t="s">
        <v>27</v>
      </c>
    </row>
    <row r="470" spans="1:10" x14ac:dyDescent="0.35">
      <c r="A470" t="s">
        <v>492</v>
      </c>
      <c r="B470" t="s">
        <v>11</v>
      </c>
      <c r="C470">
        <v>43</v>
      </c>
      <c r="D470">
        <v>51</v>
      </c>
      <c r="E470" t="s">
        <v>21</v>
      </c>
      <c r="F470" t="s">
        <v>33</v>
      </c>
      <c r="G470" t="s">
        <v>14</v>
      </c>
      <c r="H470">
        <v>55.44</v>
      </c>
      <c r="I470">
        <v>2595.34</v>
      </c>
      <c r="J470" t="s">
        <v>15</v>
      </c>
    </row>
    <row r="471" spans="1:10" x14ac:dyDescent="0.35">
      <c r="A471" t="s">
        <v>493</v>
      </c>
      <c r="B471" t="s">
        <v>17</v>
      </c>
      <c r="C471">
        <v>60</v>
      </c>
      <c r="D471">
        <v>15</v>
      </c>
      <c r="E471" t="s">
        <v>12</v>
      </c>
      <c r="F471" t="s">
        <v>33</v>
      </c>
      <c r="G471" t="s">
        <v>23</v>
      </c>
      <c r="H471">
        <v>115.1</v>
      </c>
      <c r="I471">
        <v>1800.87</v>
      </c>
      <c r="J471" t="s">
        <v>27</v>
      </c>
    </row>
    <row r="472" spans="1:10" x14ac:dyDescent="0.35">
      <c r="A472" t="s">
        <v>494</v>
      </c>
      <c r="B472" t="s">
        <v>11</v>
      </c>
      <c r="C472">
        <v>44</v>
      </c>
      <c r="D472">
        <v>68</v>
      </c>
      <c r="E472" t="s">
        <v>18</v>
      </c>
      <c r="F472" t="s">
        <v>13</v>
      </c>
      <c r="G472" t="s">
        <v>14</v>
      </c>
      <c r="H472">
        <v>68.38</v>
      </c>
      <c r="I472">
        <v>4437.01</v>
      </c>
      <c r="J472" t="s">
        <v>27</v>
      </c>
    </row>
    <row r="473" spans="1:10" x14ac:dyDescent="0.35">
      <c r="A473" t="s">
        <v>495</v>
      </c>
      <c r="B473" t="s">
        <v>17</v>
      </c>
      <c r="C473">
        <v>22</v>
      </c>
      <c r="D473">
        <v>21</v>
      </c>
      <c r="E473" t="s">
        <v>12</v>
      </c>
      <c r="F473" t="s">
        <v>33</v>
      </c>
      <c r="G473" t="s">
        <v>19</v>
      </c>
      <c r="H473">
        <v>87.84</v>
      </c>
      <c r="I473">
        <v>1940.68</v>
      </c>
      <c r="J473" t="s">
        <v>27</v>
      </c>
    </row>
    <row r="474" spans="1:10" x14ac:dyDescent="0.35">
      <c r="A474" t="s">
        <v>496</v>
      </c>
      <c r="B474" t="s">
        <v>11</v>
      </c>
      <c r="C474">
        <v>37</v>
      </c>
      <c r="D474">
        <v>13</v>
      </c>
      <c r="E474" t="s">
        <v>12</v>
      </c>
      <c r="F474" t="s">
        <v>29</v>
      </c>
      <c r="G474" t="s">
        <v>14</v>
      </c>
      <c r="H474">
        <v>28.84</v>
      </c>
      <c r="I474">
        <v>391.6</v>
      </c>
      <c r="J474" t="s">
        <v>15</v>
      </c>
    </row>
    <row r="475" spans="1:10" x14ac:dyDescent="0.35">
      <c r="A475" t="s">
        <v>497</v>
      </c>
      <c r="B475" t="s">
        <v>17</v>
      </c>
      <c r="C475">
        <v>28</v>
      </c>
      <c r="D475">
        <v>19</v>
      </c>
      <c r="E475" t="s">
        <v>21</v>
      </c>
      <c r="F475" t="s">
        <v>33</v>
      </c>
      <c r="G475" t="s">
        <v>19</v>
      </c>
      <c r="H475">
        <v>43.56</v>
      </c>
      <c r="I475">
        <v>746.1</v>
      </c>
      <c r="J475" t="s">
        <v>15</v>
      </c>
    </row>
    <row r="476" spans="1:10" x14ac:dyDescent="0.35">
      <c r="A476" t="s">
        <v>498</v>
      </c>
      <c r="B476" t="s">
        <v>11</v>
      </c>
      <c r="C476">
        <v>27</v>
      </c>
      <c r="D476">
        <v>34</v>
      </c>
      <c r="E476" t="s">
        <v>18</v>
      </c>
      <c r="F476" t="s">
        <v>22</v>
      </c>
      <c r="G476" t="s">
        <v>19</v>
      </c>
      <c r="H476">
        <v>144.44</v>
      </c>
      <c r="I476">
        <v>4919.93</v>
      </c>
      <c r="J476" t="s">
        <v>27</v>
      </c>
    </row>
    <row r="477" spans="1:10" x14ac:dyDescent="0.35">
      <c r="A477" t="s">
        <v>499</v>
      </c>
      <c r="B477" t="s">
        <v>17</v>
      </c>
      <c r="C477">
        <v>57</v>
      </c>
      <c r="D477">
        <v>68</v>
      </c>
      <c r="E477" t="s">
        <v>12</v>
      </c>
      <c r="F477" t="s">
        <v>29</v>
      </c>
      <c r="G477" t="s">
        <v>23</v>
      </c>
      <c r="H477">
        <v>135.72</v>
      </c>
      <c r="I477">
        <v>8563.2199999999993</v>
      </c>
      <c r="J477" t="s">
        <v>15</v>
      </c>
    </row>
    <row r="478" spans="1:10" x14ac:dyDescent="0.35">
      <c r="A478" t="s">
        <v>500</v>
      </c>
      <c r="B478" t="s">
        <v>11</v>
      </c>
      <c r="C478">
        <v>55</v>
      </c>
      <c r="D478">
        <v>52</v>
      </c>
      <c r="E478" t="s">
        <v>18</v>
      </c>
      <c r="F478" t="s">
        <v>22</v>
      </c>
      <c r="G478" t="s">
        <v>23</v>
      </c>
      <c r="H478">
        <v>104.8</v>
      </c>
      <c r="I478">
        <v>5848.76</v>
      </c>
      <c r="J478" t="s">
        <v>15</v>
      </c>
    </row>
    <row r="479" spans="1:10" x14ac:dyDescent="0.35">
      <c r="A479" t="s">
        <v>501</v>
      </c>
      <c r="B479" t="s">
        <v>17</v>
      </c>
      <c r="C479">
        <v>23</v>
      </c>
      <c r="D479">
        <v>27</v>
      </c>
      <c r="E479" t="s">
        <v>12</v>
      </c>
      <c r="F479" t="s">
        <v>33</v>
      </c>
      <c r="G479" t="s">
        <v>19</v>
      </c>
      <c r="H479">
        <v>79.75</v>
      </c>
      <c r="I479">
        <v>2313.27</v>
      </c>
      <c r="J479" t="s">
        <v>15</v>
      </c>
    </row>
    <row r="480" spans="1:10" x14ac:dyDescent="0.35">
      <c r="A480" t="s">
        <v>502</v>
      </c>
      <c r="B480" t="s">
        <v>11</v>
      </c>
      <c r="C480">
        <v>25</v>
      </c>
      <c r="D480">
        <v>29</v>
      </c>
      <c r="E480" t="s">
        <v>21</v>
      </c>
      <c r="F480" t="s">
        <v>29</v>
      </c>
      <c r="G480" t="s">
        <v>19</v>
      </c>
      <c r="H480">
        <v>107.85</v>
      </c>
      <c r="I480">
        <v>3076.57</v>
      </c>
      <c r="J480" t="s">
        <v>15</v>
      </c>
    </row>
    <row r="481" spans="1:10" x14ac:dyDescent="0.35">
      <c r="A481" t="s">
        <v>503</v>
      </c>
      <c r="B481" t="s">
        <v>17</v>
      </c>
      <c r="C481">
        <v>40</v>
      </c>
      <c r="D481">
        <v>28</v>
      </c>
      <c r="E481" t="s">
        <v>21</v>
      </c>
      <c r="F481" t="s">
        <v>13</v>
      </c>
      <c r="G481" t="s">
        <v>14</v>
      </c>
      <c r="H481">
        <v>100.42</v>
      </c>
      <c r="I481">
        <v>2780.49</v>
      </c>
      <c r="J481" t="s">
        <v>15</v>
      </c>
    </row>
    <row r="482" spans="1:10" x14ac:dyDescent="0.35">
      <c r="A482" t="s">
        <v>504</v>
      </c>
      <c r="B482" t="s">
        <v>17</v>
      </c>
      <c r="C482">
        <v>64</v>
      </c>
      <c r="D482">
        <v>35</v>
      </c>
      <c r="E482" t="s">
        <v>12</v>
      </c>
      <c r="F482" t="s">
        <v>22</v>
      </c>
      <c r="G482" t="s">
        <v>23</v>
      </c>
      <c r="H482">
        <v>93.91</v>
      </c>
      <c r="I482">
        <v>3157.53</v>
      </c>
      <c r="J482" t="s">
        <v>15</v>
      </c>
    </row>
    <row r="483" spans="1:10" x14ac:dyDescent="0.35">
      <c r="A483" t="s">
        <v>505</v>
      </c>
      <c r="B483" t="s">
        <v>17</v>
      </c>
      <c r="C483">
        <v>43</v>
      </c>
      <c r="D483">
        <v>8</v>
      </c>
      <c r="E483" t="s">
        <v>12</v>
      </c>
      <c r="F483" t="s">
        <v>33</v>
      </c>
      <c r="G483" t="s">
        <v>14</v>
      </c>
      <c r="H483">
        <v>27.69</v>
      </c>
      <c r="I483">
        <v>231.12</v>
      </c>
      <c r="J483" t="s">
        <v>15</v>
      </c>
    </row>
    <row r="484" spans="1:10" x14ac:dyDescent="0.35">
      <c r="A484" t="s">
        <v>506</v>
      </c>
      <c r="B484" t="s">
        <v>11</v>
      </c>
      <c r="C484">
        <v>63</v>
      </c>
      <c r="D484">
        <v>16</v>
      </c>
      <c r="E484" t="s">
        <v>21</v>
      </c>
      <c r="F484" t="s">
        <v>13</v>
      </c>
      <c r="G484" t="s">
        <v>23</v>
      </c>
      <c r="H484">
        <v>102.26</v>
      </c>
      <c r="I484">
        <v>1589.91</v>
      </c>
      <c r="J484" t="s">
        <v>15</v>
      </c>
    </row>
    <row r="485" spans="1:10" x14ac:dyDescent="0.35">
      <c r="A485" t="s">
        <v>507</v>
      </c>
      <c r="B485" t="s">
        <v>17</v>
      </c>
      <c r="C485">
        <v>60</v>
      </c>
      <c r="D485">
        <v>36</v>
      </c>
      <c r="E485" t="s">
        <v>12</v>
      </c>
      <c r="F485" t="s">
        <v>29</v>
      </c>
      <c r="G485" t="s">
        <v>23</v>
      </c>
      <c r="H485">
        <v>119.96</v>
      </c>
      <c r="I485">
        <v>4118</v>
      </c>
      <c r="J485" t="s">
        <v>15</v>
      </c>
    </row>
    <row r="486" spans="1:10" x14ac:dyDescent="0.35">
      <c r="A486" t="s">
        <v>508</v>
      </c>
      <c r="B486" t="s">
        <v>11</v>
      </c>
      <c r="C486">
        <v>29</v>
      </c>
      <c r="D486">
        <v>30</v>
      </c>
      <c r="E486" t="s">
        <v>21</v>
      </c>
      <c r="F486" t="s">
        <v>29</v>
      </c>
      <c r="G486" t="s">
        <v>19</v>
      </c>
      <c r="H486">
        <v>149.22999999999999</v>
      </c>
      <c r="I486">
        <v>4416.22</v>
      </c>
      <c r="J486" t="s">
        <v>15</v>
      </c>
    </row>
    <row r="487" spans="1:10" x14ac:dyDescent="0.35">
      <c r="A487" t="s">
        <v>509</v>
      </c>
      <c r="B487" t="s">
        <v>17</v>
      </c>
      <c r="C487">
        <v>43</v>
      </c>
      <c r="D487">
        <v>18</v>
      </c>
      <c r="E487" t="s">
        <v>12</v>
      </c>
      <c r="F487" t="s">
        <v>13</v>
      </c>
      <c r="G487" t="s">
        <v>14</v>
      </c>
      <c r="H487">
        <v>21.44</v>
      </c>
      <c r="I487">
        <v>354.39</v>
      </c>
      <c r="J487" t="s">
        <v>15</v>
      </c>
    </row>
    <row r="488" spans="1:10" x14ac:dyDescent="0.35">
      <c r="A488" t="s">
        <v>510</v>
      </c>
      <c r="B488" t="s">
        <v>11</v>
      </c>
      <c r="C488">
        <v>30</v>
      </c>
      <c r="D488">
        <v>2</v>
      </c>
      <c r="E488" t="s">
        <v>18</v>
      </c>
      <c r="F488" t="s">
        <v>13</v>
      </c>
      <c r="G488" t="s">
        <v>14</v>
      </c>
      <c r="H488">
        <v>114.92</v>
      </c>
      <c r="I488">
        <v>241.18</v>
      </c>
      <c r="J488" t="s">
        <v>27</v>
      </c>
    </row>
    <row r="489" spans="1:10" x14ac:dyDescent="0.35">
      <c r="A489" t="s">
        <v>511</v>
      </c>
      <c r="B489" t="s">
        <v>17</v>
      </c>
      <c r="C489">
        <v>57</v>
      </c>
      <c r="D489">
        <v>49</v>
      </c>
      <c r="E489" t="s">
        <v>21</v>
      </c>
      <c r="F489" t="s">
        <v>33</v>
      </c>
      <c r="G489" t="s">
        <v>23</v>
      </c>
      <c r="H489">
        <v>94.33</v>
      </c>
      <c r="I489">
        <v>4171.6000000000004</v>
      </c>
      <c r="J489" t="s">
        <v>15</v>
      </c>
    </row>
    <row r="490" spans="1:10" x14ac:dyDescent="0.35">
      <c r="A490" t="s">
        <v>512</v>
      </c>
      <c r="B490" t="s">
        <v>11</v>
      </c>
      <c r="C490">
        <v>35</v>
      </c>
      <c r="D490">
        <v>4</v>
      </c>
      <c r="E490" t="s">
        <v>18</v>
      </c>
      <c r="F490" t="s">
        <v>29</v>
      </c>
      <c r="G490" t="s">
        <v>14</v>
      </c>
      <c r="H490">
        <v>76.430000000000007</v>
      </c>
      <c r="I490">
        <v>314.55</v>
      </c>
      <c r="J490" t="s">
        <v>15</v>
      </c>
    </row>
    <row r="491" spans="1:10" x14ac:dyDescent="0.35">
      <c r="A491" t="s">
        <v>513</v>
      </c>
      <c r="B491" t="s">
        <v>11</v>
      </c>
      <c r="C491">
        <v>42</v>
      </c>
      <c r="D491">
        <v>7</v>
      </c>
      <c r="E491" t="s">
        <v>12</v>
      </c>
      <c r="F491" t="s">
        <v>22</v>
      </c>
      <c r="G491" t="s">
        <v>14</v>
      </c>
      <c r="H491">
        <v>36.58</v>
      </c>
      <c r="I491">
        <v>239.82</v>
      </c>
      <c r="J491" t="s">
        <v>27</v>
      </c>
    </row>
    <row r="492" spans="1:10" x14ac:dyDescent="0.35">
      <c r="A492" t="s">
        <v>514</v>
      </c>
      <c r="B492" t="s">
        <v>17</v>
      </c>
      <c r="C492">
        <v>50</v>
      </c>
      <c r="D492">
        <v>39</v>
      </c>
      <c r="E492" t="s">
        <v>21</v>
      </c>
      <c r="F492" t="s">
        <v>29</v>
      </c>
      <c r="G492" t="s">
        <v>23</v>
      </c>
      <c r="H492">
        <v>73.180000000000007</v>
      </c>
      <c r="I492">
        <v>2701.28</v>
      </c>
      <c r="J492" t="s">
        <v>15</v>
      </c>
    </row>
    <row r="493" spans="1:10" x14ac:dyDescent="0.35">
      <c r="A493" t="s">
        <v>515</v>
      </c>
      <c r="B493" t="s">
        <v>11</v>
      </c>
      <c r="C493">
        <v>64</v>
      </c>
      <c r="D493">
        <v>13</v>
      </c>
      <c r="E493" t="s">
        <v>21</v>
      </c>
      <c r="F493" t="s">
        <v>29</v>
      </c>
      <c r="G493" t="s">
        <v>23</v>
      </c>
      <c r="H493">
        <v>66.069999999999993</v>
      </c>
      <c r="I493">
        <v>882.21</v>
      </c>
      <c r="J493" t="s">
        <v>15</v>
      </c>
    </row>
    <row r="494" spans="1:10" x14ac:dyDescent="0.35">
      <c r="A494" t="s">
        <v>516</v>
      </c>
      <c r="B494" t="s">
        <v>11</v>
      </c>
      <c r="C494">
        <v>57</v>
      </c>
      <c r="D494">
        <v>31</v>
      </c>
      <c r="E494" t="s">
        <v>12</v>
      </c>
      <c r="F494" t="s">
        <v>13</v>
      </c>
      <c r="G494" t="s">
        <v>23</v>
      </c>
      <c r="H494">
        <v>59.37</v>
      </c>
      <c r="I494">
        <v>2021.92</v>
      </c>
      <c r="J494" t="s">
        <v>15</v>
      </c>
    </row>
    <row r="495" spans="1:10" x14ac:dyDescent="0.35">
      <c r="A495" t="s">
        <v>517</v>
      </c>
      <c r="B495" t="s">
        <v>17</v>
      </c>
      <c r="C495">
        <v>60</v>
      </c>
      <c r="D495">
        <v>71</v>
      </c>
      <c r="E495" t="s">
        <v>12</v>
      </c>
      <c r="F495" t="s">
        <v>13</v>
      </c>
      <c r="G495" t="s">
        <v>23</v>
      </c>
      <c r="H495">
        <v>115.01</v>
      </c>
      <c r="I495">
        <v>8619.26</v>
      </c>
      <c r="J495" t="s">
        <v>15</v>
      </c>
    </row>
    <row r="496" spans="1:10" x14ac:dyDescent="0.35">
      <c r="A496" t="s">
        <v>518</v>
      </c>
      <c r="B496" t="s">
        <v>11</v>
      </c>
      <c r="C496">
        <v>29</v>
      </c>
      <c r="D496">
        <v>63</v>
      </c>
      <c r="E496" t="s">
        <v>12</v>
      </c>
      <c r="F496" t="s">
        <v>22</v>
      </c>
      <c r="G496" t="s">
        <v>19</v>
      </c>
      <c r="H496">
        <v>111.09</v>
      </c>
      <c r="I496">
        <v>6614.92</v>
      </c>
      <c r="J496" t="s">
        <v>15</v>
      </c>
    </row>
    <row r="497" spans="1:10" x14ac:dyDescent="0.35">
      <c r="A497" t="s">
        <v>519</v>
      </c>
      <c r="B497" t="s">
        <v>11</v>
      </c>
      <c r="C497">
        <v>61</v>
      </c>
      <c r="D497">
        <v>56</v>
      </c>
      <c r="E497" t="s">
        <v>21</v>
      </c>
      <c r="F497" t="s">
        <v>33</v>
      </c>
      <c r="G497" t="s">
        <v>23</v>
      </c>
      <c r="H497">
        <v>96.57</v>
      </c>
      <c r="I497">
        <v>5057.51</v>
      </c>
      <c r="J497" t="s">
        <v>15</v>
      </c>
    </row>
    <row r="498" spans="1:10" x14ac:dyDescent="0.35">
      <c r="A498" t="s">
        <v>520</v>
      </c>
      <c r="B498" t="s">
        <v>11</v>
      </c>
      <c r="C498">
        <v>53</v>
      </c>
      <c r="D498">
        <v>42</v>
      </c>
      <c r="E498" t="s">
        <v>12</v>
      </c>
      <c r="F498" t="s">
        <v>22</v>
      </c>
      <c r="G498" t="s">
        <v>23</v>
      </c>
      <c r="H498">
        <v>142.03</v>
      </c>
      <c r="I498">
        <v>6402.19</v>
      </c>
      <c r="J498" t="s">
        <v>15</v>
      </c>
    </row>
    <row r="499" spans="1:10" x14ac:dyDescent="0.35">
      <c r="A499" t="s">
        <v>521</v>
      </c>
      <c r="B499" t="s">
        <v>17</v>
      </c>
      <c r="C499">
        <v>65</v>
      </c>
      <c r="D499">
        <v>61</v>
      </c>
      <c r="E499" t="s">
        <v>12</v>
      </c>
      <c r="F499" t="s">
        <v>33</v>
      </c>
      <c r="G499" t="s">
        <v>23</v>
      </c>
      <c r="H499">
        <v>65.48</v>
      </c>
      <c r="I499">
        <v>3949.69</v>
      </c>
      <c r="J499" t="s">
        <v>15</v>
      </c>
    </row>
    <row r="500" spans="1:10" x14ac:dyDescent="0.35">
      <c r="A500" t="s">
        <v>522</v>
      </c>
      <c r="B500" t="s">
        <v>11</v>
      </c>
      <c r="C500">
        <v>21</v>
      </c>
      <c r="D500">
        <v>42</v>
      </c>
      <c r="E500" t="s">
        <v>21</v>
      </c>
      <c r="F500" t="s">
        <v>33</v>
      </c>
      <c r="G500" t="s">
        <v>19</v>
      </c>
      <c r="H500">
        <v>51.69</v>
      </c>
      <c r="I500">
        <v>2013.39</v>
      </c>
      <c r="J500" t="s">
        <v>15</v>
      </c>
    </row>
    <row r="501" spans="1:10" x14ac:dyDescent="0.35">
      <c r="A501" t="s">
        <v>523</v>
      </c>
      <c r="B501" t="s">
        <v>17</v>
      </c>
      <c r="C501">
        <v>22</v>
      </c>
      <c r="D501">
        <v>56</v>
      </c>
      <c r="E501" t="s">
        <v>12</v>
      </c>
      <c r="F501" t="s">
        <v>13</v>
      </c>
      <c r="G501" t="s">
        <v>19</v>
      </c>
      <c r="H501">
        <v>105.27</v>
      </c>
      <c r="I501">
        <v>6322.18</v>
      </c>
      <c r="J501" t="s">
        <v>15</v>
      </c>
    </row>
    <row r="502" spans="1:10" x14ac:dyDescent="0.35">
      <c r="A502" t="s">
        <v>524</v>
      </c>
      <c r="B502" t="s">
        <v>11</v>
      </c>
      <c r="C502">
        <v>54</v>
      </c>
      <c r="D502">
        <v>36</v>
      </c>
      <c r="E502" t="s">
        <v>12</v>
      </c>
      <c r="F502" t="s">
        <v>33</v>
      </c>
      <c r="G502" t="s">
        <v>23</v>
      </c>
      <c r="H502">
        <v>45.85</v>
      </c>
      <c r="I502">
        <v>1754.95</v>
      </c>
      <c r="J502" t="s">
        <v>15</v>
      </c>
    </row>
    <row r="503" spans="1:10" x14ac:dyDescent="0.35">
      <c r="A503" t="s">
        <v>525</v>
      </c>
      <c r="B503" t="s">
        <v>11</v>
      </c>
      <c r="C503">
        <v>25</v>
      </c>
      <c r="D503">
        <v>68</v>
      </c>
      <c r="E503" t="s">
        <v>18</v>
      </c>
      <c r="F503" t="s">
        <v>22</v>
      </c>
      <c r="G503" t="s">
        <v>19</v>
      </c>
      <c r="H503">
        <v>60.95</v>
      </c>
      <c r="I503">
        <v>4545.72</v>
      </c>
      <c r="J503" t="s">
        <v>15</v>
      </c>
    </row>
    <row r="504" spans="1:10" x14ac:dyDescent="0.35">
      <c r="A504" t="s">
        <v>526</v>
      </c>
      <c r="B504" t="s">
        <v>11</v>
      </c>
      <c r="C504">
        <v>59</v>
      </c>
      <c r="D504">
        <v>7</v>
      </c>
      <c r="E504" t="s">
        <v>18</v>
      </c>
      <c r="F504" t="s">
        <v>29</v>
      </c>
      <c r="G504" t="s">
        <v>23</v>
      </c>
      <c r="H504">
        <v>49.2</v>
      </c>
      <c r="I504">
        <v>372.62</v>
      </c>
      <c r="J504" t="s">
        <v>15</v>
      </c>
    </row>
    <row r="505" spans="1:10" x14ac:dyDescent="0.35">
      <c r="A505" t="s">
        <v>527</v>
      </c>
      <c r="B505" t="s">
        <v>17</v>
      </c>
      <c r="C505">
        <v>66</v>
      </c>
      <c r="D505">
        <v>54</v>
      </c>
      <c r="E505" t="s">
        <v>12</v>
      </c>
      <c r="F505" t="s">
        <v>22</v>
      </c>
      <c r="G505" t="s">
        <v>23</v>
      </c>
      <c r="H505">
        <v>28.99</v>
      </c>
      <c r="I505">
        <v>1675.6</v>
      </c>
      <c r="J505" t="s">
        <v>27</v>
      </c>
    </row>
    <row r="506" spans="1:10" x14ac:dyDescent="0.35">
      <c r="A506" t="s">
        <v>528</v>
      </c>
      <c r="B506" t="s">
        <v>11</v>
      </c>
      <c r="C506">
        <v>45</v>
      </c>
      <c r="D506">
        <v>1</v>
      </c>
      <c r="E506" t="s">
        <v>12</v>
      </c>
      <c r="F506" t="s">
        <v>29</v>
      </c>
      <c r="G506" t="s">
        <v>14</v>
      </c>
      <c r="H506">
        <v>127.57</v>
      </c>
      <c r="I506">
        <v>116.15</v>
      </c>
      <c r="J506" t="s">
        <v>27</v>
      </c>
    </row>
    <row r="507" spans="1:10" x14ac:dyDescent="0.35">
      <c r="A507" t="s">
        <v>529</v>
      </c>
      <c r="B507" t="s">
        <v>11</v>
      </c>
      <c r="C507">
        <v>48</v>
      </c>
      <c r="D507">
        <v>44</v>
      </c>
      <c r="E507" t="s">
        <v>21</v>
      </c>
      <c r="F507" t="s">
        <v>13</v>
      </c>
      <c r="G507" t="s">
        <v>14</v>
      </c>
      <c r="H507">
        <v>53.09</v>
      </c>
      <c r="I507">
        <v>2151.15</v>
      </c>
      <c r="J507" t="s">
        <v>15</v>
      </c>
    </row>
    <row r="508" spans="1:10" x14ac:dyDescent="0.35">
      <c r="A508" t="s">
        <v>530</v>
      </c>
      <c r="B508" t="s">
        <v>17</v>
      </c>
      <c r="C508">
        <v>26</v>
      </c>
      <c r="D508">
        <v>45</v>
      </c>
      <c r="E508" t="s">
        <v>12</v>
      </c>
      <c r="F508" t="s">
        <v>22</v>
      </c>
      <c r="G508" t="s">
        <v>19</v>
      </c>
      <c r="H508">
        <v>81.489999999999995</v>
      </c>
      <c r="I508">
        <v>3717.64</v>
      </c>
      <c r="J508" t="s">
        <v>15</v>
      </c>
    </row>
    <row r="509" spans="1:10" x14ac:dyDescent="0.35">
      <c r="A509" t="s">
        <v>531</v>
      </c>
      <c r="B509" t="s">
        <v>11</v>
      </c>
      <c r="C509">
        <v>68</v>
      </c>
      <c r="D509">
        <v>47</v>
      </c>
      <c r="E509" t="s">
        <v>12</v>
      </c>
      <c r="F509" t="s">
        <v>29</v>
      </c>
      <c r="G509" t="s">
        <v>23</v>
      </c>
      <c r="H509">
        <v>25.63</v>
      </c>
      <c r="I509">
        <v>1212.19</v>
      </c>
      <c r="J509" t="s">
        <v>27</v>
      </c>
    </row>
    <row r="510" spans="1:10" x14ac:dyDescent="0.35">
      <c r="A510" t="s">
        <v>532</v>
      </c>
      <c r="B510" t="s">
        <v>17</v>
      </c>
      <c r="C510">
        <v>46</v>
      </c>
      <c r="D510">
        <v>13</v>
      </c>
      <c r="E510" t="s">
        <v>12</v>
      </c>
      <c r="F510" t="s">
        <v>29</v>
      </c>
      <c r="G510" t="s">
        <v>14</v>
      </c>
      <c r="H510">
        <v>110.91</v>
      </c>
      <c r="I510">
        <v>1429.71</v>
      </c>
      <c r="J510" t="s">
        <v>27</v>
      </c>
    </row>
    <row r="511" spans="1:10" x14ac:dyDescent="0.35">
      <c r="A511" t="s">
        <v>533</v>
      </c>
      <c r="B511" t="s">
        <v>17</v>
      </c>
      <c r="C511">
        <v>31</v>
      </c>
      <c r="D511">
        <v>22</v>
      </c>
      <c r="E511" t="s">
        <v>12</v>
      </c>
      <c r="F511" t="s">
        <v>33</v>
      </c>
      <c r="G511" t="s">
        <v>14</v>
      </c>
      <c r="H511">
        <v>62.97</v>
      </c>
      <c r="I511">
        <v>1356.74</v>
      </c>
      <c r="J511" t="s">
        <v>27</v>
      </c>
    </row>
    <row r="512" spans="1:10" x14ac:dyDescent="0.35">
      <c r="A512" t="s">
        <v>534</v>
      </c>
      <c r="B512" t="s">
        <v>11</v>
      </c>
      <c r="C512">
        <v>57</v>
      </c>
      <c r="D512">
        <v>21</v>
      </c>
      <c r="E512" t="s">
        <v>21</v>
      </c>
      <c r="F512" t="s">
        <v>22</v>
      </c>
      <c r="G512" t="s">
        <v>23</v>
      </c>
      <c r="H512">
        <v>116.82</v>
      </c>
      <c r="I512">
        <v>2419.4699999999998</v>
      </c>
      <c r="J512" t="s">
        <v>15</v>
      </c>
    </row>
    <row r="513" spans="1:10" x14ac:dyDescent="0.35">
      <c r="A513" t="s">
        <v>535</v>
      </c>
      <c r="B513" t="s">
        <v>17</v>
      </c>
      <c r="C513">
        <v>58</v>
      </c>
      <c r="D513">
        <v>9</v>
      </c>
      <c r="E513" t="s">
        <v>12</v>
      </c>
      <c r="F513" t="s">
        <v>29</v>
      </c>
      <c r="G513" t="s">
        <v>23</v>
      </c>
      <c r="H513">
        <v>73.61</v>
      </c>
      <c r="I513">
        <v>671.67</v>
      </c>
      <c r="J513" t="s">
        <v>27</v>
      </c>
    </row>
    <row r="514" spans="1:10" x14ac:dyDescent="0.35">
      <c r="A514" t="s">
        <v>536</v>
      </c>
      <c r="B514" t="s">
        <v>11</v>
      </c>
      <c r="C514">
        <v>39</v>
      </c>
      <c r="D514">
        <v>26</v>
      </c>
      <c r="E514" t="s">
        <v>21</v>
      </c>
      <c r="F514" t="s">
        <v>22</v>
      </c>
      <c r="G514" t="s">
        <v>14</v>
      </c>
      <c r="H514">
        <v>45.45</v>
      </c>
      <c r="I514">
        <v>1064.02</v>
      </c>
      <c r="J514" t="s">
        <v>15</v>
      </c>
    </row>
    <row r="515" spans="1:10" x14ac:dyDescent="0.35">
      <c r="A515" t="s">
        <v>537</v>
      </c>
      <c r="B515" t="s">
        <v>17</v>
      </c>
      <c r="C515">
        <v>28</v>
      </c>
      <c r="D515">
        <v>9</v>
      </c>
      <c r="E515" t="s">
        <v>18</v>
      </c>
      <c r="F515" t="s">
        <v>13</v>
      </c>
      <c r="G515" t="s">
        <v>19</v>
      </c>
      <c r="H515">
        <v>86.71</v>
      </c>
      <c r="I515">
        <v>743.04</v>
      </c>
      <c r="J515" t="s">
        <v>15</v>
      </c>
    </row>
    <row r="516" spans="1:10" x14ac:dyDescent="0.35">
      <c r="A516" t="s">
        <v>538</v>
      </c>
      <c r="B516" t="s">
        <v>17</v>
      </c>
      <c r="C516">
        <v>40</v>
      </c>
      <c r="D516">
        <v>15</v>
      </c>
      <c r="E516" t="s">
        <v>12</v>
      </c>
      <c r="F516" t="s">
        <v>13</v>
      </c>
      <c r="G516" t="s">
        <v>14</v>
      </c>
      <c r="H516">
        <v>36.97</v>
      </c>
      <c r="I516">
        <v>556.58000000000004</v>
      </c>
      <c r="J516" t="s">
        <v>15</v>
      </c>
    </row>
    <row r="517" spans="1:10" x14ac:dyDescent="0.35">
      <c r="A517" t="s">
        <v>539</v>
      </c>
      <c r="B517" t="s">
        <v>11</v>
      </c>
      <c r="C517">
        <v>18</v>
      </c>
      <c r="D517">
        <v>10</v>
      </c>
      <c r="E517" t="s">
        <v>21</v>
      </c>
      <c r="F517" t="s">
        <v>33</v>
      </c>
      <c r="G517" t="s">
        <v>19</v>
      </c>
      <c r="H517">
        <v>77.27</v>
      </c>
      <c r="I517">
        <v>807.04</v>
      </c>
      <c r="J517" t="s">
        <v>15</v>
      </c>
    </row>
    <row r="518" spans="1:10" x14ac:dyDescent="0.35">
      <c r="A518" t="s">
        <v>540</v>
      </c>
      <c r="B518" t="s">
        <v>17</v>
      </c>
      <c r="C518">
        <v>63</v>
      </c>
      <c r="D518">
        <v>42</v>
      </c>
      <c r="E518" t="s">
        <v>18</v>
      </c>
      <c r="F518" t="s">
        <v>22</v>
      </c>
      <c r="G518" t="s">
        <v>23</v>
      </c>
      <c r="H518">
        <v>61.25</v>
      </c>
      <c r="I518">
        <v>2404.85</v>
      </c>
      <c r="J518" t="s">
        <v>15</v>
      </c>
    </row>
    <row r="519" spans="1:10" x14ac:dyDescent="0.35">
      <c r="A519" t="s">
        <v>541</v>
      </c>
      <c r="B519" t="s">
        <v>17</v>
      </c>
      <c r="C519">
        <v>54</v>
      </c>
      <c r="D519">
        <v>72</v>
      </c>
      <c r="E519" t="s">
        <v>12</v>
      </c>
      <c r="F519" t="s">
        <v>13</v>
      </c>
      <c r="G519" t="s">
        <v>23</v>
      </c>
      <c r="H519">
        <v>138.55000000000001</v>
      </c>
      <c r="I519">
        <v>10069.129999999999</v>
      </c>
      <c r="J519" t="s">
        <v>15</v>
      </c>
    </row>
    <row r="520" spans="1:10" x14ac:dyDescent="0.35">
      <c r="A520" t="s">
        <v>542</v>
      </c>
      <c r="B520" t="s">
        <v>17</v>
      </c>
      <c r="C520">
        <v>38</v>
      </c>
      <c r="D520">
        <v>24</v>
      </c>
      <c r="E520" t="s">
        <v>12</v>
      </c>
      <c r="F520" t="s">
        <v>33</v>
      </c>
      <c r="G520" t="s">
        <v>14</v>
      </c>
      <c r="H520">
        <v>27.92</v>
      </c>
      <c r="I520">
        <v>698.82</v>
      </c>
      <c r="J520" t="s">
        <v>15</v>
      </c>
    </row>
    <row r="521" spans="1:10" x14ac:dyDescent="0.35">
      <c r="A521" t="s">
        <v>543</v>
      </c>
      <c r="B521" t="s">
        <v>17</v>
      </c>
      <c r="C521">
        <v>43</v>
      </c>
      <c r="D521">
        <v>49</v>
      </c>
      <c r="E521" t="s">
        <v>21</v>
      </c>
      <c r="F521" t="s">
        <v>33</v>
      </c>
      <c r="G521" t="s">
        <v>14</v>
      </c>
      <c r="H521">
        <v>110.22</v>
      </c>
      <c r="I521">
        <v>5340.97</v>
      </c>
      <c r="J521" t="s">
        <v>15</v>
      </c>
    </row>
    <row r="522" spans="1:10" x14ac:dyDescent="0.35">
      <c r="A522" t="s">
        <v>544</v>
      </c>
      <c r="B522" t="s">
        <v>17</v>
      </c>
      <c r="C522">
        <v>63</v>
      </c>
      <c r="D522">
        <v>26</v>
      </c>
      <c r="E522" t="s">
        <v>21</v>
      </c>
      <c r="F522" t="s">
        <v>29</v>
      </c>
      <c r="G522" t="s">
        <v>23</v>
      </c>
      <c r="H522">
        <v>43.76</v>
      </c>
      <c r="I522">
        <v>1030.1500000000001</v>
      </c>
      <c r="J522" t="s">
        <v>15</v>
      </c>
    </row>
    <row r="523" spans="1:10" x14ac:dyDescent="0.35">
      <c r="A523" t="s">
        <v>545</v>
      </c>
      <c r="B523" t="s">
        <v>11</v>
      </c>
      <c r="C523">
        <v>53</v>
      </c>
      <c r="D523">
        <v>37</v>
      </c>
      <c r="E523" t="s">
        <v>18</v>
      </c>
      <c r="F523" t="s">
        <v>29</v>
      </c>
      <c r="G523" t="s">
        <v>23</v>
      </c>
      <c r="H523">
        <v>61.48</v>
      </c>
      <c r="I523">
        <v>2251.6799999999998</v>
      </c>
      <c r="J523" t="s">
        <v>15</v>
      </c>
    </row>
    <row r="524" spans="1:10" x14ac:dyDescent="0.35">
      <c r="A524" t="s">
        <v>546</v>
      </c>
      <c r="B524" t="s">
        <v>17</v>
      </c>
      <c r="C524">
        <v>40</v>
      </c>
      <c r="D524">
        <v>68</v>
      </c>
      <c r="E524" t="s">
        <v>12</v>
      </c>
      <c r="F524" t="s">
        <v>29</v>
      </c>
      <c r="G524" t="s">
        <v>14</v>
      </c>
      <c r="H524">
        <v>74.02</v>
      </c>
      <c r="I524">
        <v>4828.45</v>
      </c>
      <c r="J524" t="s">
        <v>27</v>
      </c>
    </row>
    <row r="525" spans="1:10" x14ac:dyDescent="0.35">
      <c r="A525" t="s">
        <v>547</v>
      </c>
      <c r="B525" t="s">
        <v>11</v>
      </c>
      <c r="C525">
        <v>18</v>
      </c>
      <c r="D525">
        <v>50</v>
      </c>
      <c r="E525" t="s">
        <v>18</v>
      </c>
      <c r="F525" t="s">
        <v>22</v>
      </c>
      <c r="G525" t="s">
        <v>19</v>
      </c>
      <c r="H525">
        <v>138.04</v>
      </c>
      <c r="I525">
        <v>7495.09</v>
      </c>
      <c r="J525" t="s">
        <v>15</v>
      </c>
    </row>
    <row r="526" spans="1:10" x14ac:dyDescent="0.35">
      <c r="A526" t="s">
        <v>548</v>
      </c>
      <c r="B526" t="s">
        <v>17</v>
      </c>
      <c r="C526">
        <v>68</v>
      </c>
      <c r="D526">
        <v>24</v>
      </c>
      <c r="E526" t="s">
        <v>12</v>
      </c>
      <c r="F526" t="s">
        <v>22</v>
      </c>
      <c r="G526" t="s">
        <v>23</v>
      </c>
      <c r="H526">
        <v>51.54</v>
      </c>
      <c r="I526">
        <v>1144.0899999999999</v>
      </c>
      <c r="J526" t="s">
        <v>15</v>
      </c>
    </row>
    <row r="527" spans="1:10" x14ac:dyDescent="0.35">
      <c r="A527" t="s">
        <v>549</v>
      </c>
      <c r="B527" t="s">
        <v>11</v>
      </c>
      <c r="C527">
        <v>57</v>
      </c>
      <c r="D527">
        <v>19</v>
      </c>
      <c r="E527" t="s">
        <v>12</v>
      </c>
      <c r="F527" t="s">
        <v>22</v>
      </c>
      <c r="G527" t="s">
        <v>23</v>
      </c>
      <c r="H527">
        <v>31.87</v>
      </c>
      <c r="I527">
        <v>624</v>
      </c>
      <c r="J527" t="s">
        <v>15</v>
      </c>
    </row>
    <row r="528" spans="1:10" x14ac:dyDescent="0.35">
      <c r="A528" t="s">
        <v>550</v>
      </c>
      <c r="B528" t="s">
        <v>11</v>
      </c>
      <c r="C528">
        <v>32</v>
      </c>
      <c r="D528">
        <v>60</v>
      </c>
      <c r="E528" t="s">
        <v>21</v>
      </c>
      <c r="F528" t="s">
        <v>33</v>
      </c>
      <c r="G528" t="s">
        <v>14</v>
      </c>
      <c r="H528">
        <v>61.43</v>
      </c>
      <c r="I528">
        <v>3356.08</v>
      </c>
      <c r="J528" t="s">
        <v>15</v>
      </c>
    </row>
    <row r="529" spans="1:10" x14ac:dyDescent="0.35">
      <c r="A529" t="s">
        <v>551</v>
      </c>
      <c r="B529" t="s">
        <v>17</v>
      </c>
      <c r="C529">
        <v>38</v>
      </c>
      <c r="D529">
        <v>39</v>
      </c>
      <c r="E529" t="s">
        <v>12</v>
      </c>
      <c r="F529" t="s">
        <v>22</v>
      </c>
      <c r="G529" t="s">
        <v>14</v>
      </c>
      <c r="H529">
        <v>33.61</v>
      </c>
      <c r="I529">
        <v>1296.68</v>
      </c>
      <c r="J529" t="s">
        <v>15</v>
      </c>
    </row>
    <row r="530" spans="1:10" x14ac:dyDescent="0.35">
      <c r="A530" t="s">
        <v>552</v>
      </c>
      <c r="B530" t="s">
        <v>17</v>
      </c>
      <c r="C530">
        <v>64</v>
      </c>
      <c r="D530">
        <v>18</v>
      </c>
      <c r="E530" t="s">
        <v>12</v>
      </c>
      <c r="F530" t="s">
        <v>29</v>
      </c>
      <c r="G530" t="s">
        <v>23</v>
      </c>
      <c r="H530">
        <v>36.72</v>
      </c>
      <c r="I530">
        <v>668.1</v>
      </c>
      <c r="J530" t="s">
        <v>15</v>
      </c>
    </row>
    <row r="531" spans="1:10" x14ac:dyDescent="0.35">
      <c r="A531" t="s">
        <v>553</v>
      </c>
      <c r="B531" t="s">
        <v>17</v>
      </c>
      <c r="C531">
        <v>26</v>
      </c>
      <c r="D531">
        <v>19</v>
      </c>
      <c r="E531" t="s">
        <v>12</v>
      </c>
      <c r="F531" t="s">
        <v>29</v>
      </c>
      <c r="G531" t="s">
        <v>19</v>
      </c>
      <c r="H531">
        <v>94.6</v>
      </c>
      <c r="I531">
        <v>1724.77</v>
      </c>
      <c r="J531" t="s">
        <v>27</v>
      </c>
    </row>
    <row r="532" spans="1:10" x14ac:dyDescent="0.35">
      <c r="A532" t="s">
        <v>554</v>
      </c>
      <c r="B532" t="s">
        <v>11</v>
      </c>
      <c r="C532">
        <v>70</v>
      </c>
      <c r="D532">
        <v>36</v>
      </c>
      <c r="E532" t="s">
        <v>12</v>
      </c>
      <c r="F532" t="s">
        <v>13</v>
      </c>
      <c r="G532" t="s">
        <v>23</v>
      </c>
      <c r="H532">
        <v>27.92</v>
      </c>
      <c r="I532">
        <v>996.09</v>
      </c>
      <c r="J532" t="s">
        <v>15</v>
      </c>
    </row>
    <row r="533" spans="1:10" x14ac:dyDescent="0.35">
      <c r="A533" t="s">
        <v>555</v>
      </c>
      <c r="B533" t="s">
        <v>17</v>
      </c>
      <c r="C533">
        <v>26</v>
      </c>
      <c r="D533">
        <v>55</v>
      </c>
      <c r="E533" t="s">
        <v>12</v>
      </c>
      <c r="F533" t="s">
        <v>13</v>
      </c>
      <c r="G533" t="s">
        <v>19</v>
      </c>
      <c r="H533">
        <v>24.02</v>
      </c>
      <c r="I533">
        <v>1232.2</v>
      </c>
      <c r="J533" t="s">
        <v>27</v>
      </c>
    </row>
    <row r="534" spans="1:10" x14ac:dyDescent="0.35">
      <c r="A534" t="s">
        <v>556</v>
      </c>
      <c r="B534" t="s">
        <v>11</v>
      </c>
      <c r="C534">
        <v>27</v>
      </c>
      <c r="D534">
        <v>69</v>
      </c>
      <c r="E534" t="s">
        <v>18</v>
      </c>
      <c r="F534" t="s">
        <v>22</v>
      </c>
      <c r="G534" t="s">
        <v>19</v>
      </c>
      <c r="H534">
        <v>112.87</v>
      </c>
      <c r="I534">
        <v>7482.93</v>
      </c>
      <c r="J534" t="s">
        <v>27</v>
      </c>
    </row>
    <row r="535" spans="1:10" x14ac:dyDescent="0.35">
      <c r="A535" t="s">
        <v>557</v>
      </c>
      <c r="B535" t="s">
        <v>11</v>
      </c>
      <c r="C535">
        <v>69</v>
      </c>
      <c r="D535">
        <v>47</v>
      </c>
      <c r="E535" t="s">
        <v>12</v>
      </c>
      <c r="F535" t="s">
        <v>33</v>
      </c>
      <c r="G535" t="s">
        <v>23</v>
      </c>
      <c r="H535">
        <v>67.010000000000005</v>
      </c>
      <c r="I535">
        <v>3225.75</v>
      </c>
      <c r="J535" t="s">
        <v>15</v>
      </c>
    </row>
    <row r="536" spans="1:10" x14ac:dyDescent="0.35">
      <c r="A536" t="s">
        <v>558</v>
      </c>
      <c r="B536" t="s">
        <v>11</v>
      </c>
      <c r="C536">
        <v>70</v>
      </c>
      <c r="D536">
        <v>49</v>
      </c>
      <c r="E536" t="s">
        <v>21</v>
      </c>
      <c r="F536" t="s">
        <v>29</v>
      </c>
      <c r="G536" t="s">
        <v>23</v>
      </c>
      <c r="H536">
        <v>36.299999999999997</v>
      </c>
      <c r="I536">
        <v>1708.19</v>
      </c>
      <c r="J536" t="s">
        <v>15</v>
      </c>
    </row>
    <row r="537" spans="1:10" x14ac:dyDescent="0.35">
      <c r="A537" t="s">
        <v>559</v>
      </c>
      <c r="B537" t="s">
        <v>17</v>
      </c>
      <c r="C537">
        <v>43</v>
      </c>
      <c r="D537">
        <v>33</v>
      </c>
      <c r="E537" t="s">
        <v>21</v>
      </c>
      <c r="F537" t="s">
        <v>13</v>
      </c>
      <c r="G537" t="s">
        <v>14</v>
      </c>
      <c r="H537">
        <v>52.97</v>
      </c>
      <c r="I537">
        <v>1887.76</v>
      </c>
      <c r="J537" t="s">
        <v>15</v>
      </c>
    </row>
    <row r="538" spans="1:10" x14ac:dyDescent="0.35">
      <c r="A538" t="s">
        <v>560</v>
      </c>
      <c r="B538" t="s">
        <v>17</v>
      </c>
      <c r="C538">
        <v>58</v>
      </c>
      <c r="D538">
        <v>21</v>
      </c>
      <c r="E538" t="s">
        <v>18</v>
      </c>
      <c r="F538" t="s">
        <v>22</v>
      </c>
      <c r="G538" t="s">
        <v>23</v>
      </c>
      <c r="H538">
        <v>103.47</v>
      </c>
      <c r="I538">
        <v>2228.67</v>
      </c>
      <c r="J538" t="s">
        <v>15</v>
      </c>
    </row>
    <row r="539" spans="1:10" x14ac:dyDescent="0.35">
      <c r="A539" t="s">
        <v>561</v>
      </c>
      <c r="B539" t="s">
        <v>11</v>
      </c>
      <c r="C539">
        <v>52</v>
      </c>
      <c r="D539">
        <v>22</v>
      </c>
      <c r="E539" t="s">
        <v>12</v>
      </c>
      <c r="F539" t="s">
        <v>13</v>
      </c>
      <c r="G539" t="s">
        <v>23</v>
      </c>
      <c r="H539">
        <v>55.82</v>
      </c>
      <c r="I539">
        <v>1212.97</v>
      </c>
      <c r="J539" t="s">
        <v>15</v>
      </c>
    </row>
    <row r="540" spans="1:10" x14ac:dyDescent="0.35">
      <c r="A540" t="s">
        <v>562</v>
      </c>
      <c r="B540" t="s">
        <v>11</v>
      </c>
      <c r="C540">
        <v>69</v>
      </c>
      <c r="D540">
        <v>48</v>
      </c>
      <c r="E540" t="s">
        <v>18</v>
      </c>
      <c r="F540" t="s">
        <v>29</v>
      </c>
      <c r="G540" t="s">
        <v>23</v>
      </c>
      <c r="H540">
        <v>84.29</v>
      </c>
      <c r="I540">
        <v>3672.69</v>
      </c>
      <c r="J540" t="s">
        <v>15</v>
      </c>
    </row>
    <row r="541" spans="1:10" x14ac:dyDescent="0.35">
      <c r="A541" t="s">
        <v>563</v>
      </c>
      <c r="B541" t="s">
        <v>17</v>
      </c>
      <c r="C541">
        <v>42</v>
      </c>
      <c r="D541">
        <v>37</v>
      </c>
      <c r="E541" t="s">
        <v>12</v>
      </c>
      <c r="F541" t="s">
        <v>13</v>
      </c>
      <c r="G541" t="s">
        <v>14</v>
      </c>
      <c r="H541">
        <v>35.82</v>
      </c>
      <c r="I541">
        <v>1325.22</v>
      </c>
      <c r="J541" t="s">
        <v>15</v>
      </c>
    </row>
    <row r="542" spans="1:10" x14ac:dyDescent="0.35">
      <c r="A542" t="s">
        <v>564</v>
      </c>
      <c r="B542" t="s">
        <v>11</v>
      </c>
      <c r="C542">
        <v>43</v>
      </c>
      <c r="D542">
        <v>15</v>
      </c>
      <c r="E542" t="s">
        <v>21</v>
      </c>
      <c r="F542" t="s">
        <v>29</v>
      </c>
      <c r="G542" t="s">
        <v>14</v>
      </c>
      <c r="H542">
        <v>96.45</v>
      </c>
      <c r="I542">
        <v>1523.36</v>
      </c>
      <c r="J542" t="s">
        <v>15</v>
      </c>
    </row>
    <row r="543" spans="1:10" x14ac:dyDescent="0.35">
      <c r="A543" t="s">
        <v>565</v>
      </c>
      <c r="B543" t="s">
        <v>17</v>
      </c>
      <c r="C543">
        <v>28</v>
      </c>
      <c r="D543">
        <v>35</v>
      </c>
      <c r="E543" t="s">
        <v>21</v>
      </c>
      <c r="F543" t="s">
        <v>33</v>
      </c>
      <c r="G543" t="s">
        <v>19</v>
      </c>
      <c r="H543">
        <v>61.09</v>
      </c>
      <c r="I543">
        <v>2037.9</v>
      </c>
      <c r="J543" t="s">
        <v>15</v>
      </c>
    </row>
    <row r="544" spans="1:10" x14ac:dyDescent="0.35">
      <c r="A544" t="s">
        <v>566</v>
      </c>
      <c r="B544" t="s">
        <v>11</v>
      </c>
      <c r="C544">
        <v>55</v>
      </c>
      <c r="D544">
        <v>71</v>
      </c>
      <c r="E544" t="s">
        <v>18</v>
      </c>
      <c r="F544" t="s">
        <v>29</v>
      </c>
      <c r="G544" t="s">
        <v>23</v>
      </c>
      <c r="H544">
        <v>101.51</v>
      </c>
      <c r="I544">
        <v>7649.41</v>
      </c>
      <c r="J544" t="s">
        <v>15</v>
      </c>
    </row>
    <row r="545" spans="1:10" x14ac:dyDescent="0.35">
      <c r="A545" t="s">
        <v>567</v>
      </c>
      <c r="B545" t="s">
        <v>17</v>
      </c>
      <c r="C545">
        <v>19</v>
      </c>
      <c r="D545">
        <v>32</v>
      </c>
      <c r="E545" t="s">
        <v>12</v>
      </c>
      <c r="F545" t="s">
        <v>13</v>
      </c>
      <c r="G545" t="s">
        <v>19</v>
      </c>
      <c r="H545">
        <v>125.09</v>
      </c>
      <c r="I545">
        <v>3804.18</v>
      </c>
      <c r="J545" t="s">
        <v>15</v>
      </c>
    </row>
    <row r="546" spans="1:10" x14ac:dyDescent="0.35">
      <c r="A546" t="s">
        <v>568</v>
      </c>
      <c r="B546" t="s">
        <v>11</v>
      </c>
      <c r="C546">
        <v>24</v>
      </c>
      <c r="D546">
        <v>11</v>
      </c>
      <c r="E546" t="s">
        <v>21</v>
      </c>
      <c r="F546" t="s">
        <v>13</v>
      </c>
      <c r="G546" t="s">
        <v>19</v>
      </c>
      <c r="H546">
        <v>99.51</v>
      </c>
      <c r="I546">
        <v>1165.49</v>
      </c>
      <c r="J546" t="s">
        <v>15</v>
      </c>
    </row>
    <row r="547" spans="1:10" x14ac:dyDescent="0.35">
      <c r="A547" t="s">
        <v>569</v>
      </c>
      <c r="B547" t="s">
        <v>17</v>
      </c>
      <c r="C547">
        <v>35</v>
      </c>
      <c r="D547">
        <v>10</v>
      </c>
      <c r="E547" t="s">
        <v>12</v>
      </c>
      <c r="F547" t="s">
        <v>33</v>
      </c>
      <c r="G547" t="s">
        <v>14</v>
      </c>
      <c r="H547">
        <v>58.45</v>
      </c>
      <c r="I547">
        <v>536.02</v>
      </c>
      <c r="J547" t="s">
        <v>15</v>
      </c>
    </row>
    <row r="548" spans="1:10" x14ac:dyDescent="0.35">
      <c r="A548" t="s">
        <v>570</v>
      </c>
      <c r="B548" t="s">
        <v>11</v>
      </c>
      <c r="C548">
        <v>44</v>
      </c>
      <c r="D548">
        <v>57</v>
      </c>
      <c r="E548" t="s">
        <v>21</v>
      </c>
      <c r="F548" t="s">
        <v>29</v>
      </c>
      <c r="G548" t="s">
        <v>14</v>
      </c>
      <c r="H548">
        <v>53.25</v>
      </c>
      <c r="I548">
        <v>3257.54</v>
      </c>
      <c r="J548" t="s">
        <v>27</v>
      </c>
    </row>
    <row r="549" spans="1:10" x14ac:dyDescent="0.35">
      <c r="A549" t="s">
        <v>571</v>
      </c>
      <c r="B549" t="s">
        <v>17</v>
      </c>
      <c r="C549">
        <v>51</v>
      </c>
      <c r="D549">
        <v>25</v>
      </c>
      <c r="E549" t="s">
        <v>18</v>
      </c>
      <c r="F549" t="s">
        <v>29</v>
      </c>
      <c r="G549" t="s">
        <v>23</v>
      </c>
      <c r="H549">
        <v>62.56</v>
      </c>
      <c r="I549">
        <v>1563.75</v>
      </c>
      <c r="J549" t="s">
        <v>15</v>
      </c>
    </row>
    <row r="550" spans="1:10" x14ac:dyDescent="0.35">
      <c r="A550" t="s">
        <v>572</v>
      </c>
      <c r="B550" t="s">
        <v>17</v>
      </c>
      <c r="C550">
        <v>44</v>
      </c>
      <c r="D550">
        <v>2</v>
      </c>
      <c r="E550" t="s">
        <v>12</v>
      </c>
      <c r="F550" t="s">
        <v>29</v>
      </c>
      <c r="G550" t="s">
        <v>14</v>
      </c>
      <c r="H550">
        <v>41.4</v>
      </c>
      <c r="I550">
        <v>79.430000000000007</v>
      </c>
      <c r="J550" t="s">
        <v>15</v>
      </c>
    </row>
    <row r="551" spans="1:10" x14ac:dyDescent="0.35">
      <c r="A551" t="s">
        <v>573</v>
      </c>
      <c r="B551" t="s">
        <v>11</v>
      </c>
      <c r="C551">
        <v>34</v>
      </c>
      <c r="D551">
        <v>64</v>
      </c>
      <c r="E551" t="s">
        <v>18</v>
      </c>
      <c r="F551" t="s">
        <v>29</v>
      </c>
      <c r="G551" t="s">
        <v>14</v>
      </c>
      <c r="H551">
        <v>43.55</v>
      </c>
      <c r="I551">
        <v>2656.26</v>
      </c>
      <c r="J551" t="s">
        <v>15</v>
      </c>
    </row>
    <row r="552" spans="1:10" x14ac:dyDescent="0.35">
      <c r="A552" t="s">
        <v>574</v>
      </c>
      <c r="B552" t="s">
        <v>11</v>
      </c>
      <c r="C552">
        <v>60</v>
      </c>
      <c r="D552">
        <v>35</v>
      </c>
      <c r="E552" t="s">
        <v>12</v>
      </c>
      <c r="F552" t="s">
        <v>29</v>
      </c>
      <c r="G552" t="s">
        <v>23</v>
      </c>
      <c r="H552">
        <v>122.79</v>
      </c>
      <c r="I552">
        <v>4239.21</v>
      </c>
      <c r="J552" t="s">
        <v>27</v>
      </c>
    </row>
    <row r="553" spans="1:10" x14ac:dyDescent="0.35">
      <c r="A553" t="s">
        <v>575</v>
      </c>
      <c r="B553" t="s">
        <v>17</v>
      </c>
      <c r="C553">
        <v>61</v>
      </c>
      <c r="D553">
        <v>7</v>
      </c>
      <c r="E553" t="s">
        <v>12</v>
      </c>
      <c r="F553" t="s">
        <v>22</v>
      </c>
      <c r="G553" t="s">
        <v>23</v>
      </c>
      <c r="H553">
        <v>70.02</v>
      </c>
      <c r="I553">
        <v>539.05999999999995</v>
      </c>
      <c r="J553" t="s">
        <v>27</v>
      </c>
    </row>
    <row r="554" spans="1:10" x14ac:dyDescent="0.35">
      <c r="A554" t="s">
        <v>576</v>
      </c>
      <c r="B554" t="s">
        <v>11</v>
      </c>
      <c r="C554">
        <v>68</v>
      </c>
      <c r="D554">
        <v>18</v>
      </c>
      <c r="E554" t="s">
        <v>12</v>
      </c>
      <c r="F554" t="s">
        <v>29</v>
      </c>
      <c r="G554" t="s">
        <v>23</v>
      </c>
      <c r="H554">
        <v>76.680000000000007</v>
      </c>
      <c r="I554">
        <v>1303.04</v>
      </c>
      <c r="J554" t="s">
        <v>27</v>
      </c>
    </row>
    <row r="555" spans="1:10" x14ac:dyDescent="0.35">
      <c r="A555" t="s">
        <v>577</v>
      </c>
      <c r="B555" t="s">
        <v>17</v>
      </c>
      <c r="C555">
        <v>41</v>
      </c>
      <c r="D555">
        <v>67</v>
      </c>
      <c r="E555" t="s">
        <v>12</v>
      </c>
      <c r="F555" t="s">
        <v>29</v>
      </c>
      <c r="G555" t="s">
        <v>14</v>
      </c>
      <c r="H555">
        <v>97.23</v>
      </c>
      <c r="I555">
        <v>5997.45</v>
      </c>
      <c r="J555" t="s">
        <v>15</v>
      </c>
    </row>
    <row r="556" spans="1:10" x14ac:dyDescent="0.35">
      <c r="A556" t="s">
        <v>578</v>
      </c>
      <c r="B556" t="s">
        <v>11</v>
      </c>
      <c r="C556">
        <v>42</v>
      </c>
      <c r="D556">
        <v>42</v>
      </c>
      <c r="E556" t="s">
        <v>21</v>
      </c>
      <c r="F556" t="s">
        <v>33</v>
      </c>
      <c r="G556" t="s">
        <v>14</v>
      </c>
      <c r="H556">
        <v>96.65</v>
      </c>
      <c r="I556">
        <v>4128.34</v>
      </c>
      <c r="J556" t="s">
        <v>15</v>
      </c>
    </row>
    <row r="557" spans="1:10" x14ac:dyDescent="0.35">
      <c r="A557" t="s">
        <v>579</v>
      </c>
      <c r="B557" t="s">
        <v>17</v>
      </c>
      <c r="C557">
        <v>24</v>
      </c>
      <c r="D557">
        <v>39</v>
      </c>
      <c r="E557" t="s">
        <v>12</v>
      </c>
      <c r="F557" t="s">
        <v>13</v>
      </c>
      <c r="G557" t="s">
        <v>19</v>
      </c>
      <c r="H557">
        <v>28.76</v>
      </c>
      <c r="I557">
        <v>1119.07</v>
      </c>
      <c r="J557" t="s">
        <v>15</v>
      </c>
    </row>
    <row r="558" spans="1:10" x14ac:dyDescent="0.35">
      <c r="A558" t="s">
        <v>580</v>
      </c>
      <c r="B558" t="s">
        <v>17</v>
      </c>
      <c r="C558">
        <v>69</v>
      </c>
      <c r="D558">
        <v>41</v>
      </c>
      <c r="E558" t="s">
        <v>12</v>
      </c>
      <c r="F558" t="s">
        <v>13</v>
      </c>
      <c r="G558" t="s">
        <v>23</v>
      </c>
      <c r="H558">
        <v>128.1</v>
      </c>
      <c r="I558">
        <v>5277.52</v>
      </c>
      <c r="J558" t="s">
        <v>27</v>
      </c>
    </row>
    <row r="559" spans="1:10" x14ac:dyDescent="0.35">
      <c r="A559" t="s">
        <v>581</v>
      </c>
      <c r="B559" t="s">
        <v>17</v>
      </c>
      <c r="C559">
        <v>23</v>
      </c>
      <c r="D559">
        <v>24</v>
      </c>
      <c r="E559" t="s">
        <v>18</v>
      </c>
      <c r="F559" t="s">
        <v>29</v>
      </c>
      <c r="G559" t="s">
        <v>19</v>
      </c>
      <c r="H559">
        <v>43.05</v>
      </c>
      <c r="I559">
        <v>1067.7</v>
      </c>
      <c r="J559" t="s">
        <v>15</v>
      </c>
    </row>
    <row r="560" spans="1:10" x14ac:dyDescent="0.35">
      <c r="A560" t="s">
        <v>582</v>
      </c>
      <c r="B560" t="s">
        <v>17</v>
      </c>
      <c r="C560">
        <v>70</v>
      </c>
      <c r="D560">
        <v>60</v>
      </c>
      <c r="E560" t="s">
        <v>18</v>
      </c>
      <c r="F560" t="s">
        <v>33</v>
      </c>
      <c r="G560" t="s">
        <v>23</v>
      </c>
      <c r="H560">
        <v>114</v>
      </c>
      <c r="I560">
        <v>6521.45</v>
      </c>
      <c r="J560" t="s">
        <v>15</v>
      </c>
    </row>
    <row r="561" spans="1:10" x14ac:dyDescent="0.35">
      <c r="A561" t="s">
        <v>583</v>
      </c>
      <c r="B561" t="s">
        <v>17</v>
      </c>
      <c r="C561">
        <v>41</v>
      </c>
      <c r="D561">
        <v>46</v>
      </c>
      <c r="E561" t="s">
        <v>18</v>
      </c>
      <c r="F561" t="s">
        <v>29</v>
      </c>
      <c r="G561" t="s">
        <v>14</v>
      </c>
      <c r="H561">
        <v>120.45</v>
      </c>
      <c r="I561">
        <v>5995.77</v>
      </c>
      <c r="J561" t="s">
        <v>15</v>
      </c>
    </row>
    <row r="562" spans="1:10" x14ac:dyDescent="0.35">
      <c r="A562" t="s">
        <v>584</v>
      </c>
      <c r="B562" t="s">
        <v>17</v>
      </c>
      <c r="C562">
        <v>50</v>
      </c>
      <c r="D562">
        <v>19</v>
      </c>
      <c r="E562" t="s">
        <v>18</v>
      </c>
      <c r="F562" t="s">
        <v>33</v>
      </c>
      <c r="G562" t="s">
        <v>23</v>
      </c>
      <c r="H562">
        <v>112.94</v>
      </c>
      <c r="I562">
        <v>2118.25</v>
      </c>
      <c r="J562" t="s">
        <v>15</v>
      </c>
    </row>
    <row r="563" spans="1:10" x14ac:dyDescent="0.35">
      <c r="A563" t="s">
        <v>585</v>
      </c>
      <c r="B563" t="s">
        <v>11</v>
      </c>
      <c r="C563">
        <v>66</v>
      </c>
      <c r="D563">
        <v>68</v>
      </c>
      <c r="E563" t="s">
        <v>21</v>
      </c>
      <c r="F563" t="s">
        <v>22</v>
      </c>
      <c r="G563" t="s">
        <v>23</v>
      </c>
      <c r="H563">
        <v>95.27</v>
      </c>
      <c r="I563">
        <v>5997.78</v>
      </c>
      <c r="J563" t="s">
        <v>15</v>
      </c>
    </row>
    <row r="564" spans="1:10" x14ac:dyDescent="0.35">
      <c r="A564" t="s">
        <v>586</v>
      </c>
      <c r="B564" t="s">
        <v>11</v>
      </c>
      <c r="C564">
        <v>46</v>
      </c>
      <c r="D564">
        <v>42</v>
      </c>
      <c r="E564" t="s">
        <v>12</v>
      </c>
      <c r="F564" t="s">
        <v>29</v>
      </c>
      <c r="G564" t="s">
        <v>14</v>
      </c>
      <c r="H564">
        <v>21.9</v>
      </c>
      <c r="I564">
        <v>964.37</v>
      </c>
      <c r="J564" t="s">
        <v>15</v>
      </c>
    </row>
    <row r="565" spans="1:10" x14ac:dyDescent="0.35">
      <c r="A565" t="s">
        <v>587</v>
      </c>
      <c r="B565" t="s">
        <v>11</v>
      </c>
      <c r="C565">
        <v>60</v>
      </c>
      <c r="D565">
        <v>32</v>
      </c>
      <c r="E565" t="s">
        <v>12</v>
      </c>
      <c r="F565" t="s">
        <v>33</v>
      </c>
      <c r="G565" t="s">
        <v>23</v>
      </c>
      <c r="H565">
        <v>66.849999999999994</v>
      </c>
      <c r="I565">
        <v>2200.4299999999998</v>
      </c>
      <c r="J565" t="s">
        <v>15</v>
      </c>
    </row>
    <row r="566" spans="1:10" x14ac:dyDescent="0.35">
      <c r="A566" t="s">
        <v>588</v>
      </c>
      <c r="B566" t="s">
        <v>17</v>
      </c>
      <c r="C566">
        <v>39</v>
      </c>
      <c r="D566">
        <v>39</v>
      </c>
      <c r="E566" t="s">
        <v>21</v>
      </c>
      <c r="F566" t="s">
        <v>29</v>
      </c>
      <c r="G566" t="s">
        <v>14</v>
      </c>
      <c r="H566">
        <v>98.63</v>
      </c>
      <c r="I566">
        <v>3704.82</v>
      </c>
      <c r="J566" t="s">
        <v>15</v>
      </c>
    </row>
    <row r="567" spans="1:10" x14ac:dyDescent="0.35">
      <c r="A567" t="s">
        <v>589</v>
      </c>
      <c r="B567" t="s">
        <v>17</v>
      </c>
      <c r="C567">
        <v>43</v>
      </c>
      <c r="D567">
        <v>36</v>
      </c>
      <c r="E567" t="s">
        <v>12</v>
      </c>
      <c r="F567" t="s">
        <v>29</v>
      </c>
      <c r="G567" t="s">
        <v>14</v>
      </c>
      <c r="H567">
        <v>70.37</v>
      </c>
      <c r="I567">
        <v>2594.89</v>
      </c>
      <c r="J567" t="s">
        <v>15</v>
      </c>
    </row>
    <row r="568" spans="1:10" x14ac:dyDescent="0.35">
      <c r="A568" t="s">
        <v>590</v>
      </c>
      <c r="B568" t="s">
        <v>17</v>
      </c>
      <c r="C568">
        <v>45</v>
      </c>
      <c r="D568">
        <v>36</v>
      </c>
      <c r="E568" t="s">
        <v>21</v>
      </c>
      <c r="F568" t="s">
        <v>33</v>
      </c>
      <c r="G568" t="s">
        <v>14</v>
      </c>
      <c r="H568">
        <v>132.25</v>
      </c>
      <c r="I568">
        <v>4494.25</v>
      </c>
      <c r="J568" t="s">
        <v>15</v>
      </c>
    </row>
    <row r="569" spans="1:10" x14ac:dyDescent="0.35">
      <c r="A569" t="s">
        <v>591</v>
      </c>
      <c r="B569" t="s">
        <v>17</v>
      </c>
      <c r="C569">
        <v>67</v>
      </c>
      <c r="D569">
        <v>3</v>
      </c>
      <c r="E569" t="s">
        <v>12</v>
      </c>
      <c r="F569" t="s">
        <v>22</v>
      </c>
      <c r="G569" t="s">
        <v>23</v>
      </c>
      <c r="H569">
        <v>60.14</v>
      </c>
      <c r="I569">
        <v>178.43</v>
      </c>
      <c r="J569" t="s">
        <v>15</v>
      </c>
    </row>
    <row r="570" spans="1:10" x14ac:dyDescent="0.35">
      <c r="A570" t="s">
        <v>592</v>
      </c>
      <c r="B570" t="s">
        <v>11</v>
      </c>
      <c r="C570">
        <v>38</v>
      </c>
      <c r="D570">
        <v>8</v>
      </c>
      <c r="E570" t="s">
        <v>12</v>
      </c>
      <c r="F570" t="s">
        <v>22</v>
      </c>
      <c r="G570" t="s">
        <v>14</v>
      </c>
      <c r="H570">
        <v>58.16</v>
      </c>
      <c r="I570">
        <v>502.45</v>
      </c>
      <c r="J570" t="s">
        <v>15</v>
      </c>
    </row>
    <row r="571" spans="1:10" x14ac:dyDescent="0.35">
      <c r="A571" t="s">
        <v>593</v>
      </c>
      <c r="B571" t="s">
        <v>11</v>
      </c>
      <c r="C571">
        <v>66</v>
      </c>
      <c r="D571">
        <v>70</v>
      </c>
      <c r="E571" t="s">
        <v>12</v>
      </c>
      <c r="F571" t="s">
        <v>29</v>
      </c>
      <c r="G571" t="s">
        <v>23</v>
      </c>
      <c r="H571">
        <v>54.58</v>
      </c>
      <c r="I571">
        <v>3540.58</v>
      </c>
      <c r="J571" t="s">
        <v>27</v>
      </c>
    </row>
    <row r="572" spans="1:10" x14ac:dyDescent="0.35">
      <c r="A572" t="s">
        <v>594</v>
      </c>
      <c r="B572" t="s">
        <v>17</v>
      </c>
      <c r="C572">
        <v>24</v>
      </c>
      <c r="D572">
        <v>41</v>
      </c>
      <c r="E572" t="s">
        <v>21</v>
      </c>
      <c r="F572" t="s">
        <v>13</v>
      </c>
      <c r="G572" t="s">
        <v>19</v>
      </c>
      <c r="H572">
        <v>63.26</v>
      </c>
      <c r="I572">
        <v>2534.89</v>
      </c>
      <c r="J572" t="s">
        <v>15</v>
      </c>
    </row>
    <row r="573" spans="1:10" x14ac:dyDescent="0.35">
      <c r="A573" t="s">
        <v>595</v>
      </c>
      <c r="B573" t="s">
        <v>11</v>
      </c>
      <c r="C573">
        <v>34</v>
      </c>
      <c r="D573">
        <v>68</v>
      </c>
      <c r="E573" t="s">
        <v>21</v>
      </c>
      <c r="F573" t="s">
        <v>22</v>
      </c>
      <c r="G573" t="s">
        <v>14</v>
      </c>
      <c r="H573">
        <v>92.46</v>
      </c>
      <c r="I573">
        <v>6691.1</v>
      </c>
      <c r="J573" t="s">
        <v>15</v>
      </c>
    </row>
    <row r="574" spans="1:10" x14ac:dyDescent="0.35">
      <c r="A574" t="s">
        <v>596</v>
      </c>
      <c r="B574" t="s">
        <v>11</v>
      </c>
      <c r="C574">
        <v>37</v>
      </c>
      <c r="D574">
        <v>13</v>
      </c>
      <c r="E574" t="s">
        <v>21</v>
      </c>
      <c r="F574" t="s">
        <v>29</v>
      </c>
      <c r="G574" t="s">
        <v>14</v>
      </c>
      <c r="H574">
        <v>111.91</v>
      </c>
      <c r="I574">
        <v>1591.44</v>
      </c>
      <c r="J574" t="s">
        <v>15</v>
      </c>
    </row>
    <row r="575" spans="1:10" x14ac:dyDescent="0.35">
      <c r="A575" t="s">
        <v>597</v>
      </c>
      <c r="B575" t="s">
        <v>17</v>
      </c>
      <c r="C575">
        <v>58</v>
      </c>
      <c r="D575">
        <v>49</v>
      </c>
      <c r="E575" t="s">
        <v>12</v>
      </c>
      <c r="F575" t="s">
        <v>29</v>
      </c>
      <c r="G575" t="s">
        <v>23</v>
      </c>
      <c r="H575">
        <v>106.13</v>
      </c>
      <c r="I575">
        <v>5152.45</v>
      </c>
      <c r="J575" t="s">
        <v>27</v>
      </c>
    </row>
    <row r="576" spans="1:10" x14ac:dyDescent="0.35">
      <c r="A576" t="s">
        <v>598</v>
      </c>
      <c r="B576" t="s">
        <v>11</v>
      </c>
      <c r="C576">
        <v>66</v>
      </c>
      <c r="D576">
        <v>60</v>
      </c>
      <c r="E576" t="s">
        <v>12</v>
      </c>
      <c r="F576" t="s">
        <v>29</v>
      </c>
      <c r="G576" t="s">
        <v>23</v>
      </c>
      <c r="H576">
        <v>125</v>
      </c>
      <c r="I576">
        <v>7510.5</v>
      </c>
      <c r="J576" t="s">
        <v>27</v>
      </c>
    </row>
    <row r="577" spans="1:10" x14ac:dyDescent="0.35">
      <c r="A577" t="s">
        <v>599</v>
      </c>
      <c r="B577" t="s">
        <v>17</v>
      </c>
      <c r="C577">
        <v>37</v>
      </c>
      <c r="D577">
        <v>2</v>
      </c>
      <c r="E577" t="s">
        <v>18</v>
      </c>
      <c r="F577" t="s">
        <v>29</v>
      </c>
      <c r="G577" t="s">
        <v>14</v>
      </c>
      <c r="H577">
        <v>135.16999999999999</v>
      </c>
      <c r="I577">
        <v>274.24</v>
      </c>
      <c r="J577" t="s">
        <v>15</v>
      </c>
    </row>
    <row r="578" spans="1:10" x14ac:dyDescent="0.35">
      <c r="A578" t="s">
        <v>600</v>
      </c>
      <c r="B578" t="s">
        <v>11</v>
      </c>
      <c r="C578">
        <v>39</v>
      </c>
      <c r="D578">
        <v>60</v>
      </c>
      <c r="E578" t="s">
        <v>21</v>
      </c>
      <c r="F578" t="s">
        <v>33</v>
      </c>
      <c r="G578" t="s">
        <v>14</v>
      </c>
      <c r="H578">
        <v>126.09</v>
      </c>
      <c r="I578">
        <v>8219.58</v>
      </c>
      <c r="J578" t="s">
        <v>27</v>
      </c>
    </row>
    <row r="579" spans="1:10" x14ac:dyDescent="0.35">
      <c r="A579" t="s">
        <v>601</v>
      </c>
      <c r="B579" t="s">
        <v>17</v>
      </c>
      <c r="C579">
        <v>45</v>
      </c>
      <c r="D579">
        <v>5</v>
      </c>
      <c r="E579" t="s">
        <v>12</v>
      </c>
      <c r="F579" t="s">
        <v>13</v>
      </c>
      <c r="G579" t="s">
        <v>14</v>
      </c>
      <c r="H579">
        <v>22.46</v>
      </c>
      <c r="I579">
        <v>120.35</v>
      </c>
      <c r="J579" t="s">
        <v>27</v>
      </c>
    </row>
    <row r="580" spans="1:10" x14ac:dyDescent="0.35">
      <c r="A580" t="s">
        <v>602</v>
      </c>
      <c r="B580" t="s">
        <v>17</v>
      </c>
      <c r="C580">
        <v>57</v>
      </c>
      <c r="D580">
        <v>44</v>
      </c>
      <c r="E580" t="s">
        <v>18</v>
      </c>
      <c r="F580" t="s">
        <v>33</v>
      </c>
      <c r="G580" t="s">
        <v>23</v>
      </c>
      <c r="H580">
        <v>115.67</v>
      </c>
      <c r="I580">
        <v>4754.1899999999996</v>
      </c>
      <c r="J580" t="s">
        <v>15</v>
      </c>
    </row>
    <row r="581" spans="1:10" x14ac:dyDescent="0.35">
      <c r="A581" t="s">
        <v>603</v>
      </c>
      <c r="B581" t="s">
        <v>17</v>
      </c>
      <c r="C581">
        <v>66</v>
      </c>
      <c r="D581">
        <v>27</v>
      </c>
      <c r="E581" t="s">
        <v>12</v>
      </c>
      <c r="F581" t="s">
        <v>13</v>
      </c>
      <c r="G581" t="s">
        <v>23</v>
      </c>
      <c r="H581">
        <v>47.09</v>
      </c>
      <c r="I581">
        <v>1255.3499999999999</v>
      </c>
      <c r="J581" t="s">
        <v>15</v>
      </c>
    </row>
    <row r="582" spans="1:10" x14ac:dyDescent="0.35">
      <c r="A582" t="s">
        <v>604</v>
      </c>
      <c r="B582" t="s">
        <v>17</v>
      </c>
      <c r="C582">
        <v>24</v>
      </c>
      <c r="D582">
        <v>32</v>
      </c>
      <c r="E582" t="s">
        <v>12</v>
      </c>
      <c r="F582" t="s">
        <v>22</v>
      </c>
      <c r="G582" t="s">
        <v>19</v>
      </c>
      <c r="I582">
        <v>1184.3699999999999</v>
      </c>
      <c r="J582" t="s">
        <v>15</v>
      </c>
    </row>
    <row r="583" spans="1:10" x14ac:dyDescent="0.35">
      <c r="A583" t="s">
        <v>605</v>
      </c>
      <c r="B583" t="s">
        <v>11</v>
      </c>
      <c r="C583">
        <v>18</v>
      </c>
      <c r="D583">
        <v>21</v>
      </c>
      <c r="E583" t="s">
        <v>12</v>
      </c>
      <c r="F583" t="s">
        <v>29</v>
      </c>
      <c r="G583" t="s">
        <v>19</v>
      </c>
      <c r="H583">
        <v>103</v>
      </c>
      <c r="I583">
        <v>2288.06</v>
      </c>
      <c r="J583" t="s">
        <v>15</v>
      </c>
    </row>
    <row r="584" spans="1:10" x14ac:dyDescent="0.35">
      <c r="A584" t="s">
        <v>606</v>
      </c>
      <c r="B584" t="s">
        <v>17</v>
      </c>
      <c r="C584">
        <v>49</v>
      </c>
      <c r="D584">
        <v>8</v>
      </c>
      <c r="E584" t="s">
        <v>21</v>
      </c>
      <c r="F584" t="s">
        <v>13</v>
      </c>
      <c r="G584" t="s">
        <v>14</v>
      </c>
      <c r="H584">
        <v>61.57</v>
      </c>
      <c r="I584">
        <v>502.7</v>
      </c>
      <c r="J584" t="s">
        <v>15</v>
      </c>
    </row>
    <row r="585" spans="1:10" x14ac:dyDescent="0.35">
      <c r="A585" t="s">
        <v>607</v>
      </c>
      <c r="B585" t="s">
        <v>17</v>
      </c>
      <c r="C585">
        <v>30</v>
      </c>
      <c r="D585">
        <v>72</v>
      </c>
      <c r="E585" t="s">
        <v>21</v>
      </c>
      <c r="F585" t="s">
        <v>29</v>
      </c>
      <c r="G585" t="s">
        <v>14</v>
      </c>
      <c r="H585">
        <v>27.43</v>
      </c>
      <c r="I585">
        <v>2035.88</v>
      </c>
      <c r="J585" t="s">
        <v>15</v>
      </c>
    </row>
    <row r="586" spans="1:10" x14ac:dyDescent="0.35">
      <c r="A586" t="s">
        <v>608</v>
      </c>
      <c r="B586" t="s">
        <v>17</v>
      </c>
      <c r="C586">
        <v>47</v>
      </c>
      <c r="D586">
        <v>50</v>
      </c>
      <c r="E586" t="s">
        <v>12</v>
      </c>
      <c r="F586" t="s">
        <v>29</v>
      </c>
      <c r="G586" t="s">
        <v>14</v>
      </c>
      <c r="H586">
        <v>37.89</v>
      </c>
      <c r="I586">
        <v>2083.27</v>
      </c>
      <c r="J586" t="s">
        <v>15</v>
      </c>
    </row>
    <row r="587" spans="1:10" x14ac:dyDescent="0.35">
      <c r="A587" t="s">
        <v>609</v>
      </c>
      <c r="B587" t="s">
        <v>11</v>
      </c>
      <c r="C587">
        <v>40</v>
      </c>
      <c r="D587">
        <v>67</v>
      </c>
      <c r="E587" t="s">
        <v>18</v>
      </c>
      <c r="F587" t="s">
        <v>13</v>
      </c>
      <c r="G587" t="s">
        <v>14</v>
      </c>
      <c r="H587">
        <v>20.12</v>
      </c>
      <c r="I587">
        <v>1233.45</v>
      </c>
      <c r="J587" t="s">
        <v>15</v>
      </c>
    </row>
    <row r="588" spans="1:10" x14ac:dyDescent="0.35">
      <c r="A588" t="s">
        <v>610</v>
      </c>
      <c r="B588" t="s">
        <v>17</v>
      </c>
      <c r="C588">
        <v>68</v>
      </c>
      <c r="D588">
        <v>44</v>
      </c>
      <c r="E588" t="s">
        <v>12</v>
      </c>
      <c r="F588" t="s">
        <v>33</v>
      </c>
      <c r="G588" t="s">
        <v>23</v>
      </c>
      <c r="H588">
        <v>137.41999999999999</v>
      </c>
      <c r="I588">
        <v>5711.52</v>
      </c>
      <c r="J588" t="s">
        <v>15</v>
      </c>
    </row>
    <row r="589" spans="1:10" x14ac:dyDescent="0.35">
      <c r="A589" t="s">
        <v>611</v>
      </c>
      <c r="B589" t="s">
        <v>11</v>
      </c>
      <c r="C589">
        <v>36</v>
      </c>
      <c r="D589">
        <v>58</v>
      </c>
      <c r="E589" t="s">
        <v>12</v>
      </c>
      <c r="F589" t="s">
        <v>22</v>
      </c>
      <c r="G589" t="s">
        <v>14</v>
      </c>
      <c r="H589">
        <v>23.2</v>
      </c>
      <c r="I589">
        <v>1320.81</v>
      </c>
      <c r="J589" t="s">
        <v>15</v>
      </c>
    </row>
    <row r="590" spans="1:10" x14ac:dyDescent="0.35">
      <c r="A590" t="s">
        <v>612</v>
      </c>
      <c r="B590" t="s">
        <v>17</v>
      </c>
      <c r="C590">
        <v>49</v>
      </c>
      <c r="D590">
        <v>3</v>
      </c>
      <c r="E590" t="s">
        <v>12</v>
      </c>
      <c r="F590" t="s">
        <v>29</v>
      </c>
      <c r="G590" t="s">
        <v>14</v>
      </c>
      <c r="H590">
        <v>47.23</v>
      </c>
      <c r="I590">
        <v>137.38</v>
      </c>
      <c r="J590" t="s">
        <v>15</v>
      </c>
    </row>
    <row r="591" spans="1:10" x14ac:dyDescent="0.35">
      <c r="A591" t="s">
        <v>613</v>
      </c>
      <c r="B591" t="s">
        <v>11</v>
      </c>
      <c r="C591">
        <v>47</v>
      </c>
      <c r="D591">
        <v>70</v>
      </c>
      <c r="E591" t="s">
        <v>12</v>
      </c>
      <c r="F591" t="s">
        <v>29</v>
      </c>
      <c r="G591" t="s">
        <v>14</v>
      </c>
      <c r="H591">
        <v>74.11</v>
      </c>
      <c r="I591">
        <v>4691.3900000000003</v>
      </c>
      <c r="J591" t="s">
        <v>15</v>
      </c>
    </row>
    <row r="592" spans="1:10" x14ac:dyDescent="0.35">
      <c r="A592" t="s">
        <v>614</v>
      </c>
      <c r="B592" t="s">
        <v>11</v>
      </c>
      <c r="C592">
        <v>46</v>
      </c>
      <c r="D592">
        <v>2</v>
      </c>
      <c r="E592" t="s">
        <v>12</v>
      </c>
      <c r="F592" t="s">
        <v>29</v>
      </c>
      <c r="G592" t="s">
        <v>14</v>
      </c>
      <c r="H592">
        <v>66.349999999999994</v>
      </c>
      <c r="I592">
        <v>121.87</v>
      </c>
      <c r="J592" t="s">
        <v>27</v>
      </c>
    </row>
    <row r="593" spans="1:10" x14ac:dyDescent="0.35">
      <c r="A593" t="s">
        <v>615</v>
      </c>
      <c r="B593" t="s">
        <v>17</v>
      </c>
      <c r="C593">
        <v>66</v>
      </c>
      <c r="D593">
        <v>44</v>
      </c>
      <c r="E593" t="s">
        <v>21</v>
      </c>
      <c r="F593" t="s">
        <v>13</v>
      </c>
      <c r="G593" t="s">
        <v>23</v>
      </c>
      <c r="H593">
        <v>138.52000000000001</v>
      </c>
      <c r="I593">
        <v>6315.46</v>
      </c>
      <c r="J593" t="s">
        <v>27</v>
      </c>
    </row>
    <row r="594" spans="1:10" x14ac:dyDescent="0.35">
      <c r="A594" t="s">
        <v>616</v>
      </c>
      <c r="B594" t="s">
        <v>11</v>
      </c>
      <c r="C594">
        <v>62</v>
      </c>
      <c r="D594">
        <v>2</v>
      </c>
      <c r="E594" t="s">
        <v>18</v>
      </c>
      <c r="F594" t="s">
        <v>22</v>
      </c>
      <c r="G594" t="s">
        <v>23</v>
      </c>
      <c r="H594">
        <v>25.24</v>
      </c>
      <c r="I594">
        <v>54.31</v>
      </c>
      <c r="J594" t="s">
        <v>15</v>
      </c>
    </row>
    <row r="595" spans="1:10" x14ac:dyDescent="0.35">
      <c r="A595" t="s">
        <v>617</v>
      </c>
      <c r="B595" t="s">
        <v>17</v>
      </c>
      <c r="C595">
        <v>46</v>
      </c>
      <c r="D595">
        <v>35</v>
      </c>
      <c r="E595" t="s">
        <v>12</v>
      </c>
      <c r="F595" t="s">
        <v>33</v>
      </c>
      <c r="G595" t="s">
        <v>14</v>
      </c>
      <c r="H595">
        <v>86.59</v>
      </c>
      <c r="I595">
        <v>3039.27</v>
      </c>
      <c r="J595" t="s">
        <v>15</v>
      </c>
    </row>
    <row r="596" spans="1:10" x14ac:dyDescent="0.35">
      <c r="A596" t="s">
        <v>618</v>
      </c>
      <c r="B596" t="s">
        <v>17</v>
      </c>
      <c r="C596">
        <v>47</v>
      </c>
      <c r="D596">
        <v>30</v>
      </c>
      <c r="E596" t="s">
        <v>12</v>
      </c>
      <c r="F596" t="s">
        <v>29</v>
      </c>
      <c r="G596" t="s">
        <v>14</v>
      </c>
      <c r="H596">
        <v>108.46</v>
      </c>
      <c r="I596">
        <v>3279.3</v>
      </c>
      <c r="J596" t="s">
        <v>15</v>
      </c>
    </row>
    <row r="597" spans="1:10" x14ac:dyDescent="0.35">
      <c r="A597" t="s">
        <v>619</v>
      </c>
      <c r="B597" t="s">
        <v>17</v>
      </c>
      <c r="C597">
        <v>33</v>
      </c>
      <c r="D597">
        <v>8</v>
      </c>
      <c r="E597" t="s">
        <v>12</v>
      </c>
      <c r="F597" t="s">
        <v>13</v>
      </c>
      <c r="G597" t="s">
        <v>14</v>
      </c>
      <c r="H597">
        <v>141.12</v>
      </c>
      <c r="I597">
        <v>1073.6600000000001</v>
      </c>
      <c r="J597" t="s">
        <v>27</v>
      </c>
    </row>
    <row r="598" spans="1:10" x14ac:dyDescent="0.35">
      <c r="A598" t="s">
        <v>620</v>
      </c>
      <c r="B598" t="s">
        <v>11</v>
      </c>
      <c r="C598">
        <v>57</v>
      </c>
      <c r="D598">
        <v>22</v>
      </c>
      <c r="E598" t="s">
        <v>12</v>
      </c>
      <c r="F598" t="s">
        <v>13</v>
      </c>
      <c r="G598" t="s">
        <v>23</v>
      </c>
      <c r="H598">
        <v>100.65</v>
      </c>
      <c r="I598">
        <v>2332.9299999999998</v>
      </c>
      <c r="J598" t="s">
        <v>15</v>
      </c>
    </row>
    <row r="599" spans="1:10" x14ac:dyDescent="0.35">
      <c r="A599" t="s">
        <v>621</v>
      </c>
      <c r="B599" t="s">
        <v>11</v>
      </c>
      <c r="C599">
        <v>36</v>
      </c>
      <c r="D599">
        <v>44</v>
      </c>
      <c r="E599" t="s">
        <v>12</v>
      </c>
      <c r="F599" t="s">
        <v>22</v>
      </c>
      <c r="G599" t="s">
        <v>14</v>
      </c>
      <c r="H599">
        <v>124.49</v>
      </c>
      <c r="I599">
        <v>5753.4</v>
      </c>
      <c r="J599" t="s">
        <v>15</v>
      </c>
    </row>
    <row r="600" spans="1:10" x14ac:dyDescent="0.35">
      <c r="A600" t="s">
        <v>622</v>
      </c>
      <c r="B600" t="s">
        <v>17</v>
      </c>
      <c r="C600">
        <v>35</v>
      </c>
      <c r="D600">
        <v>58</v>
      </c>
      <c r="E600" t="s">
        <v>21</v>
      </c>
      <c r="F600" t="s">
        <v>13</v>
      </c>
      <c r="G600" t="s">
        <v>14</v>
      </c>
      <c r="H600">
        <v>30.88</v>
      </c>
      <c r="I600">
        <v>1822.69</v>
      </c>
      <c r="J600" t="s">
        <v>15</v>
      </c>
    </row>
    <row r="601" spans="1:10" x14ac:dyDescent="0.35">
      <c r="A601" t="s">
        <v>623</v>
      </c>
      <c r="B601" t="s">
        <v>17</v>
      </c>
      <c r="C601">
        <v>18</v>
      </c>
      <c r="D601">
        <v>36</v>
      </c>
      <c r="E601" t="s">
        <v>12</v>
      </c>
      <c r="F601" t="s">
        <v>22</v>
      </c>
      <c r="G601" t="s">
        <v>19</v>
      </c>
      <c r="H601">
        <v>70.17</v>
      </c>
      <c r="I601">
        <v>2380.9499999999998</v>
      </c>
      <c r="J601" t="s">
        <v>15</v>
      </c>
    </row>
    <row r="602" spans="1:10" x14ac:dyDescent="0.35">
      <c r="A602" t="s">
        <v>624</v>
      </c>
      <c r="B602" t="s">
        <v>11</v>
      </c>
      <c r="C602">
        <v>31</v>
      </c>
      <c r="D602">
        <v>69</v>
      </c>
      <c r="E602" t="s">
        <v>21</v>
      </c>
      <c r="F602" t="s">
        <v>22</v>
      </c>
      <c r="G602" t="s">
        <v>14</v>
      </c>
      <c r="H602">
        <v>68.61</v>
      </c>
      <c r="I602">
        <v>4352.54</v>
      </c>
      <c r="J602" t="s">
        <v>15</v>
      </c>
    </row>
    <row r="603" spans="1:10" x14ac:dyDescent="0.35">
      <c r="A603" t="s">
        <v>625</v>
      </c>
      <c r="B603" t="s">
        <v>17</v>
      </c>
      <c r="C603">
        <v>68</v>
      </c>
      <c r="D603">
        <v>31</v>
      </c>
      <c r="E603" t="s">
        <v>18</v>
      </c>
      <c r="F603" t="s">
        <v>29</v>
      </c>
      <c r="G603" t="s">
        <v>23</v>
      </c>
      <c r="H603">
        <v>135.22</v>
      </c>
      <c r="I603">
        <v>3826.49</v>
      </c>
      <c r="J603" t="s">
        <v>15</v>
      </c>
    </row>
    <row r="604" spans="1:10" x14ac:dyDescent="0.35">
      <c r="A604" t="s">
        <v>626</v>
      </c>
      <c r="B604" t="s">
        <v>17</v>
      </c>
      <c r="C604">
        <v>64</v>
      </c>
      <c r="D604">
        <v>47</v>
      </c>
      <c r="E604" t="s">
        <v>12</v>
      </c>
      <c r="F604" t="s">
        <v>22</v>
      </c>
      <c r="G604" t="s">
        <v>23</v>
      </c>
      <c r="H604">
        <v>39.68</v>
      </c>
      <c r="I604">
        <v>1899.53</v>
      </c>
      <c r="J604" t="s">
        <v>15</v>
      </c>
    </row>
    <row r="605" spans="1:10" x14ac:dyDescent="0.35">
      <c r="A605" t="s">
        <v>627</v>
      </c>
      <c r="B605" t="s">
        <v>17</v>
      </c>
      <c r="C605">
        <v>67</v>
      </c>
      <c r="D605">
        <v>55</v>
      </c>
      <c r="E605" t="s">
        <v>18</v>
      </c>
      <c r="F605" t="s">
        <v>29</v>
      </c>
      <c r="G605" t="s">
        <v>23</v>
      </c>
      <c r="H605">
        <v>39.75</v>
      </c>
      <c r="I605">
        <v>2328.37</v>
      </c>
      <c r="J605" t="s">
        <v>15</v>
      </c>
    </row>
    <row r="606" spans="1:10" x14ac:dyDescent="0.35">
      <c r="A606" t="s">
        <v>628</v>
      </c>
      <c r="B606" t="s">
        <v>11</v>
      </c>
      <c r="C606">
        <v>19</v>
      </c>
      <c r="D606">
        <v>62</v>
      </c>
      <c r="E606" t="s">
        <v>21</v>
      </c>
      <c r="F606" t="s">
        <v>22</v>
      </c>
      <c r="G606" t="s">
        <v>19</v>
      </c>
      <c r="H606">
        <v>62.71</v>
      </c>
      <c r="I606">
        <v>4166.66</v>
      </c>
      <c r="J606" t="s">
        <v>15</v>
      </c>
    </row>
    <row r="607" spans="1:10" x14ac:dyDescent="0.35">
      <c r="A607" t="s">
        <v>629</v>
      </c>
      <c r="B607" t="s">
        <v>11</v>
      </c>
      <c r="C607">
        <v>45</v>
      </c>
      <c r="D607">
        <v>30</v>
      </c>
      <c r="E607" t="s">
        <v>21</v>
      </c>
      <c r="F607" t="s">
        <v>13</v>
      </c>
      <c r="G607" t="s">
        <v>14</v>
      </c>
      <c r="H607">
        <v>27.08</v>
      </c>
      <c r="I607">
        <v>806.49</v>
      </c>
      <c r="J607" t="s">
        <v>15</v>
      </c>
    </row>
    <row r="608" spans="1:10" x14ac:dyDescent="0.35">
      <c r="A608" t="s">
        <v>630</v>
      </c>
      <c r="B608" t="s">
        <v>11</v>
      </c>
      <c r="C608">
        <v>66</v>
      </c>
      <c r="D608">
        <v>55</v>
      </c>
      <c r="E608" t="s">
        <v>12</v>
      </c>
      <c r="F608" t="s">
        <v>13</v>
      </c>
      <c r="G608" t="s">
        <v>23</v>
      </c>
      <c r="H608">
        <v>43.72</v>
      </c>
      <c r="I608">
        <v>2541.31</v>
      </c>
      <c r="J608" t="s">
        <v>15</v>
      </c>
    </row>
    <row r="609" spans="1:10" x14ac:dyDescent="0.35">
      <c r="A609" t="s">
        <v>631</v>
      </c>
      <c r="B609" t="s">
        <v>17</v>
      </c>
      <c r="C609">
        <v>67</v>
      </c>
      <c r="D609">
        <v>16</v>
      </c>
      <c r="E609" t="s">
        <v>12</v>
      </c>
      <c r="F609" t="s">
        <v>33</v>
      </c>
      <c r="G609" t="s">
        <v>23</v>
      </c>
      <c r="H609">
        <v>145.47999999999999</v>
      </c>
      <c r="I609">
        <v>2535.7199999999998</v>
      </c>
      <c r="J609" t="s">
        <v>27</v>
      </c>
    </row>
    <row r="610" spans="1:10" x14ac:dyDescent="0.35">
      <c r="A610" t="s">
        <v>632</v>
      </c>
      <c r="B610" t="s">
        <v>17</v>
      </c>
      <c r="C610">
        <v>47</v>
      </c>
      <c r="D610">
        <v>12</v>
      </c>
      <c r="E610" t="s">
        <v>12</v>
      </c>
      <c r="F610" t="s">
        <v>33</v>
      </c>
      <c r="G610" t="s">
        <v>14</v>
      </c>
      <c r="H610">
        <v>75.66</v>
      </c>
      <c r="I610">
        <v>867.09</v>
      </c>
      <c r="J610" t="s">
        <v>27</v>
      </c>
    </row>
    <row r="611" spans="1:10" x14ac:dyDescent="0.35">
      <c r="A611" t="s">
        <v>633</v>
      </c>
      <c r="B611" t="s">
        <v>17</v>
      </c>
      <c r="C611">
        <v>55</v>
      </c>
      <c r="D611">
        <v>17</v>
      </c>
      <c r="E611" t="s">
        <v>12</v>
      </c>
      <c r="F611" t="s">
        <v>33</v>
      </c>
      <c r="G611" t="s">
        <v>23</v>
      </c>
      <c r="H611">
        <v>102.16</v>
      </c>
      <c r="I611">
        <v>1701.28</v>
      </c>
      <c r="J611" t="s">
        <v>27</v>
      </c>
    </row>
    <row r="612" spans="1:10" x14ac:dyDescent="0.35">
      <c r="A612" t="s">
        <v>634</v>
      </c>
      <c r="B612" t="s">
        <v>11</v>
      </c>
      <c r="C612">
        <v>68</v>
      </c>
      <c r="D612">
        <v>16</v>
      </c>
      <c r="E612" t="s">
        <v>12</v>
      </c>
      <c r="F612" t="s">
        <v>13</v>
      </c>
      <c r="G612" t="s">
        <v>23</v>
      </c>
      <c r="H612">
        <v>114.39</v>
      </c>
      <c r="I612">
        <v>1988.18</v>
      </c>
      <c r="J612" t="s">
        <v>15</v>
      </c>
    </row>
    <row r="613" spans="1:10" x14ac:dyDescent="0.35">
      <c r="A613" t="s">
        <v>635</v>
      </c>
      <c r="B613" t="s">
        <v>17</v>
      </c>
      <c r="C613">
        <v>21</v>
      </c>
      <c r="D613">
        <v>12</v>
      </c>
      <c r="E613" t="s">
        <v>21</v>
      </c>
      <c r="F613" t="s">
        <v>22</v>
      </c>
      <c r="G613" t="s">
        <v>19</v>
      </c>
      <c r="H613">
        <v>67.7</v>
      </c>
      <c r="I613">
        <v>786.12</v>
      </c>
      <c r="J613" t="s">
        <v>15</v>
      </c>
    </row>
    <row r="614" spans="1:10" x14ac:dyDescent="0.35">
      <c r="A614" t="s">
        <v>636</v>
      </c>
      <c r="B614" t="s">
        <v>17</v>
      </c>
      <c r="C614">
        <v>18</v>
      </c>
      <c r="D614">
        <v>8</v>
      </c>
      <c r="E614" t="s">
        <v>12</v>
      </c>
      <c r="F614" t="s">
        <v>13</v>
      </c>
      <c r="G614" t="s">
        <v>19</v>
      </c>
      <c r="H614">
        <v>39.14</v>
      </c>
      <c r="I614">
        <v>339.04</v>
      </c>
      <c r="J614" t="s">
        <v>15</v>
      </c>
    </row>
    <row r="615" spans="1:10" x14ac:dyDescent="0.35">
      <c r="A615" t="s">
        <v>637</v>
      </c>
      <c r="B615" t="s">
        <v>17</v>
      </c>
      <c r="C615">
        <v>25</v>
      </c>
      <c r="D615">
        <v>3</v>
      </c>
      <c r="E615" t="s">
        <v>18</v>
      </c>
      <c r="F615" t="s">
        <v>33</v>
      </c>
      <c r="G615" t="s">
        <v>19</v>
      </c>
      <c r="H615">
        <v>46.86</v>
      </c>
      <c r="I615">
        <v>154.11000000000001</v>
      </c>
      <c r="J615" t="s">
        <v>15</v>
      </c>
    </row>
    <row r="616" spans="1:10" x14ac:dyDescent="0.35">
      <c r="A616" t="s">
        <v>638</v>
      </c>
      <c r="B616" t="s">
        <v>17</v>
      </c>
      <c r="C616">
        <v>46</v>
      </c>
      <c r="D616">
        <v>16</v>
      </c>
      <c r="E616" t="s">
        <v>21</v>
      </c>
      <c r="F616" t="s">
        <v>13</v>
      </c>
      <c r="G616" t="s">
        <v>14</v>
      </c>
      <c r="H616">
        <v>60.72</v>
      </c>
      <c r="I616">
        <v>1002.96</v>
      </c>
      <c r="J616" t="s">
        <v>15</v>
      </c>
    </row>
    <row r="617" spans="1:10" x14ac:dyDescent="0.35">
      <c r="A617" t="s">
        <v>639</v>
      </c>
      <c r="B617" t="s">
        <v>11</v>
      </c>
      <c r="C617">
        <v>56</v>
      </c>
      <c r="D617">
        <v>30</v>
      </c>
      <c r="E617" t="s">
        <v>12</v>
      </c>
      <c r="F617" t="s">
        <v>33</v>
      </c>
      <c r="G617" t="s">
        <v>23</v>
      </c>
      <c r="H617">
        <v>102.69</v>
      </c>
      <c r="I617">
        <v>3275.95</v>
      </c>
      <c r="J617" t="s">
        <v>27</v>
      </c>
    </row>
    <row r="618" spans="1:10" x14ac:dyDescent="0.35">
      <c r="A618" t="s">
        <v>640</v>
      </c>
      <c r="B618" t="s">
        <v>11</v>
      </c>
      <c r="C618">
        <v>20</v>
      </c>
      <c r="D618">
        <v>23</v>
      </c>
      <c r="E618" t="s">
        <v>12</v>
      </c>
      <c r="F618" t="s">
        <v>33</v>
      </c>
      <c r="G618" t="s">
        <v>19</v>
      </c>
      <c r="H618">
        <v>71.78</v>
      </c>
      <c r="I618">
        <v>1733.34</v>
      </c>
      <c r="J618" t="s">
        <v>15</v>
      </c>
    </row>
    <row r="619" spans="1:10" x14ac:dyDescent="0.35">
      <c r="A619" t="s">
        <v>641</v>
      </c>
      <c r="B619" t="s">
        <v>17</v>
      </c>
      <c r="C619">
        <v>49</v>
      </c>
      <c r="D619">
        <v>5</v>
      </c>
      <c r="E619" t="s">
        <v>18</v>
      </c>
      <c r="F619" t="s">
        <v>22</v>
      </c>
      <c r="G619" t="s">
        <v>14</v>
      </c>
      <c r="H619">
        <v>20.89</v>
      </c>
      <c r="I619">
        <v>108.62</v>
      </c>
      <c r="J619" t="s">
        <v>15</v>
      </c>
    </row>
    <row r="620" spans="1:10" x14ac:dyDescent="0.35">
      <c r="A620" t="s">
        <v>642</v>
      </c>
      <c r="B620" t="s">
        <v>11</v>
      </c>
      <c r="C620">
        <v>27</v>
      </c>
      <c r="D620">
        <v>65</v>
      </c>
      <c r="E620" t="s">
        <v>18</v>
      </c>
      <c r="F620" t="s">
        <v>29</v>
      </c>
      <c r="G620" t="s">
        <v>19</v>
      </c>
      <c r="H620">
        <v>88.04</v>
      </c>
      <c r="I620">
        <v>5501.63</v>
      </c>
      <c r="J620" t="s">
        <v>15</v>
      </c>
    </row>
    <row r="621" spans="1:10" x14ac:dyDescent="0.35">
      <c r="A621" t="s">
        <v>643</v>
      </c>
      <c r="B621" t="s">
        <v>11</v>
      </c>
      <c r="C621">
        <v>27</v>
      </c>
      <c r="D621">
        <v>30</v>
      </c>
      <c r="E621" t="s">
        <v>21</v>
      </c>
      <c r="F621" t="s">
        <v>29</v>
      </c>
      <c r="G621" t="s">
        <v>19</v>
      </c>
      <c r="H621">
        <v>139.80000000000001</v>
      </c>
      <c r="I621">
        <v>3822.49</v>
      </c>
      <c r="J621" t="s">
        <v>15</v>
      </c>
    </row>
    <row r="622" spans="1:10" x14ac:dyDescent="0.35">
      <c r="A622" t="s">
        <v>644</v>
      </c>
      <c r="B622" t="s">
        <v>17</v>
      </c>
      <c r="C622">
        <v>36</v>
      </c>
      <c r="D622">
        <v>21</v>
      </c>
      <c r="E622" t="s">
        <v>12</v>
      </c>
      <c r="F622" t="s">
        <v>33</v>
      </c>
      <c r="G622" t="s">
        <v>14</v>
      </c>
      <c r="H622">
        <v>125.57</v>
      </c>
      <c r="I622">
        <v>2554.1999999999998</v>
      </c>
      <c r="J622" t="s">
        <v>15</v>
      </c>
    </row>
    <row r="623" spans="1:10" x14ac:dyDescent="0.35">
      <c r="A623" t="s">
        <v>645</v>
      </c>
      <c r="B623" t="s">
        <v>17</v>
      </c>
      <c r="C623">
        <v>63</v>
      </c>
      <c r="D623">
        <v>70</v>
      </c>
      <c r="E623" t="s">
        <v>12</v>
      </c>
      <c r="F623" t="s">
        <v>29</v>
      </c>
      <c r="G623" t="s">
        <v>23</v>
      </c>
      <c r="H623">
        <v>127.28</v>
      </c>
      <c r="I623">
        <v>9207.07</v>
      </c>
      <c r="J623" t="s">
        <v>27</v>
      </c>
    </row>
    <row r="624" spans="1:10" x14ac:dyDescent="0.35">
      <c r="A624" t="s">
        <v>646</v>
      </c>
      <c r="B624" t="s">
        <v>11</v>
      </c>
      <c r="C624">
        <v>51</v>
      </c>
      <c r="D624">
        <v>22</v>
      </c>
      <c r="E624" t="s">
        <v>12</v>
      </c>
      <c r="F624" t="s">
        <v>33</v>
      </c>
      <c r="G624" t="s">
        <v>23</v>
      </c>
      <c r="H624">
        <v>123.36</v>
      </c>
      <c r="I624">
        <v>2498.1799999999998</v>
      </c>
      <c r="J624" t="s">
        <v>15</v>
      </c>
    </row>
    <row r="625" spans="1:10" x14ac:dyDescent="0.35">
      <c r="A625" t="s">
        <v>647</v>
      </c>
      <c r="B625" t="s">
        <v>17</v>
      </c>
      <c r="C625">
        <v>50</v>
      </c>
      <c r="D625">
        <v>72</v>
      </c>
      <c r="E625" t="s">
        <v>12</v>
      </c>
      <c r="F625" t="s">
        <v>13</v>
      </c>
      <c r="G625" t="s">
        <v>23</v>
      </c>
      <c r="H625">
        <v>62.09</v>
      </c>
      <c r="I625">
        <v>4034.09</v>
      </c>
      <c r="J625" t="s">
        <v>15</v>
      </c>
    </row>
    <row r="626" spans="1:10" x14ac:dyDescent="0.35">
      <c r="A626" t="s">
        <v>648</v>
      </c>
      <c r="B626" t="s">
        <v>11</v>
      </c>
      <c r="C626">
        <v>40</v>
      </c>
      <c r="D626">
        <v>32</v>
      </c>
      <c r="E626" t="s">
        <v>21</v>
      </c>
      <c r="F626" t="s">
        <v>13</v>
      </c>
      <c r="G626" t="s">
        <v>14</v>
      </c>
      <c r="H626">
        <v>119.48</v>
      </c>
      <c r="I626">
        <v>3547.84</v>
      </c>
      <c r="J626" t="s">
        <v>15</v>
      </c>
    </row>
    <row r="627" spans="1:10" x14ac:dyDescent="0.35">
      <c r="A627" t="s">
        <v>649</v>
      </c>
      <c r="B627" t="s">
        <v>17</v>
      </c>
      <c r="C627">
        <v>45</v>
      </c>
      <c r="D627">
        <v>33</v>
      </c>
      <c r="E627" t="s">
        <v>21</v>
      </c>
      <c r="F627" t="s">
        <v>33</v>
      </c>
      <c r="G627" t="s">
        <v>14</v>
      </c>
      <c r="H627">
        <v>38.61</v>
      </c>
      <c r="I627">
        <v>1329.11</v>
      </c>
      <c r="J627" t="s">
        <v>15</v>
      </c>
    </row>
    <row r="628" spans="1:10" x14ac:dyDescent="0.35">
      <c r="A628" t="s">
        <v>650</v>
      </c>
      <c r="B628" t="s">
        <v>11</v>
      </c>
      <c r="C628">
        <v>49</v>
      </c>
      <c r="D628">
        <v>16</v>
      </c>
      <c r="E628" t="s">
        <v>21</v>
      </c>
      <c r="F628" t="s">
        <v>22</v>
      </c>
      <c r="G628" t="s">
        <v>14</v>
      </c>
      <c r="H628">
        <v>105.5</v>
      </c>
      <c r="I628">
        <v>1847.62</v>
      </c>
      <c r="J628" t="s">
        <v>15</v>
      </c>
    </row>
    <row r="629" spans="1:10" x14ac:dyDescent="0.35">
      <c r="A629" t="s">
        <v>651</v>
      </c>
      <c r="B629" t="s">
        <v>17</v>
      </c>
      <c r="C629">
        <v>67</v>
      </c>
      <c r="D629">
        <v>38</v>
      </c>
      <c r="E629" t="s">
        <v>18</v>
      </c>
      <c r="F629" t="s">
        <v>13</v>
      </c>
      <c r="G629" t="s">
        <v>23</v>
      </c>
      <c r="H629">
        <v>103.4</v>
      </c>
      <c r="I629">
        <v>4308.8100000000004</v>
      </c>
      <c r="J629" t="s">
        <v>15</v>
      </c>
    </row>
    <row r="630" spans="1:10" x14ac:dyDescent="0.35">
      <c r="A630" t="s">
        <v>652</v>
      </c>
      <c r="B630" t="s">
        <v>11</v>
      </c>
      <c r="C630">
        <v>24</v>
      </c>
      <c r="D630">
        <v>14</v>
      </c>
      <c r="E630" t="s">
        <v>21</v>
      </c>
      <c r="F630" t="s">
        <v>13</v>
      </c>
      <c r="G630" t="s">
        <v>19</v>
      </c>
      <c r="H630">
        <v>23.32</v>
      </c>
      <c r="I630">
        <v>326.08999999999997</v>
      </c>
      <c r="J630" t="s">
        <v>15</v>
      </c>
    </row>
    <row r="631" spans="1:10" x14ac:dyDescent="0.35">
      <c r="A631" t="s">
        <v>653</v>
      </c>
      <c r="B631" t="s">
        <v>11</v>
      </c>
      <c r="C631">
        <v>46</v>
      </c>
      <c r="D631">
        <v>36</v>
      </c>
      <c r="E631" t="s">
        <v>12</v>
      </c>
      <c r="F631" t="s">
        <v>13</v>
      </c>
      <c r="G631" t="s">
        <v>14</v>
      </c>
      <c r="H631">
        <v>122.44</v>
      </c>
      <c r="I631">
        <v>4733.45</v>
      </c>
      <c r="J631" t="s">
        <v>27</v>
      </c>
    </row>
    <row r="632" spans="1:10" x14ac:dyDescent="0.35">
      <c r="A632" t="s">
        <v>654</v>
      </c>
      <c r="B632" t="s">
        <v>11</v>
      </c>
      <c r="C632">
        <v>25</v>
      </c>
      <c r="D632">
        <v>23</v>
      </c>
      <c r="E632" t="s">
        <v>12</v>
      </c>
      <c r="F632" t="s">
        <v>22</v>
      </c>
      <c r="G632" t="s">
        <v>19</v>
      </c>
      <c r="H632">
        <v>137.41999999999999</v>
      </c>
      <c r="I632">
        <v>3310.37</v>
      </c>
      <c r="J632" t="s">
        <v>15</v>
      </c>
    </row>
    <row r="633" spans="1:10" x14ac:dyDescent="0.35">
      <c r="A633" t="s">
        <v>655</v>
      </c>
      <c r="B633" t="s">
        <v>17</v>
      </c>
      <c r="C633">
        <v>18</v>
      </c>
      <c r="D633">
        <v>66</v>
      </c>
      <c r="E633" t="s">
        <v>18</v>
      </c>
      <c r="F633" t="s">
        <v>29</v>
      </c>
      <c r="G633" t="s">
        <v>19</v>
      </c>
      <c r="H633">
        <v>54.76</v>
      </c>
      <c r="I633">
        <v>3614.91</v>
      </c>
      <c r="J633" t="s">
        <v>27</v>
      </c>
    </row>
    <row r="634" spans="1:10" x14ac:dyDescent="0.35">
      <c r="A634" t="s">
        <v>656</v>
      </c>
      <c r="B634" t="s">
        <v>11</v>
      </c>
      <c r="C634">
        <v>20</v>
      </c>
      <c r="D634">
        <v>2</v>
      </c>
      <c r="E634" t="s">
        <v>12</v>
      </c>
      <c r="F634" t="s">
        <v>33</v>
      </c>
      <c r="G634" t="s">
        <v>19</v>
      </c>
      <c r="H634">
        <v>125.61</v>
      </c>
      <c r="I634">
        <v>254.88</v>
      </c>
      <c r="J634" t="s">
        <v>15</v>
      </c>
    </row>
    <row r="635" spans="1:10" x14ac:dyDescent="0.35">
      <c r="A635" t="s">
        <v>657</v>
      </c>
      <c r="B635" t="s">
        <v>11</v>
      </c>
      <c r="C635">
        <v>41</v>
      </c>
      <c r="D635">
        <v>65</v>
      </c>
      <c r="E635" t="s">
        <v>18</v>
      </c>
      <c r="F635" t="s">
        <v>33</v>
      </c>
      <c r="G635" t="s">
        <v>14</v>
      </c>
      <c r="H635">
        <v>30.71</v>
      </c>
      <c r="I635">
        <v>1851.32</v>
      </c>
      <c r="J635" t="s">
        <v>15</v>
      </c>
    </row>
    <row r="636" spans="1:10" x14ac:dyDescent="0.35">
      <c r="A636" t="s">
        <v>658</v>
      </c>
      <c r="B636" t="s">
        <v>17</v>
      </c>
      <c r="C636">
        <v>40</v>
      </c>
      <c r="D636">
        <v>67</v>
      </c>
      <c r="E636" t="s">
        <v>18</v>
      </c>
      <c r="F636" t="s">
        <v>29</v>
      </c>
      <c r="G636" t="s">
        <v>14</v>
      </c>
      <c r="H636">
        <v>98</v>
      </c>
      <c r="I636">
        <v>7140.74</v>
      </c>
      <c r="J636" t="s">
        <v>15</v>
      </c>
    </row>
    <row r="637" spans="1:10" x14ac:dyDescent="0.35">
      <c r="A637" t="s">
        <v>659</v>
      </c>
      <c r="B637" t="s">
        <v>17</v>
      </c>
      <c r="C637">
        <v>25</v>
      </c>
      <c r="D637">
        <v>52</v>
      </c>
      <c r="E637" t="s">
        <v>12</v>
      </c>
      <c r="F637" t="s">
        <v>22</v>
      </c>
      <c r="G637" t="s">
        <v>19</v>
      </c>
      <c r="H637">
        <v>83.13</v>
      </c>
      <c r="I637">
        <v>4194.75</v>
      </c>
      <c r="J637" t="s">
        <v>15</v>
      </c>
    </row>
    <row r="638" spans="1:10" x14ac:dyDescent="0.35">
      <c r="A638" t="s">
        <v>660</v>
      </c>
      <c r="B638" t="s">
        <v>11</v>
      </c>
      <c r="C638">
        <v>64</v>
      </c>
      <c r="D638">
        <v>62</v>
      </c>
      <c r="E638" t="s">
        <v>21</v>
      </c>
      <c r="F638" t="s">
        <v>13</v>
      </c>
      <c r="G638" t="s">
        <v>23</v>
      </c>
      <c r="H638">
        <v>90.97</v>
      </c>
      <c r="I638">
        <v>5579.39</v>
      </c>
      <c r="J638" t="s">
        <v>15</v>
      </c>
    </row>
    <row r="639" spans="1:10" x14ac:dyDescent="0.35">
      <c r="A639" t="s">
        <v>661</v>
      </c>
      <c r="B639" t="s">
        <v>11</v>
      </c>
      <c r="C639">
        <v>54</v>
      </c>
      <c r="D639">
        <v>23</v>
      </c>
      <c r="E639" t="s">
        <v>18</v>
      </c>
      <c r="F639" t="s">
        <v>29</v>
      </c>
      <c r="G639" t="s">
        <v>23</v>
      </c>
      <c r="H639">
        <v>140.41</v>
      </c>
      <c r="I639">
        <v>3340.3</v>
      </c>
      <c r="J639" t="s">
        <v>27</v>
      </c>
    </row>
    <row r="640" spans="1:10" x14ac:dyDescent="0.35">
      <c r="A640" t="s">
        <v>662</v>
      </c>
      <c r="B640" t="s">
        <v>17</v>
      </c>
      <c r="C640">
        <v>20</v>
      </c>
      <c r="D640">
        <v>26</v>
      </c>
      <c r="E640" t="s">
        <v>21</v>
      </c>
      <c r="F640" t="s">
        <v>33</v>
      </c>
      <c r="G640" t="s">
        <v>19</v>
      </c>
      <c r="H640">
        <v>133.27000000000001</v>
      </c>
      <c r="I640">
        <v>3349.91</v>
      </c>
      <c r="J640" t="s">
        <v>15</v>
      </c>
    </row>
    <row r="641" spans="1:10" x14ac:dyDescent="0.35">
      <c r="A641" t="s">
        <v>663</v>
      </c>
      <c r="B641" t="s">
        <v>17</v>
      </c>
      <c r="C641">
        <v>68</v>
      </c>
      <c r="D641">
        <v>68</v>
      </c>
      <c r="E641" t="s">
        <v>18</v>
      </c>
      <c r="F641" t="s">
        <v>29</v>
      </c>
      <c r="G641" t="s">
        <v>23</v>
      </c>
      <c r="H641">
        <v>122.06</v>
      </c>
      <c r="I641">
        <v>7892.15</v>
      </c>
      <c r="J641" t="s">
        <v>15</v>
      </c>
    </row>
    <row r="642" spans="1:10" x14ac:dyDescent="0.35">
      <c r="A642" t="s">
        <v>664</v>
      </c>
      <c r="B642" t="s">
        <v>17</v>
      </c>
      <c r="C642">
        <v>50</v>
      </c>
      <c r="D642">
        <v>55</v>
      </c>
      <c r="E642" t="s">
        <v>18</v>
      </c>
      <c r="F642" t="s">
        <v>29</v>
      </c>
      <c r="G642" t="s">
        <v>23</v>
      </c>
      <c r="H642">
        <v>55.58</v>
      </c>
      <c r="I642">
        <v>3137.02</v>
      </c>
      <c r="J642" t="s">
        <v>15</v>
      </c>
    </row>
    <row r="643" spans="1:10" x14ac:dyDescent="0.35">
      <c r="A643" t="s">
        <v>665</v>
      </c>
      <c r="B643" t="s">
        <v>17</v>
      </c>
      <c r="C643">
        <v>45</v>
      </c>
      <c r="D643">
        <v>6</v>
      </c>
      <c r="E643" t="s">
        <v>12</v>
      </c>
      <c r="F643" t="s">
        <v>13</v>
      </c>
      <c r="G643" t="s">
        <v>14</v>
      </c>
      <c r="H643">
        <v>138.54</v>
      </c>
      <c r="I643">
        <v>752.27</v>
      </c>
      <c r="J643" t="s">
        <v>15</v>
      </c>
    </row>
    <row r="644" spans="1:10" x14ac:dyDescent="0.35">
      <c r="A644" t="s">
        <v>666</v>
      </c>
      <c r="B644" t="s">
        <v>17</v>
      </c>
      <c r="C644">
        <v>64</v>
      </c>
      <c r="D644">
        <v>35</v>
      </c>
      <c r="E644" t="s">
        <v>12</v>
      </c>
      <c r="F644" t="s">
        <v>13</v>
      </c>
      <c r="G644" t="s">
        <v>23</v>
      </c>
      <c r="H644">
        <v>32.68</v>
      </c>
      <c r="I644">
        <v>1194.29</v>
      </c>
      <c r="J644" t="s">
        <v>15</v>
      </c>
    </row>
    <row r="645" spans="1:10" x14ac:dyDescent="0.35">
      <c r="A645" t="s">
        <v>667</v>
      </c>
      <c r="B645" t="s">
        <v>11</v>
      </c>
      <c r="C645">
        <v>25</v>
      </c>
      <c r="D645">
        <v>22</v>
      </c>
      <c r="E645" t="s">
        <v>18</v>
      </c>
      <c r="F645" t="s">
        <v>13</v>
      </c>
      <c r="G645" t="s">
        <v>19</v>
      </c>
      <c r="H645">
        <v>130.93</v>
      </c>
      <c r="I645">
        <v>2888.54</v>
      </c>
      <c r="J645" t="s">
        <v>15</v>
      </c>
    </row>
    <row r="646" spans="1:10" x14ac:dyDescent="0.35">
      <c r="A646" t="s">
        <v>668</v>
      </c>
      <c r="B646" t="s">
        <v>17</v>
      </c>
      <c r="C646">
        <v>51</v>
      </c>
      <c r="D646">
        <v>43</v>
      </c>
      <c r="E646" t="s">
        <v>21</v>
      </c>
      <c r="F646" t="s">
        <v>22</v>
      </c>
      <c r="G646" t="s">
        <v>23</v>
      </c>
      <c r="H646">
        <v>62.66</v>
      </c>
      <c r="I646">
        <v>2751.37</v>
      </c>
      <c r="J646" t="s">
        <v>15</v>
      </c>
    </row>
    <row r="647" spans="1:10" x14ac:dyDescent="0.35">
      <c r="A647" t="s">
        <v>669</v>
      </c>
      <c r="B647" t="s">
        <v>11</v>
      </c>
      <c r="C647">
        <v>52</v>
      </c>
      <c r="D647">
        <v>15</v>
      </c>
      <c r="E647" t="s">
        <v>12</v>
      </c>
      <c r="F647" t="s">
        <v>22</v>
      </c>
      <c r="G647" t="s">
        <v>23</v>
      </c>
      <c r="H647">
        <v>26.99</v>
      </c>
      <c r="I647">
        <v>415.53</v>
      </c>
      <c r="J647" t="s">
        <v>27</v>
      </c>
    </row>
    <row r="648" spans="1:10" x14ac:dyDescent="0.35">
      <c r="A648" t="s">
        <v>670</v>
      </c>
      <c r="B648" t="s">
        <v>11</v>
      </c>
      <c r="C648">
        <v>49</v>
      </c>
      <c r="D648">
        <v>60</v>
      </c>
      <c r="E648" t="s">
        <v>12</v>
      </c>
      <c r="F648" t="s">
        <v>22</v>
      </c>
      <c r="G648" t="s">
        <v>14</v>
      </c>
      <c r="H648">
        <v>107.02</v>
      </c>
      <c r="I648">
        <v>6455.94</v>
      </c>
      <c r="J648" t="s">
        <v>15</v>
      </c>
    </row>
    <row r="649" spans="1:10" x14ac:dyDescent="0.35">
      <c r="A649" t="s">
        <v>671</v>
      </c>
      <c r="B649" t="s">
        <v>11</v>
      </c>
      <c r="C649">
        <v>41</v>
      </c>
      <c r="D649">
        <v>12</v>
      </c>
      <c r="E649" t="s">
        <v>21</v>
      </c>
      <c r="F649" t="s">
        <v>29</v>
      </c>
      <c r="G649" t="s">
        <v>14</v>
      </c>
      <c r="H649">
        <v>50.07</v>
      </c>
      <c r="I649">
        <v>610.76</v>
      </c>
      <c r="J649" t="s">
        <v>15</v>
      </c>
    </row>
    <row r="650" spans="1:10" x14ac:dyDescent="0.35">
      <c r="A650" t="s">
        <v>672</v>
      </c>
      <c r="B650" t="s">
        <v>17</v>
      </c>
      <c r="C650">
        <v>31</v>
      </c>
      <c r="D650">
        <v>49</v>
      </c>
      <c r="E650" t="s">
        <v>18</v>
      </c>
      <c r="F650" t="s">
        <v>13</v>
      </c>
      <c r="G650" t="s">
        <v>14</v>
      </c>
      <c r="H650">
        <v>51.66</v>
      </c>
      <c r="I650">
        <v>2624.39</v>
      </c>
      <c r="J650" t="s">
        <v>15</v>
      </c>
    </row>
    <row r="651" spans="1:10" x14ac:dyDescent="0.35">
      <c r="A651" t="s">
        <v>673</v>
      </c>
      <c r="B651" t="s">
        <v>11</v>
      </c>
      <c r="C651">
        <v>49</v>
      </c>
      <c r="D651">
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/v>
      </c>
      <c r="J651" t="s">
        <v>15</v>
      </c>
    </row>
    <row r="652" spans="1:10" x14ac:dyDescent="0.35">
      <c r="A652" t="s">
        <v>674</v>
      </c>
      <c r="B652" t="s">
        <v>11</v>
      </c>
      <c r="C652">
        <v>63</v>
      </c>
      <c r="D652">
        <v>38</v>
      </c>
      <c r="E652" t="s">
        <v>21</v>
      </c>
      <c r="F652" t="s">
        <v>29</v>
      </c>
      <c r="G652" t="s">
        <v>23</v>
      </c>
      <c r="H652">
        <v>28.28</v>
      </c>
      <c r="I652">
        <v>1123.53</v>
      </c>
      <c r="J652" t="s">
        <v>15</v>
      </c>
    </row>
    <row r="653" spans="1:10" x14ac:dyDescent="0.35">
      <c r="A653" t="s">
        <v>675</v>
      </c>
      <c r="B653" t="s">
        <v>17</v>
      </c>
      <c r="C653">
        <v>60</v>
      </c>
      <c r="D653">
        <v>45</v>
      </c>
      <c r="E653" t="s">
        <v>12</v>
      </c>
      <c r="F653" t="s">
        <v>13</v>
      </c>
      <c r="G653" t="s">
        <v>23</v>
      </c>
      <c r="H653">
        <v>43.03</v>
      </c>
      <c r="I653">
        <v>2079.4899999999998</v>
      </c>
      <c r="J653" t="s">
        <v>15</v>
      </c>
    </row>
    <row r="654" spans="1:10" x14ac:dyDescent="0.35">
      <c r="A654" t="s">
        <v>676</v>
      </c>
      <c r="B654" t="s">
        <v>11</v>
      </c>
      <c r="C654">
        <v>33</v>
      </c>
      <c r="D654">
        <v>35</v>
      </c>
      <c r="E654" t="s">
        <v>12</v>
      </c>
      <c r="F654" t="s">
        <v>29</v>
      </c>
      <c r="G654" t="s">
        <v>14</v>
      </c>
      <c r="H654">
        <v>20.67</v>
      </c>
      <c r="I654">
        <v>678.52</v>
      </c>
      <c r="J654" t="s">
        <v>15</v>
      </c>
    </row>
    <row r="655" spans="1:10" x14ac:dyDescent="0.35">
      <c r="A655" t="s">
        <v>677</v>
      </c>
      <c r="B655" t="s">
        <v>11</v>
      </c>
      <c r="C655">
        <v>21</v>
      </c>
      <c r="D655">
        <v>30</v>
      </c>
      <c r="E655" t="s">
        <v>18</v>
      </c>
      <c r="F655" t="s">
        <v>29</v>
      </c>
      <c r="G655" t="s">
        <v>19</v>
      </c>
      <c r="H655">
        <v>77.900000000000006</v>
      </c>
      <c r="I655">
        <v>2290.8000000000002</v>
      </c>
      <c r="J655" t="s">
        <v>27</v>
      </c>
    </row>
    <row r="656" spans="1:10" x14ac:dyDescent="0.35">
      <c r="A656" t="s">
        <v>678</v>
      </c>
      <c r="B656" t="s">
        <v>17</v>
      </c>
      <c r="C656">
        <v>69</v>
      </c>
      <c r="D656">
        <v>30</v>
      </c>
      <c r="E656" t="s">
        <v>12</v>
      </c>
      <c r="F656" t="s">
        <v>29</v>
      </c>
      <c r="G656" t="s">
        <v>23</v>
      </c>
      <c r="H656">
        <v>30.95</v>
      </c>
      <c r="I656">
        <v>1011.66</v>
      </c>
      <c r="J656" t="s">
        <v>15</v>
      </c>
    </row>
    <row r="657" spans="1:10" x14ac:dyDescent="0.35">
      <c r="A657" t="s">
        <v>679</v>
      </c>
      <c r="B657" t="s">
        <v>11</v>
      </c>
      <c r="C657">
        <v>54</v>
      </c>
      <c r="D657">
        <v>6</v>
      </c>
      <c r="E657" t="s">
        <v>12</v>
      </c>
      <c r="F657" t="s">
        <v>33</v>
      </c>
      <c r="G657" t="s">
        <v>23</v>
      </c>
      <c r="H657">
        <v>108.74</v>
      </c>
      <c r="I657">
        <v>638.95000000000005</v>
      </c>
      <c r="J657" t="s">
        <v>15</v>
      </c>
    </row>
    <row r="658" spans="1:10" x14ac:dyDescent="0.35">
      <c r="A658" t="s">
        <v>680</v>
      </c>
      <c r="B658" t="s">
        <v>11</v>
      </c>
      <c r="C658">
        <v>38</v>
      </c>
      <c r="D658">
        <v>67</v>
      </c>
      <c r="E658" t="s">
        <v>12</v>
      </c>
      <c r="F658" t="s">
        <v>33</v>
      </c>
      <c r="G658" t="s">
        <v>14</v>
      </c>
      <c r="H658">
        <v>50.63</v>
      </c>
      <c r="I658">
        <v>3137.71</v>
      </c>
      <c r="J658" t="s">
        <v>15</v>
      </c>
    </row>
    <row r="659" spans="1:10" x14ac:dyDescent="0.35">
      <c r="A659" t="s">
        <v>681</v>
      </c>
      <c r="B659" t="s">
        <v>11</v>
      </c>
      <c r="C659">
        <v>31</v>
      </c>
      <c r="D659">
        <v>7</v>
      </c>
      <c r="E659" t="s">
        <v>21</v>
      </c>
      <c r="F659" t="s">
        <v>22</v>
      </c>
      <c r="G659" t="s">
        <v>14</v>
      </c>
      <c r="H659">
        <v>142.66</v>
      </c>
      <c r="I659">
        <v>1003.7</v>
      </c>
      <c r="J659" t="s">
        <v>15</v>
      </c>
    </row>
    <row r="660" spans="1:10" x14ac:dyDescent="0.35">
      <c r="A660" t="s">
        <v>682</v>
      </c>
      <c r="B660" t="s">
        <v>17</v>
      </c>
      <c r="C660">
        <v>48</v>
      </c>
      <c r="D660">
        <v>52</v>
      </c>
      <c r="E660" t="s">
        <v>18</v>
      </c>
      <c r="F660" t="s">
        <v>33</v>
      </c>
      <c r="G660" t="s">
        <v>14</v>
      </c>
      <c r="H660">
        <v>133.26</v>
      </c>
      <c r="I660">
        <v>6388.31</v>
      </c>
      <c r="J660" t="s">
        <v>15</v>
      </c>
    </row>
    <row r="661" spans="1:10" x14ac:dyDescent="0.35">
      <c r="A661" t="s">
        <v>683</v>
      </c>
      <c r="B661" t="s">
        <v>17</v>
      </c>
      <c r="C661">
        <v>65</v>
      </c>
      <c r="D661">
        <v>14</v>
      </c>
      <c r="E661" t="s">
        <v>12</v>
      </c>
      <c r="F661" t="s">
        <v>22</v>
      </c>
      <c r="G661" t="s">
        <v>23</v>
      </c>
      <c r="H661">
        <v>57.63</v>
      </c>
      <c r="I661">
        <v>758.87</v>
      </c>
      <c r="J661" t="s">
        <v>27</v>
      </c>
    </row>
    <row r="662" spans="1:10" x14ac:dyDescent="0.35">
      <c r="A662" t="s">
        <v>684</v>
      </c>
      <c r="B662" t="s">
        <v>17</v>
      </c>
      <c r="C662">
        <v>35</v>
      </c>
      <c r="D662">
        <v>15</v>
      </c>
      <c r="E662" t="s">
        <v>12</v>
      </c>
      <c r="F662" t="s">
        <v>13</v>
      </c>
      <c r="G662" t="s">
        <v>14</v>
      </c>
      <c r="H662">
        <v>121.82</v>
      </c>
      <c r="I662">
        <v>2009.42</v>
      </c>
      <c r="J662" t="s">
        <v>15</v>
      </c>
    </row>
    <row r="663" spans="1:10" x14ac:dyDescent="0.35">
      <c r="A663" t="s">
        <v>685</v>
      </c>
      <c r="B663" t="s">
        <v>11</v>
      </c>
      <c r="C663">
        <v>24</v>
      </c>
      <c r="D663">
        <v>21</v>
      </c>
      <c r="E663" t="s">
        <v>21</v>
      </c>
      <c r="F663" t="s">
        <v>29</v>
      </c>
      <c r="G663" t="s">
        <v>19</v>
      </c>
      <c r="H663">
        <v>124.42</v>
      </c>
      <c r="I663">
        <v>2634.43</v>
      </c>
      <c r="J663" t="s">
        <v>15</v>
      </c>
    </row>
    <row r="664" spans="1:10" x14ac:dyDescent="0.35">
      <c r="A664" t="s">
        <v>686</v>
      </c>
      <c r="B664" t="s">
        <v>11</v>
      </c>
      <c r="C664">
        <v>27</v>
      </c>
      <c r="D664">
        <v>35</v>
      </c>
      <c r="E664" t="s">
        <v>18</v>
      </c>
      <c r="F664" t="s">
        <v>22</v>
      </c>
      <c r="G664" t="s">
        <v>19</v>
      </c>
      <c r="H664">
        <v>148.25</v>
      </c>
      <c r="I664">
        <v>4964.66</v>
      </c>
      <c r="J664" t="s">
        <v>27</v>
      </c>
    </row>
    <row r="665" spans="1:10" x14ac:dyDescent="0.35">
      <c r="A665" t="s">
        <v>687</v>
      </c>
      <c r="B665" t="s">
        <v>17</v>
      </c>
      <c r="C665">
        <v>24</v>
      </c>
      <c r="D665">
        <v>66</v>
      </c>
      <c r="E665" t="s">
        <v>12</v>
      </c>
      <c r="F665" t="s">
        <v>22</v>
      </c>
      <c r="G665" t="s">
        <v>19</v>
      </c>
      <c r="H665">
        <v>97.72</v>
      </c>
      <c r="I665">
        <v>7087.73</v>
      </c>
      <c r="J665" t="s">
        <v>15</v>
      </c>
    </row>
    <row r="666" spans="1:10" x14ac:dyDescent="0.35">
      <c r="A666" t="s">
        <v>688</v>
      </c>
      <c r="B666" t="s">
        <v>11</v>
      </c>
      <c r="C666">
        <v>50</v>
      </c>
      <c r="D666">
        <v>2</v>
      </c>
      <c r="E666" t="s">
        <v>12</v>
      </c>
      <c r="F666" t="s">
        <v>22</v>
      </c>
      <c r="G666" t="s">
        <v>23</v>
      </c>
      <c r="H666">
        <v>30.66</v>
      </c>
      <c r="I666">
        <v>67.040000000000006</v>
      </c>
      <c r="J666" t="s">
        <v>27</v>
      </c>
    </row>
    <row r="667" spans="1:10" x14ac:dyDescent="0.35">
      <c r="A667" t="s">
        <v>689</v>
      </c>
      <c r="B667" t="s">
        <v>11</v>
      </c>
      <c r="C667">
        <v>40</v>
      </c>
      <c r="D667">
        <v>35</v>
      </c>
      <c r="E667" t="s">
        <v>12</v>
      </c>
      <c r="F667" t="s">
        <v>22</v>
      </c>
      <c r="G667" t="s">
        <v>14</v>
      </c>
      <c r="H667">
        <v>104.09</v>
      </c>
      <c r="I667">
        <v>3599.97</v>
      </c>
      <c r="J667" t="s">
        <v>15</v>
      </c>
    </row>
    <row r="668" spans="1:10" x14ac:dyDescent="0.35">
      <c r="A668" t="s">
        <v>690</v>
      </c>
      <c r="B668" t="s">
        <v>17</v>
      </c>
      <c r="C668">
        <v>38</v>
      </c>
      <c r="D668">
        <v>20</v>
      </c>
      <c r="E668" t="s">
        <v>18</v>
      </c>
      <c r="F668" t="s">
        <v>13</v>
      </c>
      <c r="G668" t="s">
        <v>14</v>
      </c>
      <c r="H668">
        <v>101.25</v>
      </c>
      <c r="I668">
        <v>1927.96</v>
      </c>
      <c r="J668" t="s">
        <v>15</v>
      </c>
    </row>
    <row r="669" spans="1:10" x14ac:dyDescent="0.35">
      <c r="A669" t="s">
        <v>691</v>
      </c>
      <c r="B669" t="s">
        <v>17</v>
      </c>
      <c r="C669">
        <v>36</v>
      </c>
      <c r="D669">
        <v>10</v>
      </c>
      <c r="E669" t="s">
        <v>12</v>
      </c>
      <c r="F669" t="s">
        <v>22</v>
      </c>
      <c r="G669" t="s">
        <v>14</v>
      </c>
      <c r="H669">
        <v>102.99</v>
      </c>
      <c r="I669">
        <v>1099.5999999999999</v>
      </c>
      <c r="J669" t="s">
        <v>15</v>
      </c>
    </row>
    <row r="670" spans="1:10" x14ac:dyDescent="0.35">
      <c r="A670" t="s">
        <v>692</v>
      </c>
      <c r="B670" t="s">
        <v>11</v>
      </c>
      <c r="C670">
        <v>65</v>
      </c>
      <c r="D670">
        <v>25</v>
      </c>
      <c r="E670" t="s">
        <v>12</v>
      </c>
      <c r="F670" t="s">
        <v>33</v>
      </c>
      <c r="G670" t="s">
        <v>23</v>
      </c>
      <c r="H670">
        <v>59.93</v>
      </c>
      <c r="I670">
        <v>1562.86</v>
      </c>
      <c r="J670" t="s">
        <v>15</v>
      </c>
    </row>
    <row r="671" spans="1:10" x14ac:dyDescent="0.35">
      <c r="A671" t="s">
        <v>693</v>
      </c>
      <c r="B671" t="s">
        <v>11</v>
      </c>
      <c r="C671">
        <v>36</v>
      </c>
      <c r="D671">
        <v>66</v>
      </c>
      <c r="E671" t="s">
        <v>21</v>
      </c>
      <c r="F671" t="s">
        <v>13</v>
      </c>
      <c r="G671" t="s">
        <v>14</v>
      </c>
      <c r="H671">
        <v>131.76</v>
      </c>
      <c r="I671">
        <v>9021.2900000000009</v>
      </c>
      <c r="J671" t="s">
        <v>15</v>
      </c>
    </row>
    <row r="672" spans="1:10" x14ac:dyDescent="0.35">
      <c r="A672" t="s">
        <v>694</v>
      </c>
      <c r="B672" t="s">
        <v>11</v>
      </c>
      <c r="C672">
        <v>53</v>
      </c>
      <c r="D672">
        <v>25</v>
      </c>
      <c r="E672" t="s">
        <v>21</v>
      </c>
      <c r="F672" t="s">
        <v>22</v>
      </c>
      <c r="G672" t="s">
        <v>23</v>
      </c>
      <c r="H672">
        <v>144.72999999999999</v>
      </c>
      <c r="I672">
        <v>3902.73</v>
      </c>
      <c r="J672" t="s">
        <v>15</v>
      </c>
    </row>
    <row r="673" spans="1:10" x14ac:dyDescent="0.35">
      <c r="A673" t="s">
        <v>695</v>
      </c>
      <c r="B673" t="s">
        <v>17</v>
      </c>
      <c r="C673">
        <v>46</v>
      </c>
      <c r="D673">
        <v>54</v>
      </c>
      <c r="E673" t="s">
        <v>12</v>
      </c>
      <c r="F673" t="s">
        <v>13</v>
      </c>
      <c r="G673" t="s">
        <v>14</v>
      </c>
      <c r="H673">
        <v>48.3</v>
      </c>
      <c r="I673">
        <v>2707.01</v>
      </c>
      <c r="J673" t="s">
        <v>15</v>
      </c>
    </row>
    <row r="674" spans="1:10" x14ac:dyDescent="0.35">
      <c r="A674" t="s">
        <v>696</v>
      </c>
      <c r="B674" t="s">
        <v>17</v>
      </c>
      <c r="C674">
        <v>35</v>
      </c>
      <c r="D674">
        <v>33</v>
      </c>
      <c r="E674" t="s">
        <v>18</v>
      </c>
      <c r="F674" t="s">
        <v>22</v>
      </c>
      <c r="G674" t="s">
        <v>14</v>
      </c>
      <c r="H674">
        <v>31.46</v>
      </c>
      <c r="I674">
        <v>993.29</v>
      </c>
      <c r="J674" t="s">
        <v>15</v>
      </c>
    </row>
    <row r="675" spans="1:10" x14ac:dyDescent="0.35">
      <c r="A675" t="s">
        <v>697</v>
      </c>
      <c r="B675" t="s">
        <v>17</v>
      </c>
      <c r="C675">
        <v>19</v>
      </c>
      <c r="D675">
        <v>36</v>
      </c>
      <c r="E675" t="s">
        <v>12</v>
      </c>
      <c r="F675" t="s">
        <v>22</v>
      </c>
      <c r="G675" t="s">
        <v>19</v>
      </c>
      <c r="H675">
        <v>45.29</v>
      </c>
      <c r="I675">
        <v>1693.66</v>
      </c>
      <c r="J675" t="s">
        <v>15</v>
      </c>
    </row>
    <row r="676" spans="1:10" x14ac:dyDescent="0.35">
      <c r="A676" t="s">
        <v>698</v>
      </c>
      <c r="B676" t="s">
        <v>17</v>
      </c>
      <c r="C676">
        <v>18</v>
      </c>
      <c r="D676">
        <v>14</v>
      </c>
      <c r="E676" t="s">
        <v>21</v>
      </c>
      <c r="F676" t="s">
        <v>29</v>
      </c>
      <c r="G676" t="s">
        <v>19</v>
      </c>
      <c r="H676">
        <v>126.67</v>
      </c>
      <c r="I676">
        <v>1704.51</v>
      </c>
      <c r="J676" t="s">
        <v>15</v>
      </c>
    </row>
    <row r="677" spans="1:10" x14ac:dyDescent="0.35">
      <c r="A677" t="s">
        <v>699</v>
      </c>
      <c r="B677" t="s">
        <v>11</v>
      </c>
      <c r="C677">
        <v>64</v>
      </c>
      <c r="D677">
        <v>65</v>
      </c>
      <c r="E677" t="s">
        <v>12</v>
      </c>
      <c r="F677" t="s">
        <v>22</v>
      </c>
      <c r="G677" t="s">
        <v>23</v>
      </c>
      <c r="H677">
        <v>107.96</v>
      </c>
      <c r="I677">
        <v>7381.24</v>
      </c>
      <c r="J677" t="s">
        <v>27</v>
      </c>
    </row>
    <row r="678" spans="1:10" x14ac:dyDescent="0.35">
      <c r="A678" t="s">
        <v>700</v>
      </c>
      <c r="B678" t="s">
        <v>17</v>
      </c>
      <c r="C678">
        <v>22</v>
      </c>
      <c r="D678">
        <v>54</v>
      </c>
      <c r="E678" t="s">
        <v>21</v>
      </c>
      <c r="F678" t="s">
        <v>29</v>
      </c>
      <c r="G678" t="s">
        <v>19</v>
      </c>
      <c r="H678">
        <v>102.69</v>
      </c>
      <c r="I678">
        <v>5678.07</v>
      </c>
      <c r="J678" t="s">
        <v>27</v>
      </c>
    </row>
    <row r="679" spans="1:10" x14ac:dyDescent="0.35">
      <c r="A679" t="s">
        <v>701</v>
      </c>
      <c r="B679" t="s">
        <v>17</v>
      </c>
      <c r="C679">
        <v>37</v>
      </c>
      <c r="D679">
        <v>52</v>
      </c>
      <c r="E679" t="s">
        <v>12</v>
      </c>
      <c r="F679" t="s">
        <v>22</v>
      </c>
      <c r="G679" t="s">
        <v>14</v>
      </c>
      <c r="H679">
        <v>72.23</v>
      </c>
      <c r="I679">
        <v>3438.51</v>
      </c>
      <c r="J679" t="s">
        <v>15</v>
      </c>
    </row>
    <row r="680" spans="1:10" x14ac:dyDescent="0.35">
      <c r="A680" t="s">
        <v>702</v>
      </c>
      <c r="B680" t="s">
        <v>17</v>
      </c>
      <c r="C680">
        <v>28</v>
      </c>
      <c r="D680">
        <v>3</v>
      </c>
      <c r="E680" t="s">
        <v>18</v>
      </c>
      <c r="F680" t="s">
        <v>13</v>
      </c>
      <c r="G680" t="s">
        <v>19</v>
      </c>
      <c r="H680">
        <v>95.12</v>
      </c>
      <c r="I680">
        <v>286.08999999999997</v>
      </c>
      <c r="J680" t="s">
        <v>15</v>
      </c>
    </row>
    <row r="681" spans="1:10" x14ac:dyDescent="0.35">
      <c r="A681" t="s">
        <v>703</v>
      </c>
      <c r="B681" t="s">
        <v>17</v>
      </c>
      <c r="C681">
        <v>59</v>
      </c>
      <c r="D681">
        <v>41</v>
      </c>
      <c r="E681" t="s">
        <v>21</v>
      </c>
      <c r="F681" t="s">
        <v>22</v>
      </c>
      <c r="G681" t="s">
        <v>23</v>
      </c>
      <c r="H681">
        <v>60.02</v>
      </c>
      <c r="I681">
        <v>2383.6999999999998</v>
      </c>
      <c r="J681" t="s">
        <v>15</v>
      </c>
    </row>
    <row r="682" spans="1:10" x14ac:dyDescent="0.35">
      <c r="A682" t="s">
        <v>704</v>
      </c>
      <c r="B682" t="s">
        <v>17</v>
      </c>
      <c r="C682">
        <v>19</v>
      </c>
      <c r="D682">
        <v>6</v>
      </c>
      <c r="E682" t="s">
        <v>21</v>
      </c>
      <c r="F682" t="s">
        <v>29</v>
      </c>
      <c r="G682" t="s">
        <v>19</v>
      </c>
      <c r="H682">
        <v>82.04</v>
      </c>
      <c r="I682">
        <v>475.36</v>
      </c>
      <c r="J682" t="s">
        <v>15</v>
      </c>
    </row>
    <row r="683" spans="1:10" x14ac:dyDescent="0.35">
      <c r="A683" t="s">
        <v>705</v>
      </c>
      <c r="B683" t="s">
        <v>11</v>
      </c>
      <c r="C683">
        <v>20</v>
      </c>
      <c r="D683">
        <v>25</v>
      </c>
      <c r="E683" t="s">
        <v>21</v>
      </c>
      <c r="F683" t="s">
        <v>22</v>
      </c>
      <c r="G683" t="s">
        <v>19</v>
      </c>
      <c r="H683">
        <v>123.1</v>
      </c>
      <c r="I683">
        <v>3140.44</v>
      </c>
      <c r="J683" t="s">
        <v>15</v>
      </c>
    </row>
    <row r="684" spans="1:10" x14ac:dyDescent="0.35">
      <c r="A684" t="s">
        <v>706</v>
      </c>
      <c r="B684" t="s">
        <v>11</v>
      </c>
      <c r="C684">
        <v>40</v>
      </c>
      <c r="D684">
        <v>13</v>
      </c>
      <c r="E684" t="s">
        <v>21</v>
      </c>
      <c r="F684" t="s">
        <v>29</v>
      </c>
      <c r="G684" t="s">
        <v>14</v>
      </c>
      <c r="H684">
        <v>147.56</v>
      </c>
      <c r="I684">
        <v>1850.11</v>
      </c>
      <c r="J684" t="s">
        <v>15</v>
      </c>
    </row>
    <row r="685" spans="1:10" x14ac:dyDescent="0.35">
      <c r="A685" t="s">
        <v>707</v>
      </c>
      <c r="B685" t="s">
        <v>17</v>
      </c>
      <c r="C685">
        <v>29</v>
      </c>
      <c r="D685">
        <v>8</v>
      </c>
      <c r="E685" t="s">
        <v>12</v>
      </c>
      <c r="F685" t="s">
        <v>33</v>
      </c>
      <c r="G685" t="s">
        <v>19</v>
      </c>
      <c r="H685">
        <v>141.22</v>
      </c>
      <c r="I685">
        <v>1192.32</v>
      </c>
      <c r="J685" t="s">
        <v>27</v>
      </c>
    </row>
    <row r="686" spans="1:10" x14ac:dyDescent="0.35">
      <c r="A686" t="s">
        <v>708</v>
      </c>
      <c r="B686" t="s">
        <v>11</v>
      </c>
      <c r="C686">
        <v>37</v>
      </c>
      <c r="D686">
        <v>21</v>
      </c>
      <c r="E686" t="s">
        <v>12</v>
      </c>
      <c r="F686" t="s">
        <v>33</v>
      </c>
      <c r="G686" t="s">
        <v>14</v>
      </c>
      <c r="H686">
        <v>141.4</v>
      </c>
      <c r="I686">
        <v>2714.5</v>
      </c>
      <c r="J686" t="s">
        <v>27</v>
      </c>
    </row>
    <row r="687" spans="1:10" x14ac:dyDescent="0.35">
      <c r="A687" t="s">
        <v>709</v>
      </c>
      <c r="B687" t="s">
        <v>17</v>
      </c>
      <c r="C687">
        <v>22</v>
      </c>
      <c r="D687">
        <v>68</v>
      </c>
      <c r="E687" t="s">
        <v>18</v>
      </c>
      <c r="F687" t="s">
        <v>33</v>
      </c>
      <c r="G687" t="s">
        <v>19</v>
      </c>
      <c r="H687">
        <v>72.290000000000006</v>
      </c>
      <c r="I687">
        <v>5073.3999999999996</v>
      </c>
      <c r="J687" t="s">
        <v>15</v>
      </c>
    </row>
    <row r="688" spans="1:10" x14ac:dyDescent="0.35">
      <c r="A688" t="s">
        <v>710</v>
      </c>
      <c r="B688" t="s">
        <v>17</v>
      </c>
      <c r="C688">
        <v>54</v>
      </c>
      <c r="D688">
        <v>25</v>
      </c>
      <c r="E688" t="s">
        <v>12</v>
      </c>
      <c r="F688" t="s">
        <v>22</v>
      </c>
      <c r="G688" t="s">
        <v>23</v>
      </c>
      <c r="H688">
        <v>80.94</v>
      </c>
      <c r="I688">
        <v>2148.63</v>
      </c>
      <c r="J688" t="s">
        <v>15</v>
      </c>
    </row>
    <row r="689" spans="1:10" x14ac:dyDescent="0.35">
      <c r="A689" t="s">
        <v>711</v>
      </c>
      <c r="B689" t="s">
        <v>11</v>
      </c>
      <c r="C689">
        <v>55</v>
      </c>
      <c r="D689">
        <v>68</v>
      </c>
      <c r="E689" t="s">
        <v>21</v>
      </c>
      <c r="F689" t="s">
        <v>22</v>
      </c>
      <c r="G689" t="s">
        <v>23</v>
      </c>
      <c r="H689">
        <v>111.73</v>
      </c>
      <c r="I689">
        <v>7860.26</v>
      </c>
      <c r="J689" t="s">
        <v>15</v>
      </c>
    </row>
    <row r="690" spans="1:10" x14ac:dyDescent="0.35">
      <c r="A690" t="s">
        <v>712</v>
      </c>
      <c r="B690" t="s">
        <v>11</v>
      </c>
      <c r="C690">
        <v>47</v>
      </c>
      <c r="D690">
        <v>45</v>
      </c>
      <c r="E690" t="s">
        <v>18</v>
      </c>
      <c r="F690" t="s">
        <v>29</v>
      </c>
      <c r="G690" t="s">
        <v>14</v>
      </c>
      <c r="H690">
        <v>139.88</v>
      </c>
      <c r="I690">
        <v>6291.11</v>
      </c>
      <c r="J690" t="s">
        <v>15</v>
      </c>
    </row>
    <row r="691" spans="1:10" x14ac:dyDescent="0.35">
      <c r="A691" t="s">
        <v>713</v>
      </c>
      <c r="B691" t="s">
        <v>17</v>
      </c>
      <c r="C691">
        <v>26</v>
      </c>
      <c r="D691">
        <v>60</v>
      </c>
      <c r="E691" t="s">
        <v>12</v>
      </c>
      <c r="F691" t="s">
        <v>29</v>
      </c>
      <c r="G691" t="s">
        <v>19</v>
      </c>
      <c r="H691">
        <v>38.46</v>
      </c>
      <c r="I691">
        <v>2515.4299999999998</v>
      </c>
      <c r="J691" t="s">
        <v>15</v>
      </c>
    </row>
    <row r="692" spans="1:10" x14ac:dyDescent="0.35">
      <c r="A692" t="s">
        <v>714</v>
      </c>
      <c r="B692" t="s">
        <v>17</v>
      </c>
      <c r="C692">
        <v>51</v>
      </c>
      <c r="D692">
        <v>12</v>
      </c>
      <c r="E692" t="s">
        <v>21</v>
      </c>
      <c r="F692" t="s">
        <v>13</v>
      </c>
      <c r="G692" t="s">
        <v>23</v>
      </c>
      <c r="H692">
        <v>59.55</v>
      </c>
      <c r="I692">
        <v>686.01</v>
      </c>
      <c r="J692" t="s">
        <v>15</v>
      </c>
    </row>
    <row r="693" spans="1:10" x14ac:dyDescent="0.35">
      <c r="A693" t="s">
        <v>715</v>
      </c>
      <c r="B693" t="s">
        <v>17</v>
      </c>
      <c r="C693">
        <v>70</v>
      </c>
      <c r="D693">
        <v>32</v>
      </c>
      <c r="E693" t="s">
        <v>12</v>
      </c>
      <c r="F693" t="s">
        <v>22</v>
      </c>
      <c r="G693" t="s">
        <v>23</v>
      </c>
      <c r="H693">
        <v>38.1</v>
      </c>
      <c r="I693">
        <v>1101.95</v>
      </c>
      <c r="J693" t="s">
        <v>27</v>
      </c>
    </row>
    <row r="694" spans="1:10" x14ac:dyDescent="0.35">
      <c r="A694" t="s">
        <v>716</v>
      </c>
      <c r="B694" t="s">
        <v>11</v>
      </c>
      <c r="C694">
        <v>61</v>
      </c>
      <c r="D694">
        <v>13</v>
      </c>
      <c r="E694" t="s">
        <v>21</v>
      </c>
      <c r="F694" t="s">
        <v>33</v>
      </c>
      <c r="G694" t="s">
        <v>23</v>
      </c>
      <c r="H694">
        <v>99.56</v>
      </c>
      <c r="I694">
        <v>1276.68</v>
      </c>
      <c r="J694" t="s">
        <v>15</v>
      </c>
    </row>
    <row r="695" spans="1:10" x14ac:dyDescent="0.35">
      <c r="A695" t="s">
        <v>717</v>
      </c>
      <c r="B695" t="s">
        <v>17</v>
      </c>
      <c r="C695">
        <v>52</v>
      </c>
      <c r="D695">
        <v>31</v>
      </c>
      <c r="E695" t="s">
        <v>12</v>
      </c>
      <c r="F695" t="s">
        <v>29</v>
      </c>
      <c r="G695" t="s">
        <v>23</v>
      </c>
      <c r="H695">
        <v>59.82</v>
      </c>
      <c r="I695">
        <v>1681.22</v>
      </c>
      <c r="J695" t="s">
        <v>15</v>
      </c>
    </row>
    <row r="696" spans="1:10" x14ac:dyDescent="0.35">
      <c r="A696" t="s">
        <v>718</v>
      </c>
      <c r="B696" t="s">
        <v>17</v>
      </c>
      <c r="C696">
        <v>69</v>
      </c>
      <c r="D696">
        <v>20</v>
      </c>
      <c r="E696" t="s">
        <v>12</v>
      </c>
      <c r="F696" t="s">
        <v>33</v>
      </c>
      <c r="G696" t="s">
        <v>23</v>
      </c>
      <c r="H696">
        <v>62.39</v>
      </c>
      <c r="I696">
        <v>1361.08</v>
      </c>
      <c r="J696" t="s">
        <v>15</v>
      </c>
    </row>
    <row r="697" spans="1:10" x14ac:dyDescent="0.35">
      <c r="A697" t="s">
        <v>719</v>
      </c>
      <c r="B697" t="s">
        <v>17</v>
      </c>
      <c r="C697">
        <v>39</v>
      </c>
      <c r="D697">
        <v>18</v>
      </c>
      <c r="E697" t="s">
        <v>21</v>
      </c>
      <c r="F697" t="s">
        <v>22</v>
      </c>
      <c r="G697" t="s">
        <v>14</v>
      </c>
      <c r="H697">
        <v>29.22</v>
      </c>
      <c r="I697">
        <v>495.45</v>
      </c>
      <c r="J697" t="s">
        <v>15</v>
      </c>
    </row>
    <row r="698" spans="1:10" x14ac:dyDescent="0.35">
      <c r="A698" t="s">
        <v>720</v>
      </c>
      <c r="B698" t="s">
        <v>11</v>
      </c>
      <c r="C698">
        <v>61</v>
      </c>
      <c r="D698">
        <v>60</v>
      </c>
      <c r="E698" t="s">
        <v>18</v>
      </c>
      <c r="F698" t="s">
        <v>22</v>
      </c>
      <c r="G698" t="s">
        <v>23</v>
      </c>
      <c r="H698">
        <v>65.47</v>
      </c>
      <c r="I698">
        <v>4155.1899999999996</v>
      </c>
      <c r="J698" t="s">
        <v>15</v>
      </c>
    </row>
    <row r="699" spans="1:10" x14ac:dyDescent="0.35">
      <c r="A699" t="s">
        <v>721</v>
      </c>
      <c r="B699" t="s">
        <v>17</v>
      </c>
      <c r="C699">
        <v>41</v>
      </c>
      <c r="D699">
        <v>63</v>
      </c>
      <c r="E699" t="s">
        <v>21</v>
      </c>
      <c r="F699" t="s">
        <v>29</v>
      </c>
      <c r="G699" t="s">
        <v>14</v>
      </c>
      <c r="H699">
        <v>132.12</v>
      </c>
      <c r="I699">
        <v>8780.64</v>
      </c>
      <c r="J699" t="s">
        <v>27</v>
      </c>
    </row>
    <row r="700" spans="1:10" x14ac:dyDescent="0.35">
      <c r="A700" t="s">
        <v>722</v>
      </c>
      <c r="B700" t="s">
        <v>17</v>
      </c>
      <c r="C700">
        <v>34</v>
      </c>
      <c r="D700">
        <v>6</v>
      </c>
      <c r="E700" t="s">
        <v>12</v>
      </c>
      <c r="F700" t="s">
        <v>29</v>
      </c>
      <c r="G700" t="s">
        <v>14</v>
      </c>
      <c r="H700">
        <v>50.3</v>
      </c>
      <c r="I700">
        <v>284.76</v>
      </c>
      <c r="J700" t="s">
        <v>27</v>
      </c>
    </row>
    <row r="701" spans="1:10" x14ac:dyDescent="0.35">
      <c r="A701" t="s">
        <v>723</v>
      </c>
      <c r="B701" t="s">
        <v>11</v>
      </c>
      <c r="C701">
        <v>27</v>
      </c>
      <c r="D701">
        <v>32</v>
      </c>
      <c r="E701" t="s">
        <v>12</v>
      </c>
      <c r="F701" t="s">
        <v>13</v>
      </c>
      <c r="G701" t="s">
        <v>19</v>
      </c>
      <c r="H701">
        <v>110.37</v>
      </c>
      <c r="I701">
        <v>3617.47</v>
      </c>
      <c r="J701" t="s">
        <v>15</v>
      </c>
    </row>
    <row r="702" spans="1:10" x14ac:dyDescent="0.35">
      <c r="A702" t="s">
        <v>724</v>
      </c>
      <c r="B702" t="s">
        <v>17</v>
      </c>
      <c r="C702">
        <v>47</v>
      </c>
      <c r="D702">
        <v>43</v>
      </c>
      <c r="E702" t="s">
        <v>21</v>
      </c>
      <c r="F702" t="s">
        <v>22</v>
      </c>
      <c r="G702" t="s">
        <v>14</v>
      </c>
      <c r="H702">
        <v>101.85</v>
      </c>
      <c r="I702">
        <v>3983.71</v>
      </c>
      <c r="J702" t="s">
        <v>15</v>
      </c>
    </row>
    <row r="703" spans="1:10" x14ac:dyDescent="0.35">
      <c r="A703" t="s">
        <v>725</v>
      </c>
      <c r="B703" t="s">
        <v>17</v>
      </c>
      <c r="C703">
        <v>63</v>
      </c>
      <c r="D703">
        <v>2</v>
      </c>
      <c r="E703" t="s">
        <v>12</v>
      </c>
      <c r="F703" t="s">
        <v>29</v>
      </c>
      <c r="G703" t="s">
        <v>23</v>
      </c>
      <c r="H703">
        <v>132.25</v>
      </c>
      <c r="I703">
        <v>263.63</v>
      </c>
      <c r="J703" t="s">
        <v>27</v>
      </c>
    </row>
    <row r="704" spans="1:10" x14ac:dyDescent="0.35">
      <c r="A704" t="s">
        <v>726</v>
      </c>
      <c r="B704" t="s">
        <v>11</v>
      </c>
      <c r="C704">
        <v>40</v>
      </c>
      <c r="D704">
        <v>60</v>
      </c>
      <c r="E704" t="s">
        <v>18</v>
      </c>
      <c r="F704" t="s">
        <v>13</v>
      </c>
      <c r="G704" t="s">
        <v>14</v>
      </c>
      <c r="H704">
        <v>37.200000000000003</v>
      </c>
      <c r="I704">
        <v>2015.34</v>
      </c>
      <c r="J704" t="s">
        <v>15</v>
      </c>
    </row>
    <row r="705" spans="1:10" x14ac:dyDescent="0.35">
      <c r="A705" t="s">
        <v>727</v>
      </c>
      <c r="B705" t="s">
        <v>17</v>
      </c>
      <c r="C705">
        <v>49</v>
      </c>
      <c r="D705">
        <v>23</v>
      </c>
      <c r="E705" t="s">
        <v>18</v>
      </c>
      <c r="F705" t="s">
        <v>33</v>
      </c>
      <c r="G705" t="s">
        <v>14</v>
      </c>
      <c r="H705">
        <v>147.09</v>
      </c>
      <c r="I705">
        <v>3668.02</v>
      </c>
      <c r="J705" t="s">
        <v>15</v>
      </c>
    </row>
    <row r="706" spans="1:10" x14ac:dyDescent="0.35">
      <c r="A706" t="s">
        <v>728</v>
      </c>
      <c r="B706" t="s">
        <v>11</v>
      </c>
      <c r="C706">
        <v>34</v>
      </c>
      <c r="D706">
        <v>31</v>
      </c>
      <c r="E706" t="s">
        <v>21</v>
      </c>
      <c r="F706" t="s">
        <v>33</v>
      </c>
      <c r="G706" t="s">
        <v>14</v>
      </c>
      <c r="H706">
        <v>95.74</v>
      </c>
      <c r="I706">
        <v>3250.54</v>
      </c>
      <c r="J706" t="s">
        <v>15</v>
      </c>
    </row>
    <row r="707" spans="1:10" x14ac:dyDescent="0.35">
      <c r="A707" t="s">
        <v>729</v>
      </c>
      <c r="B707" t="s">
        <v>11</v>
      </c>
      <c r="C707">
        <v>67</v>
      </c>
      <c r="D707">
        <v>5</v>
      </c>
      <c r="E707" t="s">
        <v>18</v>
      </c>
      <c r="F707" t="s">
        <v>33</v>
      </c>
      <c r="G707" t="s">
        <v>23</v>
      </c>
      <c r="H707">
        <v>149.41</v>
      </c>
      <c r="I707">
        <v>705.56</v>
      </c>
      <c r="J707" t="s">
        <v>27</v>
      </c>
    </row>
    <row r="708" spans="1:10" x14ac:dyDescent="0.35">
      <c r="A708" t="s">
        <v>730</v>
      </c>
      <c r="B708" t="s">
        <v>17</v>
      </c>
      <c r="C708">
        <v>68</v>
      </c>
      <c r="D708">
        <v>34</v>
      </c>
      <c r="E708" t="s">
        <v>12</v>
      </c>
      <c r="F708" t="s">
        <v>13</v>
      </c>
      <c r="G708" t="s">
        <v>23</v>
      </c>
      <c r="H708">
        <v>138.5</v>
      </c>
      <c r="I708">
        <v>4434.09</v>
      </c>
      <c r="J708" t="s">
        <v>15</v>
      </c>
    </row>
    <row r="709" spans="1:10" x14ac:dyDescent="0.35">
      <c r="A709" t="s">
        <v>731</v>
      </c>
      <c r="B709" t="s">
        <v>17</v>
      </c>
      <c r="C709">
        <v>34</v>
      </c>
      <c r="D709">
        <v>10</v>
      </c>
      <c r="E709" t="s">
        <v>21</v>
      </c>
      <c r="F709" t="s">
        <v>29</v>
      </c>
      <c r="G709" t="s">
        <v>14</v>
      </c>
      <c r="H709">
        <v>48.8</v>
      </c>
      <c r="I709">
        <v>512.76</v>
      </c>
      <c r="J709" t="s">
        <v>27</v>
      </c>
    </row>
    <row r="710" spans="1:10" x14ac:dyDescent="0.35">
      <c r="A710" t="s">
        <v>732</v>
      </c>
      <c r="B710" t="s">
        <v>17</v>
      </c>
      <c r="C710">
        <v>31</v>
      </c>
      <c r="D710">
        <v>2</v>
      </c>
      <c r="E710" t="s">
        <v>12</v>
      </c>
      <c r="F710" t="s">
        <v>22</v>
      </c>
      <c r="G710" t="s">
        <v>14</v>
      </c>
      <c r="H710">
        <v>27.3</v>
      </c>
      <c r="I710">
        <v>51.91</v>
      </c>
      <c r="J710" t="s">
        <v>15</v>
      </c>
    </row>
    <row r="711" spans="1:10" x14ac:dyDescent="0.35">
      <c r="A711" t="s">
        <v>733</v>
      </c>
      <c r="B711" t="s">
        <v>17</v>
      </c>
      <c r="C711">
        <v>26</v>
      </c>
      <c r="D711">
        <v>11</v>
      </c>
      <c r="E711" t="s">
        <v>18</v>
      </c>
      <c r="F711" t="s">
        <v>13</v>
      </c>
      <c r="G711" t="s">
        <v>19</v>
      </c>
      <c r="H711">
        <v>53.23</v>
      </c>
      <c r="I711">
        <v>631.79999999999995</v>
      </c>
      <c r="J711" t="s">
        <v>15</v>
      </c>
    </row>
    <row r="712" spans="1:10" x14ac:dyDescent="0.35">
      <c r="A712" t="s">
        <v>734</v>
      </c>
      <c r="B712" t="s">
        <v>11</v>
      </c>
      <c r="C712">
        <v>57</v>
      </c>
      <c r="D712">
        <v>50</v>
      </c>
      <c r="E712" t="s">
        <v>12</v>
      </c>
      <c r="F712" t="s">
        <v>29</v>
      </c>
      <c r="G712" t="s">
        <v>23</v>
      </c>
      <c r="H712">
        <v>88.58</v>
      </c>
      <c r="I712">
        <v>4494.49</v>
      </c>
      <c r="J712" t="s">
        <v>15</v>
      </c>
    </row>
    <row r="713" spans="1:10" x14ac:dyDescent="0.35">
      <c r="A713" t="s">
        <v>735</v>
      </c>
      <c r="B713" t="s">
        <v>17</v>
      </c>
      <c r="C713">
        <v>19</v>
      </c>
      <c r="D713">
        <v>31</v>
      </c>
      <c r="E713" t="s">
        <v>21</v>
      </c>
      <c r="F713" t="s">
        <v>29</v>
      </c>
      <c r="G713" t="s">
        <v>19</v>
      </c>
      <c r="H713">
        <v>42.31</v>
      </c>
      <c r="I713">
        <v>1272.47</v>
      </c>
      <c r="J713" t="s">
        <v>15</v>
      </c>
    </row>
    <row r="714" spans="1:10" x14ac:dyDescent="0.35">
      <c r="A714" t="s">
        <v>736</v>
      </c>
      <c r="B714" t="s">
        <v>11</v>
      </c>
      <c r="C714">
        <v>62</v>
      </c>
      <c r="D714">
        <v>56</v>
      </c>
      <c r="E714" t="s">
        <v>18</v>
      </c>
      <c r="F714" t="s">
        <v>13</v>
      </c>
      <c r="G714" t="s">
        <v>23</v>
      </c>
      <c r="H714">
        <v>41.77</v>
      </c>
      <c r="I714">
        <v>2494.7600000000002</v>
      </c>
      <c r="J714" t="s">
        <v>15</v>
      </c>
    </row>
    <row r="715" spans="1:10" x14ac:dyDescent="0.35">
      <c r="A715" t="s">
        <v>737</v>
      </c>
      <c r="B715" t="s">
        <v>17</v>
      </c>
      <c r="C715">
        <v>42</v>
      </c>
      <c r="D715">
        <v>9</v>
      </c>
      <c r="E715" t="s">
        <v>12</v>
      </c>
      <c r="F715" t="s">
        <v>29</v>
      </c>
      <c r="G715" t="s">
        <v>14</v>
      </c>
      <c r="H715">
        <v>80.14</v>
      </c>
      <c r="I715">
        <v>720.31</v>
      </c>
      <c r="J715" t="s">
        <v>27</v>
      </c>
    </row>
    <row r="716" spans="1:10" x14ac:dyDescent="0.35">
      <c r="A716" t="s">
        <v>738</v>
      </c>
      <c r="B716" t="s">
        <v>17</v>
      </c>
      <c r="C716">
        <v>56</v>
      </c>
      <c r="D716">
        <v>21</v>
      </c>
      <c r="E716" t="s">
        <v>12</v>
      </c>
      <c r="F716" t="s">
        <v>29</v>
      </c>
      <c r="G716" t="s">
        <v>23</v>
      </c>
      <c r="H716">
        <v>24.32</v>
      </c>
      <c r="I716">
        <v>552.77</v>
      </c>
      <c r="J716" t="s">
        <v>15</v>
      </c>
    </row>
    <row r="717" spans="1:10" x14ac:dyDescent="0.35">
      <c r="A717" t="s">
        <v>739</v>
      </c>
      <c r="B717" t="s">
        <v>17</v>
      </c>
      <c r="C717">
        <v>26</v>
      </c>
      <c r="D717">
        <v>28</v>
      </c>
      <c r="E717" t="s">
        <v>21</v>
      </c>
      <c r="F717" t="s">
        <v>29</v>
      </c>
      <c r="G717" t="s">
        <v>19</v>
      </c>
      <c r="H717">
        <v>35.85</v>
      </c>
      <c r="I717">
        <v>1089.73</v>
      </c>
      <c r="J717" t="s">
        <v>15</v>
      </c>
    </row>
    <row r="718" spans="1:10" x14ac:dyDescent="0.35">
      <c r="A718" t="s">
        <v>740</v>
      </c>
      <c r="B718" t="s">
        <v>11</v>
      </c>
      <c r="C718">
        <v>39</v>
      </c>
      <c r="D718">
        <v>62</v>
      </c>
      <c r="E718" t="s">
        <v>12</v>
      </c>
      <c r="F718" t="s">
        <v>29</v>
      </c>
      <c r="G718" t="s">
        <v>14</v>
      </c>
      <c r="H718">
        <v>74.06</v>
      </c>
      <c r="I718">
        <v>4284.46</v>
      </c>
      <c r="J718" t="s">
        <v>15</v>
      </c>
    </row>
    <row r="719" spans="1:10" x14ac:dyDescent="0.35">
      <c r="A719" t="s">
        <v>741</v>
      </c>
      <c r="B719" t="s">
        <v>17</v>
      </c>
      <c r="C719">
        <v>60</v>
      </c>
      <c r="D719">
        <v>7</v>
      </c>
      <c r="E719" t="s">
        <v>12</v>
      </c>
      <c r="F719" t="s">
        <v>22</v>
      </c>
      <c r="G719" t="s">
        <v>23</v>
      </c>
      <c r="H719">
        <v>28.21</v>
      </c>
      <c r="I719">
        <v>177.81</v>
      </c>
      <c r="J719" t="s">
        <v>27</v>
      </c>
    </row>
    <row r="720" spans="1:10" x14ac:dyDescent="0.35">
      <c r="A720" t="s">
        <v>742</v>
      </c>
      <c r="B720" t="s">
        <v>17</v>
      </c>
      <c r="C720">
        <v>63</v>
      </c>
      <c r="D720">
        <v>16</v>
      </c>
      <c r="E720" t="s">
        <v>12</v>
      </c>
      <c r="F720" t="s">
        <v>13</v>
      </c>
      <c r="G720" t="s">
        <v>23</v>
      </c>
      <c r="H720">
        <v>71.58</v>
      </c>
      <c r="I720">
        <v>1256.1300000000001</v>
      </c>
      <c r="J720" t="s">
        <v>15</v>
      </c>
    </row>
    <row r="721" spans="1:10" x14ac:dyDescent="0.35">
      <c r="A721" t="s">
        <v>743</v>
      </c>
      <c r="B721" t="s">
        <v>17</v>
      </c>
      <c r="C721">
        <v>21</v>
      </c>
      <c r="D721">
        <v>4</v>
      </c>
      <c r="E721" t="s">
        <v>12</v>
      </c>
      <c r="F721" t="s">
        <v>22</v>
      </c>
      <c r="G721" t="s">
        <v>19</v>
      </c>
      <c r="H721">
        <v>81.62</v>
      </c>
      <c r="I721">
        <v>353</v>
      </c>
      <c r="J721" t="s">
        <v>27</v>
      </c>
    </row>
    <row r="722" spans="1:10" x14ac:dyDescent="0.35">
      <c r="A722" t="s">
        <v>744</v>
      </c>
      <c r="B722" t="s">
        <v>17</v>
      </c>
      <c r="C722">
        <v>43</v>
      </c>
      <c r="D722">
        <v>4</v>
      </c>
      <c r="E722" t="s">
        <v>18</v>
      </c>
      <c r="F722" t="s">
        <v>29</v>
      </c>
      <c r="G722" t="s">
        <v>14</v>
      </c>
      <c r="H722">
        <v>78.66</v>
      </c>
      <c r="I722">
        <v>286.67</v>
      </c>
      <c r="J722" t="s">
        <v>27</v>
      </c>
    </row>
    <row r="723" spans="1:10" x14ac:dyDescent="0.35">
      <c r="A723" t="s">
        <v>745</v>
      </c>
      <c r="B723" t="s">
        <v>11</v>
      </c>
      <c r="C723">
        <v>46</v>
      </c>
      <c r="D723">
        <v>40</v>
      </c>
      <c r="E723" t="s">
        <v>21</v>
      </c>
      <c r="F723" t="s">
        <v>29</v>
      </c>
      <c r="G723" t="s">
        <v>14</v>
      </c>
      <c r="H723">
        <v>132.99</v>
      </c>
      <c r="I723">
        <v>5673.92</v>
      </c>
      <c r="J723" t="s">
        <v>27</v>
      </c>
    </row>
    <row r="724" spans="1:10" x14ac:dyDescent="0.35">
      <c r="A724" t="s">
        <v>746</v>
      </c>
      <c r="B724" t="s">
        <v>17</v>
      </c>
      <c r="C724">
        <v>62</v>
      </c>
      <c r="D724">
        <v>17</v>
      </c>
      <c r="E724" t="s">
        <v>12</v>
      </c>
      <c r="F724" t="s">
        <v>22</v>
      </c>
      <c r="G724" t="s">
        <v>23</v>
      </c>
      <c r="H724">
        <v>88.91</v>
      </c>
      <c r="I724">
        <v>1498.71</v>
      </c>
      <c r="J724" t="s">
        <v>15</v>
      </c>
    </row>
    <row r="725" spans="1:10" x14ac:dyDescent="0.35">
      <c r="A725" t="s">
        <v>747</v>
      </c>
      <c r="B725" t="s">
        <v>11</v>
      </c>
      <c r="C725">
        <v>51</v>
      </c>
      <c r="D725">
        <v>52</v>
      </c>
      <c r="E725" t="s">
        <v>12</v>
      </c>
      <c r="F725" t="s">
        <v>13</v>
      </c>
      <c r="G725" t="s">
        <v>23</v>
      </c>
      <c r="H725">
        <v>80.84</v>
      </c>
      <c r="I725">
        <v>4001.03</v>
      </c>
      <c r="J725" t="s">
        <v>15</v>
      </c>
    </row>
    <row r="726" spans="1:10" x14ac:dyDescent="0.35">
      <c r="A726" t="s">
        <v>748</v>
      </c>
      <c r="B726" t="s">
        <v>11</v>
      </c>
      <c r="C726">
        <v>40</v>
      </c>
      <c r="D726">
        <v>52</v>
      </c>
      <c r="E726" t="s">
        <v>12</v>
      </c>
      <c r="F726" t="s">
        <v>13</v>
      </c>
      <c r="G726" t="s">
        <v>14</v>
      </c>
      <c r="H726">
        <v>73.39</v>
      </c>
      <c r="I726">
        <v>4105.3599999999997</v>
      </c>
      <c r="J726" t="s">
        <v>15</v>
      </c>
    </row>
    <row r="727" spans="1:10" x14ac:dyDescent="0.35">
      <c r="A727" t="s">
        <v>749</v>
      </c>
      <c r="B727" t="s">
        <v>11</v>
      </c>
      <c r="C727">
        <v>54</v>
      </c>
      <c r="D727">
        <v>36</v>
      </c>
      <c r="E727" t="s">
        <v>12</v>
      </c>
      <c r="F727" t="s">
        <v>13</v>
      </c>
      <c r="G727" t="s">
        <v>23</v>
      </c>
      <c r="H727">
        <v>126.29</v>
      </c>
      <c r="I727">
        <v>4270.62</v>
      </c>
      <c r="J727" t="s">
        <v>27</v>
      </c>
    </row>
    <row r="728" spans="1:10" x14ac:dyDescent="0.35">
      <c r="A728" t="s">
        <v>750</v>
      </c>
      <c r="B728" t="s">
        <v>11</v>
      </c>
      <c r="C728">
        <v>28</v>
      </c>
      <c r="D728">
        <v>38</v>
      </c>
      <c r="E728" t="s">
        <v>12</v>
      </c>
      <c r="F728" t="s">
        <v>33</v>
      </c>
      <c r="G728" t="s">
        <v>19</v>
      </c>
      <c r="H728">
        <v>136.36000000000001</v>
      </c>
      <c r="I728">
        <v>5645.23</v>
      </c>
      <c r="J728" t="s">
        <v>27</v>
      </c>
    </row>
    <row r="729" spans="1:10" x14ac:dyDescent="0.35">
      <c r="A729" t="s">
        <v>751</v>
      </c>
      <c r="B729" t="s">
        <v>11</v>
      </c>
      <c r="C729">
        <v>23</v>
      </c>
      <c r="D729">
        <v>50</v>
      </c>
      <c r="E729" t="s">
        <v>12</v>
      </c>
      <c r="F729" t="s">
        <v>29</v>
      </c>
      <c r="G729" t="s">
        <v>19</v>
      </c>
      <c r="H729">
        <v>130.91999999999999</v>
      </c>
      <c r="I729">
        <v>6160.6</v>
      </c>
      <c r="J729" t="s">
        <v>27</v>
      </c>
    </row>
    <row r="730" spans="1:10" x14ac:dyDescent="0.35">
      <c r="A730" t="s">
        <v>752</v>
      </c>
      <c r="B730" t="s">
        <v>11</v>
      </c>
      <c r="C730">
        <v>35</v>
      </c>
      <c r="D730">
        <v>63</v>
      </c>
      <c r="E730" t="s">
        <v>12</v>
      </c>
      <c r="F730" t="s">
        <v>13</v>
      </c>
      <c r="G730" t="s">
        <v>14</v>
      </c>
      <c r="H730">
        <v>107.56</v>
      </c>
      <c r="I730">
        <v>6930.35</v>
      </c>
      <c r="J730" t="s">
        <v>15</v>
      </c>
    </row>
    <row r="731" spans="1:10" x14ac:dyDescent="0.35">
      <c r="A731" t="s">
        <v>753</v>
      </c>
      <c r="B731" t="s">
        <v>17</v>
      </c>
      <c r="C731">
        <v>38</v>
      </c>
      <c r="D731">
        <v>63</v>
      </c>
      <c r="E731" t="s">
        <v>21</v>
      </c>
      <c r="F731" t="s">
        <v>22</v>
      </c>
      <c r="G731" t="s">
        <v>14</v>
      </c>
      <c r="H731">
        <v>37.86</v>
      </c>
      <c r="I731">
        <v>2253.08</v>
      </c>
      <c r="J731" t="s">
        <v>15</v>
      </c>
    </row>
    <row r="732" spans="1:10" x14ac:dyDescent="0.35">
      <c r="A732" t="s">
        <v>754</v>
      </c>
      <c r="B732" t="s">
        <v>11</v>
      </c>
      <c r="C732">
        <v>59</v>
      </c>
      <c r="D732">
        <v>62</v>
      </c>
      <c r="E732" t="s">
        <v>12</v>
      </c>
      <c r="F732" t="s">
        <v>13</v>
      </c>
      <c r="G732" t="s">
        <v>23</v>
      </c>
      <c r="H732">
        <v>55.99</v>
      </c>
      <c r="I732">
        <v>3503.09</v>
      </c>
      <c r="J732" t="s">
        <v>15</v>
      </c>
    </row>
    <row r="733" spans="1:10" x14ac:dyDescent="0.35">
      <c r="A733" t="s">
        <v>755</v>
      </c>
      <c r="B733" t="s">
        <v>11</v>
      </c>
      <c r="C733">
        <v>53</v>
      </c>
      <c r="D733">
        <v>7</v>
      </c>
      <c r="E733" t="s">
        <v>21</v>
      </c>
      <c r="F733" t="s">
        <v>29</v>
      </c>
      <c r="G733" t="s">
        <v>23</v>
      </c>
      <c r="H733">
        <v>25.99</v>
      </c>
      <c r="I733">
        <v>188.62</v>
      </c>
      <c r="J733" t="s">
        <v>27</v>
      </c>
    </row>
    <row r="734" spans="1:10" x14ac:dyDescent="0.35">
      <c r="A734" t="s">
        <v>756</v>
      </c>
      <c r="B734" t="s">
        <v>11</v>
      </c>
      <c r="C734">
        <v>58</v>
      </c>
      <c r="D734">
        <v>27</v>
      </c>
      <c r="E734" t="s">
        <v>21</v>
      </c>
      <c r="F734" t="s">
        <v>13</v>
      </c>
      <c r="G734" t="s">
        <v>23</v>
      </c>
      <c r="H734">
        <v>141.01</v>
      </c>
      <c r="I734">
        <v>3571.39</v>
      </c>
      <c r="J734" t="s">
        <v>27</v>
      </c>
    </row>
    <row r="735" spans="1:10" x14ac:dyDescent="0.35">
      <c r="A735" t="s">
        <v>757</v>
      </c>
      <c r="B735" t="s">
        <v>17</v>
      </c>
      <c r="C735">
        <v>55</v>
      </c>
      <c r="D735">
        <v>14</v>
      </c>
      <c r="E735" t="s">
        <v>21</v>
      </c>
      <c r="F735" t="s">
        <v>22</v>
      </c>
      <c r="G735" t="s">
        <v>23</v>
      </c>
      <c r="H735">
        <v>105.9</v>
      </c>
      <c r="I735">
        <v>1488.79</v>
      </c>
      <c r="J735" t="s">
        <v>27</v>
      </c>
    </row>
    <row r="736" spans="1:10" x14ac:dyDescent="0.35">
      <c r="A736" t="s">
        <v>758</v>
      </c>
      <c r="B736" t="s">
        <v>17</v>
      </c>
      <c r="C736">
        <v>51</v>
      </c>
      <c r="D736">
        <v>71</v>
      </c>
      <c r="E736" t="s">
        <v>21</v>
      </c>
      <c r="F736" t="s">
        <v>29</v>
      </c>
      <c r="G736" t="s">
        <v>23</v>
      </c>
      <c r="H736">
        <v>117.03</v>
      </c>
      <c r="I736">
        <v>8257.7099999999991</v>
      </c>
      <c r="J736" t="s">
        <v>27</v>
      </c>
    </row>
    <row r="737" spans="1:10" x14ac:dyDescent="0.35">
      <c r="A737" t="s">
        <v>759</v>
      </c>
      <c r="B737" t="s">
        <v>11</v>
      </c>
      <c r="C737">
        <v>34</v>
      </c>
      <c r="D737">
        <v>5</v>
      </c>
      <c r="E737" t="s">
        <v>12</v>
      </c>
      <c r="F737" t="s">
        <v>29</v>
      </c>
      <c r="G737" t="s">
        <v>14</v>
      </c>
      <c r="H737">
        <v>60.5</v>
      </c>
      <c r="I737">
        <v>276.55</v>
      </c>
      <c r="J737" t="s">
        <v>15</v>
      </c>
    </row>
    <row r="738" spans="1:10" x14ac:dyDescent="0.35">
      <c r="A738" t="s">
        <v>760</v>
      </c>
      <c r="B738" t="s">
        <v>17</v>
      </c>
      <c r="C738">
        <v>54</v>
      </c>
      <c r="D738">
        <v>55</v>
      </c>
      <c r="E738" t="s">
        <v>18</v>
      </c>
      <c r="F738" t="s">
        <v>29</v>
      </c>
      <c r="G738" t="s">
        <v>23</v>
      </c>
      <c r="H738">
        <v>129.93</v>
      </c>
      <c r="I738">
        <v>7601.09</v>
      </c>
      <c r="J738" t="s">
        <v>27</v>
      </c>
    </row>
    <row r="739" spans="1:10" x14ac:dyDescent="0.35">
      <c r="A739" t="s">
        <v>761</v>
      </c>
      <c r="B739" t="s">
        <v>11</v>
      </c>
      <c r="C739">
        <v>42</v>
      </c>
      <c r="D739">
        <v>2</v>
      </c>
      <c r="E739" t="s">
        <v>21</v>
      </c>
      <c r="F739" t="s">
        <v>33</v>
      </c>
      <c r="G739" t="s">
        <v>14</v>
      </c>
      <c r="H739">
        <v>53.75</v>
      </c>
      <c r="I739">
        <v>103.97</v>
      </c>
      <c r="J739" t="s">
        <v>15</v>
      </c>
    </row>
    <row r="740" spans="1:10" x14ac:dyDescent="0.35">
      <c r="A740" t="s">
        <v>762</v>
      </c>
      <c r="B740" t="s">
        <v>11</v>
      </c>
      <c r="C740">
        <v>55</v>
      </c>
      <c r="D740">
        <v>62</v>
      </c>
      <c r="E740" t="s">
        <v>12</v>
      </c>
      <c r="F740" t="s">
        <v>29</v>
      </c>
      <c r="G740" t="s">
        <v>23</v>
      </c>
      <c r="H740">
        <v>20.21</v>
      </c>
      <c r="I740">
        <v>1271.71</v>
      </c>
      <c r="J740" t="s">
        <v>15</v>
      </c>
    </row>
    <row r="741" spans="1:10" x14ac:dyDescent="0.35">
      <c r="A741" t="s">
        <v>763</v>
      </c>
      <c r="B741" t="s">
        <v>17</v>
      </c>
      <c r="C741">
        <v>29</v>
      </c>
      <c r="D741">
        <v>21</v>
      </c>
      <c r="E741" t="s">
        <v>18</v>
      </c>
      <c r="F741" t="s">
        <v>33</v>
      </c>
      <c r="G741" t="s">
        <v>19</v>
      </c>
      <c r="H741">
        <v>68.930000000000007</v>
      </c>
      <c r="I741">
        <v>1451.81</v>
      </c>
      <c r="J741" t="s">
        <v>15</v>
      </c>
    </row>
    <row r="742" spans="1:10" x14ac:dyDescent="0.35">
      <c r="A742" t="s">
        <v>764</v>
      </c>
      <c r="B742" t="s">
        <v>11</v>
      </c>
      <c r="C742">
        <v>40</v>
      </c>
      <c r="D742">
        <v>21</v>
      </c>
      <c r="E742" t="s">
        <v>21</v>
      </c>
      <c r="F742" t="s">
        <v>13</v>
      </c>
      <c r="G742" t="s">
        <v>14</v>
      </c>
      <c r="H742">
        <v>94.2</v>
      </c>
      <c r="I742">
        <v>1983.45</v>
      </c>
      <c r="J742" t="s">
        <v>15</v>
      </c>
    </row>
    <row r="743" spans="1:10" x14ac:dyDescent="0.35">
      <c r="A743" t="s">
        <v>765</v>
      </c>
      <c r="B743" t="s">
        <v>17</v>
      </c>
      <c r="C743">
        <v>70</v>
      </c>
      <c r="D743">
        <v>10</v>
      </c>
      <c r="E743" t="s">
        <v>12</v>
      </c>
      <c r="F743" t="s">
        <v>33</v>
      </c>
      <c r="G743" t="s">
        <v>23</v>
      </c>
      <c r="H743">
        <v>82.23</v>
      </c>
      <c r="I743">
        <v>757.7</v>
      </c>
      <c r="J743" t="s">
        <v>15</v>
      </c>
    </row>
    <row r="744" spans="1:10" x14ac:dyDescent="0.35">
      <c r="A744" t="s">
        <v>766</v>
      </c>
      <c r="B744" t="s">
        <v>17</v>
      </c>
      <c r="C744">
        <v>59</v>
      </c>
      <c r="D744">
        <v>58</v>
      </c>
      <c r="E744" t="s">
        <v>12</v>
      </c>
      <c r="F744" t="s">
        <v>33</v>
      </c>
      <c r="G744" t="s">
        <v>23</v>
      </c>
      <c r="H744">
        <v>132.07</v>
      </c>
      <c r="I744">
        <v>7542.83</v>
      </c>
      <c r="J744" t="s">
        <v>27</v>
      </c>
    </row>
    <row r="745" spans="1:10" x14ac:dyDescent="0.35">
      <c r="A745" t="s">
        <v>767</v>
      </c>
      <c r="B745" t="s">
        <v>11</v>
      </c>
      <c r="C745">
        <v>39</v>
      </c>
      <c r="D745">
        <v>39</v>
      </c>
      <c r="E745" t="s">
        <v>12</v>
      </c>
      <c r="F745" t="s">
        <v>13</v>
      </c>
      <c r="G745" t="s">
        <v>14</v>
      </c>
      <c r="H745">
        <v>33.700000000000003</v>
      </c>
      <c r="I745">
        <v>1301.78</v>
      </c>
      <c r="J745" t="s">
        <v>15</v>
      </c>
    </row>
    <row r="746" spans="1:10" x14ac:dyDescent="0.35">
      <c r="A746" t="s">
        <v>768</v>
      </c>
      <c r="B746" t="s">
        <v>11</v>
      </c>
      <c r="C746">
        <v>38</v>
      </c>
      <c r="D746">
        <v>5</v>
      </c>
      <c r="E746" t="s">
        <v>18</v>
      </c>
      <c r="F746" t="s">
        <v>29</v>
      </c>
      <c r="G746" t="s">
        <v>14</v>
      </c>
      <c r="H746">
        <v>92</v>
      </c>
      <c r="I746">
        <v>481.5</v>
      </c>
      <c r="J746" t="s">
        <v>15</v>
      </c>
    </row>
    <row r="747" spans="1:10" x14ac:dyDescent="0.35">
      <c r="A747" t="s">
        <v>769</v>
      </c>
      <c r="B747" t="s">
        <v>17</v>
      </c>
      <c r="C747">
        <v>44</v>
      </c>
      <c r="D747">
        <v>65</v>
      </c>
      <c r="E747" t="s">
        <v>21</v>
      </c>
      <c r="F747" t="s">
        <v>29</v>
      </c>
      <c r="G747" t="s">
        <v>14</v>
      </c>
      <c r="H747">
        <v>86.69</v>
      </c>
      <c r="I747">
        <v>6018.04</v>
      </c>
      <c r="J747" t="s">
        <v>27</v>
      </c>
    </row>
    <row r="748" spans="1:10" x14ac:dyDescent="0.35">
      <c r="A748" t="s">
        <v>770</v>
      </c>
      <c r="B748" t="s">
        <v>11</v>
      </c>
      <c r="C748">
        <v>48</v>
      </c>
      <c r="D748">
        <v>13</v>
      </c>
      <c r="E748" t="s">
        <v>18</v>
      </c>
      <c r="F748" t="s">
        <v>29</v>
      </c>
      <c r="G748" t="s">
        <v>14</v>
      </c>
      <c r="H748">
        <v>56.58</v>
      </c>
      <c r="I748">
        <v>742.16</v>
      </c>
      <c r="J748" t="s">
        <v>15</v>
      </c>
    </row>
    <row r="749" spans="1:10" x14ac:dyDescent="0.35">
      <c r="A749" t="s">
        <v>771</v>
      </c>
      <c r="B749" t="s">
        <v>11</v>
      </c>
      <c r="C749">
        <v>23</v>
      </c>
      <c r="D749">
        <v>53</v>
      </c>
      <c r="E749" t="s">
        <v>21</v>
      </c>
      <c r="F749" t="s">
        <v>22</v>
      </c>
      <c r="G749" t="s">
        <v>19</v>
      </c>
      <c r="H749">
        <v>126.89</v>
      </c>
      <c r="I749">
        <v>6169.38</v>
      </c>
      <c r="J749" t="s">
        <v>15</v>
      </c>
    </row>
    <row r="750" spans="1:10" x14ac:dyDescent="0.35">
      <c r="A750" t="s">
        <v>772</v>
      </c>
      <c r="B750" t="s">
        <v>11</v>
      </c>
      <c r="C750">
        <v>44</v>
      </c>
      <c r="D750">
        <v>45</v>
      </c>
      <c r="E750" t="s">
        <v>12</v>
      </c>
      <c r="F750" t="s">
        <v>29</v>
      </c>
      <c r="G750" t="s">
        <v>14</v>
      </c>
      <c r="H750">
        <v>117.87</v>
      </c>
      <c r="I750">
        <v>5024.99</v>
      </c>
      <c r="J750" t="s">
        <v>15</v>
      </c>
    </row>
    <row r="751" spans="1:10" x14ac:dyDescent="0.35">
      <c r="A751" t="s">
        <v>773</v>
      </c>
      <c r="B751" t="s">
        <v>17</v>
      </c>
      <c r="C751">
        <v>57</v>
      </c>
      <c r="D751">
        <v>32</v>
      </c>
      <c r="E751" t="s">
        <v>12</v>
      </c>
      <c r="F751" t="s">
        <v>29</v>
      </c>
      <c r="G751" t="s">
        <v>23</v>
      </c>
      <c r="H751">
        <v>115.27</v>
      </c>
      <c r="I751">
        <v>3441.45</v>
      </c>
      <c r="J751" t="s">
        <v>27</v>
      </c>
    </row>
    <row r="752" spans="1:10" x14ac:dyDescent="0.35">
      <c r="A752" t="s">
        <v>774</v>
      </c>
      <c r="B752" t="s">
        <v>17</v>
      </c>
      <c r="C752">
        <v>51</v>
      </c>
      <c r="D752">
        <v>36</v>
      </c>
      <c r="E752" t="s">
        <v>21</v>
      </c>
      <c r="F752" t="s">
        <v>13</v>
      </c>
      <c r="G752" t="s">
        <v>23</v>
      </c>
      <c r="H752">
        <v>133.91</v>
      </c>
      <c r="I752">
        <v>4458.83</v>
      </c>
      <c r="J752" t="s">
        <v>27</v>
      </c>
    </row>
    <row r="753" spans="1:10" x14ac:dyDescent="0.35">
      <c r="A753" t="s">
        <v>775</v>
      </c>
      <c r="B753" t="s">
        <v>11</v>
      </c>
      <c r="C753">
        <v>29</v>
      </c>
      <c r="D753">
        <v>60</v>
      </c>
      <c r="E753" t="s">
        <v>21</v>
      </c>
      <c r="F753" t="s">
        <v>33</v>
      </c>
      <c r="G753" t="s">
        <v>19</v>
      </c>
      <c r="H753">
        <v>113.96</v>
      </c>
      <c r="I753">
        <v>6654.21</v>
      </c>
      <c r="J753" t="s">
        <v>15</v>
      </c>
    </row>
    <row r="754" spans="1:10" x14ac:dyDescent="0.35">
      <c r="A754" t="s">
        <v>776</v>
      </c>
      <c r="B754" t="s">
        <v>17</v>
      </c>
      <c r="C754">
        <v>62</v>
      </c>
      <c r="D754">
        <v>11</v>
      </c>
      <c r="E754" t="s">
        <v>18</v>
      </c>
      <c r="F754" t="s">
        <v>29</v>
      </c>
      <c r="G754" t="s">
        <v>23</v>
      </c>
      <c r="H754">
        <v>50.14</v>
      </c>
      <c r="I754">
        <v>521.69000000000005</v>
      </c>
      <c r="J754" t="s">
        <v>27</v>
      </c>
    </row>
    <row r="755" spans="1:10" x14ac:dyDescent="0.35">
      <c r="A755" t="s">
        <v>777</v>
      </c>
      <c r="B755" t="s">
        <v>17</v>
      </c>
      <c r="C755">
        <v>70</v>
      </c>
      <c r="D755">
        <v>63</v>
      </c>
      <c r="E755" t="s">
        <v>12</v>
      </c>
      <c r="F755" t="s">
        <v>29</v>
      </c>
      <c r="G755" t="s">
        <v>23</v>
      </c>
      <c r="H755">
        <v>111.72</v>
      </c>
      <c r="I755">
        <v>6641.82</v>
      </c>
      <c r="J755" t="s">
        <v>15</v>
      </c>
    </row>
    <row r="756" spans="1:10" x14ac:dyDescent="0.35">
      <c r="A756" t="s">
        <v>778</v>
      </c>
      <c r="B756" t="s">
        <v>17</v>
      </c>
      <c r="C756">
        <v>24</v>
      </c>
      <c r="D756">
        <v>21</v>
      </c>
      <c r="E756" t="s">
        <v>12</v>
      </c>
      <c r="F756" t="s">
        <v>29</v>
      </c>
      <c r="G756" t="s">
        <v>19</v>
      </c>
      <c r="H756">
        <v>60</v>
      </c>
      <c r="I756">
        <v>1147.78</v>
      </c>
      <c r="J756" t="s">
        <v>15</v>
      </c>
    </row>
    <row r="757" spans="1:10" x14ac:dyDescent="0.35">
      <c r="A757" t="s">
        <v>779</v>
      </c>
      <c r="B757" t="s">
        <v>17</v>
      </c>
      <c r="C757">
        <v>27</v>
      </c>
      <c r="D757">
        <v>52</v>
      </c>
      <c r="E757" t="s">
        <v>21</v>
      </c>
      <c r="F757" t="s">
        <v>33</v>
      </c>
      <c r="G757" t="s">
        <v>19</v>
      </c>
      <c r="H757">
        <v>51.48</v>
      </c>
      <c r="I757">
        <v>2418.7199999999998</v>
      </c>
      <c r="J757" t="s">
        <v>15</v>
      </c>
    </row>
    <row r="758" spans="1:10" x14ac:dyDescent="0.35">
      <c r="A758" t="s">
        <v>780</v>
      </c>
      <c r="B758" t="s">
        <v>17</v>
      </c>
      <c r="C758">
        <v>62</v>
      </c>
      <c r="D758">
        <v>55</v>
      </c>
      <c r="E758" t="s">
        <v>21</v>
      </c>
      <c r="F758" t="s">
        <v>22</v>
      </c>
      <c r="G758" t="s">
        <v>23</v>
      </c>
      <c r="H758">
        <v>29.49</v>
      </c>
      <c r="I758">
        <v>1493.09</v>
      </c>
      <c r="J758" t="s">
        <v>15</v>
      </c>
    </row>
    <row r="759" spans="1:10" x14ac:dyDescent="0.35">
      <c r="A759" t="s">
        <v>781</v>
      </c>
      <c r="B759" t="s">
        <v>11</v>
      </c>
      <c r="C759">
        <v>34</v>
      </c>
      <c r="D759">
        <v>26</v>
      </c>
      <c r="E759" t="s">
        <v>21</v>
      </c>
      <c r="F759" t="s">
        <v>29</v>
      </c>
      <c r="G759" t="s">
        <v>14</v>
      </c>
      <c r="H759">
        <v>116.72</v>
      </c>
      <c r="I759">
        <v>2835.76</v>
      </c>
      <c r="J759" t="s">
        <v>15</v>
      </c>
    </row>
    <row r="760" spans="1:10" x14ac:dyDescent="0.35">
      <c r="A760" t="s">
        <v>782</v>
      </c>
      <c r="B760" t="s">
        <v>11</v>
      </c>
      <c r="C760">
        <v>43</v>
      </c>
      <c r="D760">
        <v>68</v>
      </c>
      <c r="E760" t="s">
        <v>21</v>
      </c>
      <c r="F760" t="s">
        <v>29</v>
      </c>
      <c r="G760" t="s">
        <v>14</v>
      </c>
      <c r="H760">
        <v>112.43</v>
      </c>
      <c r="I760">
        <v>7539.71</v>
      </c>
      <c r="J760" t="s">
        <v>27</v>
      </c>
    </row>
    <row r="761" spans="1:10" x14ac:dyDescent="0.35">
      <c r="A761" t="s">
        <v>783</v>
      </c>
      <c r="B761" t="s">
        <v>11</v>
      </c>
      <c r="C761">
        <v>38</v>
      </c>
      <c r="D761">
        <v>34</v>
      </c>
      <c r="E761" t="s">
        <v>12</v>
      </c>
      <c r="F761" t="s">
        <v>29</v>
      </c>
      <c r="G761" t="s">
        <v>14</v>
      </c>
      <c r="H761">
        <v>50.48</v>
      </c>
      <c r="I761">
        <v>1719.93</v>
      </c>
      <c r="J761" t="s">
        <v>15</v>
      </c>
    </row>
    <row r="762" spans="1:10" x14ac:dyDescent="0.35">
      <c r="A762" t="s">
        <v>784</v>
      </c>
      <c r="B762" t="s">
        <v>17</v>
      </c>
      <c r="C762">
        <v>45</v>
      </c>
      <c r="D762">
        <v>52</v>
      </c>
      <c r="E762" t="s">
        <v>21</v>
      </c>
      <c r="F762" t="s">
        <v>29</v>
      </c>
      <c r="G762" t="s">
        <v>14</v>
      </c>
      <c r="H762">
        <v>117.42</v>
      </c>
      <c r="I762">
        <v>5666.94</v>
      </c>
      <c r="J762" t="s">
        <v>15</v>
      </c>
    </row>
    <row r="763" spans="1:10" x14ac:dyDescent="0.35">
      <c r="A763" t="s">
        <v>785</v>
      </c>
      <c r="B763" t="s">
        <v>17</v>
      </c>
      <c r="C763">
        <v>63</v>
      </c>
      <c r="D763">
        <v>52</v>
      </c>
      <c r="E763" t="s">
        <v>21</v>
      </c>
      <c r="F763" t="s">
        <v>33</v>
      </c>
      <c r="G763" t="s">
        <v>23</v>
      </c>
      <c r="H763">
        <v>139.32</v>
      </c>
      <c r="I763">
        <v>7135.66</v>
      </c>
      <c r="J763" t="s">
        <v>15</v>
      </c>
    </row>
    <row r="764" spans="1:10" x14ac:dyDescent="0.35">
      <c r="A764" t="s">
        <v>786</v>
      </c>
      <c r="B764" t="s">
        <v>11</v>
      </c>
      <c r="C764">
        <v>19</v>
      </c>
      <c r="D764">
        <v>29</v>
      </c>
      <c r="E764" t="s">
        <v>18</v>
      </c>
      <c r="F764" t="s">
        <v>22</v>
      </c>
      <c r="G764" t="s">
        <v>19</v>
      </c>
      <c r="H764">
        <v>34.04</v>
      </c>
      <c r="I764">
        <v>955.92</v>
      </c>
      <c r="J764" t="s">
        <v>15</v>
      </c>
    </row>
    <row r="765" spans="1:10" x14ac:dyDescent="0.35">
      <c r="A765" t="s">
        <v>787</v>
      </c>
      <c r="B765" t="s">
        <v>17</v>
      </c>
      <c r="C765">
        <v>60</v>
      </c>
      <c r="D765">
        <v>38</v>
      </c>
      <c r="E765" t="s">
        <v>18</v>
      </c>
      <c r="F765" t="s">
        <v>13</v>
      </c>
      <c r="G765" t="s">
        <v>23</v>
      </c>
      <c r="H765">
        <v>50.24</v>
      </c>
      <c r="I765">
        <v>1788.24</v>
      </c>
      <c r="J765" t="s">
        <v>15</v>
      </c>
    </row>
    <row r="766" spans="1:10" x14ac:dyDescent="0.35">
      <c r="A766" t="s">
        <v>788</v>
      </c>
      <c r="B766" t="s">
        <v>11</v>
      </c>
      <c r="C766">
        <v>18</v>
      </c>
      <c r="D766">
        <v>42</v>
      </c>
      <c r="E766" t="s">
        <v>12</v>
      </c>
      <c r="F766" t="s">
        <v>33</v>
      </c>
      <c r="G766" t="s">
        <v>19</v>
      </c>
      <c r="H766">
        <v>117.53</v>
      </c>
      <c r="I766">
        <v>4449.3900000000003</v>
      </c>
      <c r="J766" t="s">
        <v>15</v>
      </c>
    </row>
    <row r="767" spans="1:10" x14ac:dyDescent="0.35">
      <c r="A767" t="s">
        <v>789</v>
      </c>
      <c r="B767" t="s">
        <v>11</v>
      </c>
      <c r="C767">
        <v>68</v>
      </c>
      <c r="D767">
        <v>21</v>
      </c>
      <c r="E767" t="s">
        <v>12</v>
      </c>
      <c r="F767" t="s">
        <v>29</v>
      </c>
      <c r="G767" t="s">
        <v>23</v>
      </c>
      <c r="H767">
        <v>55.69</v>
      </c>
      <c r="I767">
        <v>1161.78</v>
      </c>
      <c r="J767" t="s">
        <v>15</v>
      </c>
    </row>
    <row r="768" spans="1:10" x14ac:dyDescent="0.35">
      <c r="A768" t="s">
        <v>790</v>
      </c>
      <c r="B768" t="s">
        <v>11</v>
      </c>
      <c r="C768">
        <v>70</v>
      </c>
      <c r="D768">
        <v>42</v>
      </c>
      <c r="E768" t="s">
        <v>18</v>
      </c>
      <c r="F768" t="s">
        <v>22</v>
      </c>
      <c r="G768" t="s">
        <v>23</v>
      </c>
      <c r="H768">
        <v>101.21</v>
      </c>
      <c r="I768">
        <v>4408.6499999999996</v>
      </c>
      <c r="J768" t="s">
        <v>15</v>
      </c>
    </row>
    <row r="769" spans="1:10" x14ac:dyDescent="0.35">
      <c r="A769" t="s">
        <v>791</v>
      </c>
      <c r="B769" t="s">
        <v>17</v>
      </c>
      <c r="C769">
        <v>53</v>
      </c>
      <c r="D769">
        <v>13</v>
      </c>
      <c r="E769" t="s">
        <v>12</v>
      </c>
      <c r="F769" t="s">
        <v>33</v>
      </c>
      <c r="G769" t="s">
        <v>23</v>
      </c>
      <c r="H769">
        <v>30.55</v>
      </c>
      <c r="I769">
        <v>375.41</v>
      </c>
      <c r="J769" t="s">
        <v>15</v>
      </c>
    </row>
    <row r="770" spans="1:10" x14ac:dyDescent="0.35">
      <c r="A770" t="s">
        <v>792</v>
      </c>
      <c r="B770" t="s">
        <v>17</v>
      </c>
      <c r="C770">
        <v>68</v>
      </c>
      <c r="D770">
        <v>64</v>
      </c>
      <c r="E770" t="s">
        <v>18</v>
      </c>
      <c r="F770" t="s">
        <v>13</v>
      </c>
      <c r="G770" t="s">
        <v>23</v>
      </c>
      <c r="H770">
        <v>78.790000000000006</v>
      </c>
      <c r="I770">
        <v>4671.2299999999996</v>
      </c>
      <c r="J770" t="s">
        <v>15</v>
      </c>
    </row>
    <row r="771" spans="1:10" x14ac:dyDescent="0.35">
      <c r="A771" t="s">
        <v>793</v>
      </c>
      <c r="B771" t="s">
        <v>11</v>
      </c>
      <c r="C771">
        <v>43</v>
      </c>
      <c r="D771">
        <v>17</v>
      </c>
      <c r="E771" t="s">
        <v>12</v>
      </c>
      <c r="F771" t="s">
        <v>22</v>
      </c>
      <c r="G771" t="s">
        <v>14</v>
      </c>
      <c r="H771">
        <v>116.08</v>
      </c>
      <c r="I771">
        <v>2126.11</v>
      </c>
      <c r="J771" t="s">
        <v>27</v>
      </c>
    </row>
    <row r="772" spans="1:10" x14ac:dyDescent="0.35">
      <c r="A772" t="s">
        <v>794</v>
      </c>
      <c r="B772" t="s">
        <v>11</v>
      </c>
      <c r="C772">
        <v>46</v>
      </c>
      <c r="D772">
        <v>9</v>
      </c>
      <c r="E772" t="s">
        <v>21</v>
      </c>
      <c r="F772" t="s">
        <v>29</v>
      </c>
      <c r="G772" t="s">
        <v>14</v>
      </c>
      <c r="H772">
        <v>109.25</v>
      </c>
      <c r="I772">
        <v>939.01</v>
      </c>
      <c r="J772" t="s">
        <v>15</v>
      </c>
    </row>
    <row r="773" spans="1:10" x14ac:dyDescent="0.35">
      <c r="A773" t="s">
        <v>795</v>
      </c>
      <c r="B773" t="s">
        <v>11</v>
      </c>
      <c r="C773">
        <v>38</v>
      </c>
      <c r="D773">
        <v>41</v>
      </c>
      <c r="E773" t="s">
        <v>18</v>
      </c>
      <c r="F773" t="s">
        <v>29</v>
      </c>
      <c r="G773" t="s">
        <v>14</v>
      </c>
      <c r="H773">
        <v>125.96</v>
      </c>
      <c r="I773">
        <v>4878.8900000000003</v>
      </c>
      <c r="J773" t="s">
        <v>15</v>
      </c>
    </row>
    <row r="774" spans="1:10" x14ac:dyDescent="0.35">
      <c r="A774" t="s">
        <v>796</v>
      </c>
      <c r="B774" t="s">
        <v>11</v>
      </c>
      <c r="C774">
        <v>28</v>
      </c>
      <c r="D774">
        <v>1</v>
      </c>
      <c r="E774" t="s">
        <v>18</v>
      </c>
      <c r="F774" t="s">
        <v>29</v>
      </c>
      <c r="G774" t="s">
        <v>19</v>
      </c>
      <c r="H774">
        <v>134.07</v>
      </c>
      <c r="I774">
        <v>143.65</v>
      </c>
      <c r="J774" t="s">
        <v>27</v>
      </c>
    </row>
    <row r="775" spans="1:10" x14ac:dyDescent="0.35">
      <c r="A775" t="s">
        <v>797</v>
      </c>
      <c r="B775" t="s">
        <v>17</v>
      </c>
      <c r="C775">
        <v>57</v>
      </c>
      <c r="D775">
        <v>2</v>
      </c>
      <c r="E775" t="s">
        <v>12</v>
      </c>
      <c r="F775" t="s">
        <v>13</v>
      </c>
      <c r="G775" t="s">
        <v>23</v>
      </c>
      <c r="H775">
        <v>120.51</v>
      </c>
      <c r="I775">
        <v>256.31</v>
      </c>
      <c r="J775" t="s">
        <v>15</v>
      </c>
    </row>
    <row r="776" spans="1:10" x14ac:dyDescent="0.35">
      <c r="A776" t="s">
        <v>798</v>
      </c>
      <c r="B776" t="s">
        <v>17</v>
      </c>
      <c r="C776">
        <v>28</v>
      </c>
      <c r="D776">
        <v>60</v>
      </c>
      <c r="E776" t="s">
        <v>21</v>
      </c>
      <c r="F776" t="s">
        <v>22</v>
      </c>
      <c r="G776" t="s">
        <v>19</v>
      </c>
      <c r="H776">
        <v>107.31</v>
      </c>
      <c r="I776">
        <v>6372.08</v>
      </c>
      <c r="J776" t="s">
        <v>15</v>
      </c>
    </row>
    <row r="777" spans="1:10" x14ac:dyDescent="0.35">
      <c r="A777" t="s">
        <v>799</v>
      </c>
      <c r="B777" t="s">
        <v>11</v>
      </c>
      <c r="C777">
        <v>53</v>
      </c>
      <c r="D777">
        <v>48</v>
      </c>
      <c r="E777" t="s">
        <v>12</v>
      </c>
      <c r="F777" t="s">
        <v>33</v>
      </c>
      <c r="G777" t="s">
        <v>23</v>
      </c>
      <c r="H777">
        <v>24.12</v>
      </c>
      <c r="I777">
        <v>1155.27</v>
      </c>
      <c r="J777" t="s">
        <v>27</v>
      </c>
    </row>
    <row r="778" spans="1:10" x14ac:dyDescent="0.35">
      <c r="A778" t="s">
        <v>800</v>
      </c>
      <c r="B778" t="s">
        <v>11</v>
      </c>
      <c r="C778">
        <v>66</v>
      </c>
      <c r="D778">
        <v>29</v>
      </c>
      <c r="E778" t="s">
        <v>12</v>
      </c>
      <c r="F778" t="s">
        <v>22</v>
      </c>
      <c r="G778" t="s">
        <v>23</v>
      </c>
      <c r="H778">
        <v>89.55</v>
      </c>
      <c r="I778">
        <v>2450.35</v>
      </c>
      <c r="J778" t="s">
        <v>15</v>
      </c>
    </row>
    <row r="779" spans="1:10" x14ac:dyDescent="0.35">
      <c r="A779" t="s">
        <v>801</v>
      </c>
      <c r="B779" t="s">
        <v>17</v>
      </c>
      <c r="C779">
        <v>56</v>
      </c>
      <c r="D779">
        <v>10</v>
      </c>
      <c r="E779" t="s">
        <v>21</v>
      </c>
      <c r="F779" t="s">
        <v>33</v>
      </c>
      <c r="G779" t="s">
        <v>23</v>
      </c>
      <c r="H779">
        <v>24.9</v>
      </c>
      <c r="I779">
        <v>228</v>
      </c>
      <c r="J779" t="s">
        <v>15</v>
      </c>
    </row>
    <row r="780" spans="1:10" x14ac:dyDescent="0.35">
      <c r="A780" t="s">
        <v>802</v>
      </c>
      <c r="B780" t="s">
        <v>17</v>
      </c>
      <c r="C780">
        <v>57</v>
      </c>
      <c r="D780">
        <v>58</v>
      </c>
      <c r="E780" t="s">
        <v>21</v>
      </c>
      <c r="F780" t="s">
        <v>33</v>
      </c>
      <c r="G780" t="s">
        <v>23</v>
      </c>
      <c r="H780">
        <v>125.05</v>
      </c>
      <c r="I780">
        <v>7359.42</v>
      </c>
      <c r="J780" t="s">
        <v>27</v>
      </c>
    </row>
    <row r="781" spans="1:10" x14ac:dyDescent="0.35">
      <c r="A781" t="s">
        <v>803</v>
      </c>
      <c r="B781" t="s">
        <v>11</v>
      </c>
      <c r="C781">
        <v>52</v>
      </c>
      <c r="D781">
        <v>60</v>
      </c>
      <c r="E781" t="s">
        <v>18</v>
      </c>
      <c r="F781" t="s">
        <v>29</v>
      </c>
      <c r="G781" t="s">
        <v>23</v>
      </c>
      <c r="H781">
        <v>61.69</v>
      </c>
      <c r="I781">
        <v>3404.06</v>
      </c>
      <c r="J781" t="s">
        <v>15</v>
      </c>
    </row>
    <row r="782" spans="1:10" x14ac:dyDescent="0.35">
      <c r="A782" t="s">
        <v>804</v>
      </c>
      <c r="B782" t="s">
        <v>11</v>
      </c>
      <c r="C782">
        <v>51</v>
      </c>
      <c r="D782">
        <v>21</v>
      </c>
      <c r="E782" t="s">
        <v>12</v>
      </c>
      <c r="F782" t="s">
        <v>13</v>
      </c>
      <c r="G782" t="s">
        <v>23</v>
      </c>
      <c r="H782">
        <v>93.12</v>
      </c>
      <c r="I782">
        <v>1935.68</v>
      </c>
      <c r="J782" t="s">
        <v>15</v>
      </c>
    </row>
    <row r="783" spans="1:10" x14ac:dyDescent="0.35">
      <c r="A783" t="s">
        <v>805</v>
      </c>
      <c r="B783" t="s">
        <v>11</v>
      </c>
      <c r="C783">
        <v>64</v>
      </c>
      <c r="D783">
        <v>28</v>
      </c>
      <c r="E783" t="s">
        <v>12</v>
      </c>
      <c r="F783" t="s">
        <v>29</v>
      </c>
      <c r="G783" t="s">
        <v>23</v>
      </c>
      <c r="H783">
        <v>56.33</v>
      </c>
      <c r="I783">
        <v>1716.19</v>
      </c>
      <c r="J783" t="s">
        <v>27</v>
      </c>
    </row>
    <row r="784" spans="1:10" x14ac:dyDescent="0.35">
      <c r="A784" t="s">
        <v>806</v>
      </c>
      <c r="B784" t="s">
        <v>17</v>
      </c>
      <c r="C784">
        <v>41</v>
      </c>
      <c r="D784">
        <v>34</v>
      </c>
      <c r="E784" t="s">
        <v>12</v>
      </c>
      <c r="F784" t="s">
        <v>22</v>
      </c>
      <c r="G784" t="s">
        <v>14</v>
      </c>
      <c r="H784">
        <v>121.73</v>
      </c>
      <c r="I784">
        <v>4513.66</v>
      </c>
      <c r="J784" t="s">
        <v>15</v>
      </c>
    </row>
    <row r="785" spans="1:10" x14ac:dyDescent="0.35">
      <c r="A785" t="s">
        <v>807</v>
      </c>
      <c r="B785" t="s">
        <v>17</v>
      </c>
      <c r="C785">
        <v>39</v>
      </c>
      <c r="D785">
        <v>8</v>
      </c>
      <c r="E785" t="s">
        <v>12</v>
      </c>
      <c r="F785" t="s">
        <v>33</v>
      </c>
      <c r="G785" t="s">
        <v>14</v>
      </c>
      <c r="H785">
        <v>135.25</v>
      </c>
      <c r="I785">
        <v>1025.5899999999999</v>
      </c>
      <c r="J785" t="s">
        <v>15</v>
      </c>
    </row>
    <row r="786" spans="1:10" x14ac:dyDescent="0.35">
      <c r="A786" t="s">
        <v>808</v>
      </c>
      <c r="B786" t="s">
        <v>17</v>
      </c>
      <c r="C786">
        <v>22</v>
      </c>
      <c r="D786">
        <v>59</v>
      </c>
      <c r="E786" t="s">
        <v>12</v>
      </c>
      <c r="F786" t="s">
        <v>29</v>
      </c>
      <c r="G786" t="s">
        <v>19</v>
      </c>
      <c r="H786">
        <v>71.819999999999993</v>
      </c>
      <c r="I786">
        <v>4342.5600000000004</v>
      </c>
      <c r="J786" t="s">
        <v>15</v>
      </c>
    </row>
    <row r="787" spans="1:10" x14ac:dyDescent="0.35">
      <c r="A787" t="s">
        <v>809</v>
      </c>
      <c r="B787" t="s">
        <v>11</v>
      </c>
      <c r="C787">
        <v>50</v>
      </c>
      <c r="D787">
        <v>72</v>
      </c>
      <c r="E787" t="s">
        <v>21</v>
      </c>
      <c r="F787" t="s">
        <v>22</v>
      </c>
      <c r="G787" t="s">
        <v>23</v>
      </c>
      <c r="H787">
        <v>132.18</v>
      </c>
      <c r="I787">
        <v>9467.6200000000008</v>
      </c>
      <c r="J787" t="s">
        <v>15</v>
      </c>
    </row>
    <row r="788" spans="1:10" x14ac:dyDescent="0.35">
      <c r="A788" t="s">
        <v>810</v>
      </c>
      <c r="B788" t="s">
        <v>11</v>
      </c>
      <c r="C788">
        <v>53</v>
      </c>
      <c r="D788">
        <v>49</v>
      </c>
      <c r="E788" t="s">
        <v>12</v>
      </c>
      <c r="F788" t="s">
        <v>22</v>
      </c>
      <c r="G788" t="s">
        <v>23</v>
      </c>
      <c r="H788">
        <v>54.72</v>
      </c>
      <c r="I788">
        <v>2882.74</v>
      </c>
      <c r="J788" t="s">
        <v>15</v>
      </c>
    </row>
    <row r="789" spans="1:10" x14ac:dyDescent="0.35">
      <c r="A789" t="s">
        <v>811</v>
      </c>
      <c r="B789" t="s">
        <v>17</v>
      </c>
      <c r="C789">
        <v>64</v>
      </c>
      <c r="D789">
        <v>17</v>
      </c>
      <c r="E789" t="s">
        <v>18</v>
      </c>
      <c r="F789" t="s">
        <v>13</v>
      </c>
      <c r="G789" t="s">
        <v>23</v>
      </c>
      <c r="H789">
        <v>89.51</v>
      </c>
      <c r="I789">
        <v>1452.11</v>
      </c>
      <c r="J789" t="s">
        <v>15</v>
      </c>
    </row>
    <row r="790" spans="1:10" x14ac:dyDescent="0.35">
      <c r="A790" t="s">
        <v>812</v>
      </c>
      <c r="B790" t="s">
        <v>17</v>
      </c>
      <c r="C790">
        <v>37</v>
      </c>
      <c r="D790">
        <v>60</v>
      </c>
      <c r="E790" t="s">
        <v>18</v>
      </c>
      <c r="F790" t="s">
        <v>13</v>
      </c>
      <c r="G790" t="s">
        <v>14</v>
      </c>
      <c r="H790">
        <v>131.63999999999999</v>
      </c>
      <c r="I790">
        <v>7114.41</v>
      </c>
      <c r="J790" t="s">
        <v>15</v>
      </c>
    </row>
    <row r="791" spans="1:10" x14ac:dyDescent="0.35">
      <c r="A791" t="s">
        <v>813</v>
      </c>
      <c r="B791" t="s">
        <v>11</v>
      </c>
      <c r="C791">
        <v>36</v>
      </c>
      <c r="D791">
        <v>45</v>
      </c>
      <c r="E791" t="s">
        <v>21</v>
      </c>
      <c r="F791" t="s">
        <v>13</v>
      </c>
      <c r="G791" t="s">
        <v>14</v>
      </c>
      <c r="H791">
        <v>62.36</v>
      </c>
      <c r="I791">
        <v>2616.8200000000002</v>
      </c>
      <c r="J791" t="s">
        <v>15</v>
      </c>
    </row>
    <row r="792" spans="1:10" x14ac:dyDescent="0.35">
      <c r="A792" t="s">
        <v>814</v>
      </c>
      <c r="B792" t="s">
        <v>17</v>
      </c>
      <c r="C792">
        <v>52</v>
      </c>
      <c r="D792">
        <v>69</v>
      </c>
      <c r="E792" t="s">
        <v>18</v>
      </c>
      <c r="F792" t="s">
        <v>29</v>
      </c>
      <c r="G792" t="s">
        <v>23</v>
      </c>
      <c r="H792">
        <v>144.03</v>
      </c>
      <c r="I792">
        <v>9638.98</v>
      </c>
      <c r="J792" t="s">
        <v>15</v>
      </c>
    </row>
    <row r="793" spans="1:10" x14ac:dyDescent="0.35">
      <c r="A793" t="s">
        <v>815</v>
      </c>
      <c r="B793" t="s">
        <v>17</v>
      </c>
      <c r="C793">
        <v>69</v>
      </c>
      <c r="D793">
        <v>32</v>
      </c>
      <c r="E793" t="s">
        <v>21</v>
      </c>
      <c r="F793" t="s">
        <v>29</v>
      </c>
      <c r="G793" t="s">
        <v>23</v>
      </c>
      <c r="H793">
        <v>35.840000000000003</v>
      </c>
      <c r="I793">
        <v>1104.6099999999999</v>
      </c>
      <c r="J793" t="s">
        <v>27</v>
      </c>
    </row>
    <row r="794" spans="1:10" x14ac:dyDescent="0.35">
      <c r="A794" t="s">
        <v>816</v>
      </c>
      <c r="B794" t="s">
        <v>11</v>
      </c>
      <c r="C794">
        <v>60</v>
      </c>
      <c r="D794">
        <v>44</v>
      </c>
      <c r="E794" t="s">
        <v>12</v>
      </c>
      <c r="F794" t="s">
        <v>29</v>
      </c>
      <c r="G794" t="s">
        <v>23</v>
      </c>
      <c r="H794">
        <v>22.38</v>
      </c>
      <c r="I794">
        <v>1042.0999999999999</v>
      </c>
      <c r="J794" t="s">
        <v>15</v>
      </c>
    </row>
    <row r="795" spans="1:10" x14ac:dyDescent="0.35">
      <c r="A795" t="s">
        <v>817</v>
      </c>
      <c r="B795" t="s">
        <v>17</v>
      </c>
      <c r="C795">
        <v>34</v>
      </c>
      <c r="D795">
        <v>65</v>
      </c>
      <c r="E795" t="s">
        <v>12</v>
      </c>
      <c r="F795" t="s">
        <v>13</v>
      </c>
      <c r="G795" t="s">
        <v>14</v>
      </c>
      <c r="H795">
        <v>137.54</v>
      </c>
      <c r="I795">
        <v>9262.9500000000007</v>
      </c>
      <c r="J795" t="s">
        <v>15</v>
      </c>
    </row>
    <row r="796" spans="1:10" x14ac:dyDescent="0.35">
      <c r="A796" t="s">
        <v>818</v>
      </c>
      <c r="B796" t="s">
        <v>11</v>
      </c>
      <c r="C796">
        <v>62</v>
      </c>
      <c r="D796">
        <v>8</v>
      </c>
      <c r="E796" t="s">
        <v>12</v>
      </c>
      <c r="F796" t="s">
        <v>29</v>
      </c>
      <c r="G796" t="s">
        <v>23</v>
      </c>
      <c r="H796">
        <v>28.92</v>
      </c>
      <c r="I796">
        <v>222.09</v>
      </c>
      <c r="J796" t="s">
        <v>27</v>
      </c>
    </row>
    <row r="797" spans="1:10" x14ac:dyDescent="0.35">
      <c r="A797" t="s">
        <v>819</v>
      </c>
      <c r="B797" t="s">
        <v>11</v>
      </c>
      <c r="C797">
        <v>60</v>
      </c>
      <c r="D797">
        <v>72</v>
      </c>
      <c r="E797" t="s">
        <v>21</v>
      </c>
      <c r="F797" t="s">
        <v>33</v>
      </c>
      <c r="G797" t="s">
        <v>23</v>
      </c>
      <c r="H797">
        <v>148.94999999999999</v>
      </c>
      <c r="I797">
        <v>10633.77</v>
      </c>
      <c r="J797" t="s">
        <v>27</v>
      </c>
    </row>
    <row r="798" spans="1:10" x14ac:dyDescent="0.35">
      <c r="A798" t="s">
        <v>820</v>
      </c>
      <c r="B798" t="s">
        <v>11</v>
      </c>
      <c r="C798">
        <v>51</v>
      </c>
      <c r="D798">
        <v>43</v>
      </c>
      <c r="E798" t="s">
        <v>18</v>
      </c>
      <c r="F798" t="s">
        <v>13</v>
      </c>
      <c r="G798" t="s">
        <v>23</v>
      </c>
      <c r="H798">
        <v>143.68</v>
      </c>
      <c r="I798">
        <v>5678.49</v>
      </c>
      <c r="J798" t="s">
        <v>15</v>
      </c>
    </row>
    <row r="799" spans="1:10" x14ac:dyDescent="0.35">
      <c r="A799" t="s">
        <v>821</v>
      </c>
      <c r="B799" t="s">
        <v>11</v>
      </c>
      <c r="C799">
        <v>26</v>
      </c>
      <c r="D799">
        <v>1</v>
      </c>
      <c r="E799" t="s">
        <v>12</v>
      </c>
      <c r="F799" t="s">
        <v>22</v>
      </c>
      <c r="G799" t="s">
        <v>19</v>
      </c>
      <c r="H799">
        <v>37.81</v>
      </c>
      <c r="I799">
        <v>40.82</v>
      </c>
      <c r="J799" t="s">
        <v>15</v>
      </c>
    </row>
    <row r="800" spans="1:10" x14ac:dyDescent="0.35">
      <c r="A800" t="s">
        <v>822</v>
      </c>
      <c r="B800" t="s">
        <v>11</v>
      </c>
      <c r="C800">
        <v>43</v>
      </c>
      <c r="D800">
        <v>51</v>
      </c>
      <c r="E800" t="s">
        <v>18</v>
      </c>
      <c r="F800" t="s">
        <v>13</v>
      </c>
      <c r="G800" t="s">
        <v>14</v>
      </c>
      <c r="H800">
        <v>89.89</v>
      </c>
      <c r="I800">
        <v>4983.62</v>
      </c>
      <c r="J800" t="s">
        <v>15</v>
      </c>
    </row>
    <row r="801" spans="1:10" x14ac:dyDescent="0.35">
      <c r="A801" t="s">
        <v>823</v>
      </c>
      <c r="B801" t="s">
        <v>11</v>
      </c>
      <c r="C801">
        <v>19</v>
      </c>
      <c r="D801">
        <v>24</v>
      </c>
      <c r="E801" t="s">
        <v>21</v>
      </c>
      <c r="F801" t="s">
        <v>13</v>
      </c>
      <c r="G801" t="s">
        <v>19</v>
      </c>
      <c r="H801">
        <v>44.04</v>
      </c>
      <c r="I801">
        <v>1158.3900000000001</v>
      </c>
      <c r="J801" t="s">
        <v>15</v>
      </c>
    </row>
    <row r="802" spans="1:10" x14ac:dyDescent="0.35">
      <c r="A802" t="s">
        <v>824</v>
      </c>
      <c r="B802" t="s">
        <v>11</v>
      </c>
      <c r="C802">
        <v>70</v>
      </c>
      <c r="D802">
        <v>24</v>
      </c>
      <c r="E802" t="s">
        <v>12</v>
      </c>
      <c r="F802" t="s">
        <v>33</v>
      </c>
      <c r="G802" t="s">
        <v>23</v>
      </c>
      <c r="H802">
        <v>75.66</v>
      </c>
      <c r="I802">
        <v>1949.69</v>
      </c>
      <c r="J802" t="s">
        <v>15</v>
      </c>
    </row>
    <row r="803" spans="1:10" x14ac:dyDescent="0.35">
      <c r="A803" t="s">
        <v>825</v>
      </c>
      <c r="B803" t="s">
        <v>17</v>
      </c>
      <c r="C803">
        <v>26</v>
      </c>
      <c r="D803">
        <v>17</v>
      </c>
      <c r="E803" t="s">
        <v>18</v>
      </c>
      <c r="F803" t="s">
        <v>29</v>
      </c>
      <c r="G803" t="s">
        <v>19</v>
      </c>
      <c r="H803">
        <v>27.99</v>
      </c>
      <c r="I803">
        <v>444.8</v>
      </c>
      <c r="J803" t="s">
        <v>15</v>
      </c>
    </row>
    <row r="804" spans="1:10" x14ac:dyDescent="0.35">
      <c r="A804" t="s">
        <v>826</v>
      </c>
      <c r="B804" t="s">
        <v>11</v>
      </c>
      <c r="C804">
        <v>26</v>
      </c>
      <c r="D804">
        <v>5</v>
      </c>
      <c r="E804" t="s">
        <v>12</v>
      </c>
      <c r="F804" t="s">
        <v>29</v>
      </c>
      <c r="G804" t="s">
        <v>19</v>
      </c>
      <c r="H804">
        <v>49.11</v>
      </c>
      <c r="I804">
        <v>223.26</v>
      </c>
      <c r="J804" t="s">
        <v>27</v>
      </c>
    </row>
    <row r="805" spans="1:10" x14ac:dyDescent="0.35">
      <c r="A805" t="s">
        <v>827</v>
      </c>
      <c r="B805" t="s">
        <v>11</v>
      </c>
      <c r="C805">
        <v>57</v>
      </c>
      <c r="D805">
        <v>20</v>
      </c>
      <c r="E805" t="s">
        <v>12</v>
      </c>
      <c r="F805" t="s">
        <v>22</v>
      </c>
      <c r="G805" t="s">
        <v>23</v>
      </c>
      <c r="H805">
        <v>67.23</v>
      </c>
      <c r="I805">
        <v>1366.01</v>
      </c>
      <c r="J805" t="s">
        <v>15</v>
      </c>
    </row>
    <row r="806" spans="1:10" x14ac:dyDescent="0.35">
      <c r="A806" t="s">
        <v>828</v>
      </c>
      <c r="B806" t="s">
        <v>17</v>
      </c>
      <c r="C806">
        <v>34</v>
      </c>
      <c r="D806">
        <v>21</v>
      </c>
      <c r="E806" t="s">
        <v>21</v>
      </c>
      <c r="F806" t="s">
        <v>29</v>
      </c>
      <c r="G806" t="s">
        <v>14</v>
      </c>
      <c r="H806">
        <v>77.02</v>
      </c>
      <c r="I806">
        <v>1750.89</v>
      </c>
      <c r="J806" t="s">
        <v>15</v>
      </c>
    </row>
    <row r="807" spans="1:10" x14ac:dyDescent="0.35">
      <c r="A807" t="s">
        <v>829</v>
      </c>
      <c r="B807" t="s">
        <v>17</v>
      </c>
      <c r="C807">
        <v>18</v>
      </c>
      <c r="D807">
        <v>58</v>
      </c>
      <c r="E807" t="s">
        <v>12</v>
      </c>
      <c r="F807" t="s">
        <v>29</v>
      </c>
      <c r="G807" t="s">
        <v>19</v>
      </c>
      <c r="H807">
        <v>147.07</v>
      </c>
      <c r="I807">
        <v>7979.62</v>
      </c>
      <c r="J807" t="s">
        <v>15</v>
      </c>
    </row>
    <row r="808" spans="1:10" x14ac:dyDescent="0.35">
      <c r="A808" t="s">
        <v>830</v>
      </c>
      <c r="B808" t="s">
        <v>17</v>
      </c>
      <c r="C808">
        <v>42</v>
      </c>
      <c r="D808">
        <v>31</v>
      </c>
      <c r="E808" t="s">
        <v>21</v>
      </c>
      <c r="F808" t="s">
        <v>13</v>
      </c>
      <c r="G808" t="s">
        <v>14</v>
      </c>
      <c r="H808">
        <v>125.02</v>
      </c>
      <c r="I808">
        <v>3493.52</v>
      </c>
      <c r="J808" t="s">
        <v>15</v>
      </c>
    </row>
    <row r="809" spans="1:10" x14ac:dyDescent="0.35">
      <c r="A809" t="s">
        <v>831</v>
      </c>
      <c r="B809" t="s">
        <v>11</v>
      </c>
      <c r="C809">
        <v>60</v>
      </c>
      <c r="D809">
        <v>11</v>
      </c>
      <c r="E809" t="s">
        <v>12</v>
      </c>
      <c r="F809" t="s">
        <v>29</v>
      </c>
      <c r="G809" t="s">
        <v>23</v>
      </c>
      <c r="H809">
        <v>115.86</v>
      </c>
      <c r="I809">
        <v>1352.33</v>
      </c>
      <c r="J809" t="s">
        <v>27</v>
      </c>
    </row>
    <row r="810" spans="1:10" x14ac:dyDescent="0.35">
      <c r="A810" t="s">
        <v>832</v>
      </c>
      <c r="B810" t="s">
        <v>17</v>
      </c>
      <c r="C810">
        <v>57</v>
      </c>
      <c r="D810">
        <v>52</v>
      </c>
      <c r="E810" t="s">
        <v>12</v>
      </c>
      <c r="G810" t="s">
        <v>23</v>
      </c>
      <c r="H810">
        <v>89.82</v>
      </c>
      <c r="I810">
        <v>4275.3100000000004</v>
      </c>
      <c r="J810" t="s">
        <v>15</v>
      </c>
    </row>
    <row r="811" spans="1:10" x14ac:dyDescent="0.35">
      <c r="A811" t="s">
        <v>833</v>
      </c>
      <c r="B811" t="s">
        <v>11</v>
      </c>
      <c r="C811">
        <v>59</v>
      </c>
      <c r="D811">
        <v>15</v>
      </c>
      <c r="E811" t="s">
        <v>18</v>
      </c>
      <c r="F811" t="s">
        <v>29</v>
      </c>
      <c r="G811" t="s">
        <v>23</v>
      </c>
      <c r="H811">
        <v>129.19999999999999</v>
      </c>
      <c r="I811">
        <v>1904.55</v>
      </c>
      <c r="J811" t="s">
        <v>15</v>
      </c>
    </row>
    <row r="812" spans="1:10" x14ac:dyDescent="0.35">
      <c r="A812" t="s">
        <v>834</v>
      </c>
      <c r="B812" t="s">
        <v>11</v>
      </c>
      <c r="C812">
        <v>42</v>
      </c>
      <c r="D812">
        <v>7</v>
      </c>
      <c r="E812" t="s">
        <v>12</v>
      </c>
      <c r="F812" t="s">
        <v>33</v>
      </c>
      <c r="G812" t="s">
        <v>14</v>
      </c>
      <c r="H812">
        <v>64.11</v>
      </c>
      <c r="I812">
        <v>464.83</v>
      </c>
      <c r="J812" t="s">
        <v>27</v>
      </c>
    </row>
    <row r="813" spans="1:10" x14ac:dyDescent="0.35">
      <c r="A813" t="s">
        <v>835</v>
      </c>
      <c r="B813" t="s">
        <v>11</v>
      </c>
      <c r="C813">
        <v>56</v>
      </c>
      <c r="D813">
        <v>28</v>
      </c>
      <c r="E813" t="s">
        <v>12</v>
      </c>
      <c r="F813" t="s">
        <v>22</v>
      </c>
      <c r="G813" t="s">
        <v>23</v>
      </c>
      <c r="H813">
        <v>112.16</v>
      </c>
      <c r="I813">
        <v>2975.16</v>
      </c>
      <c r="J813" t="s">
        <v>27</v>
      </c>
    </row>
    <row r="814" spans="1:10" x14ac:dyDescent="0.35">
      <c r="A814" t="s">
        <v>836</v>
      </c>
      <c r="B814" t="s">
        <v>11</v>
      </c>
      <c r="C814">
        <v>52</v>
      </c>
      <c r="D814">
        <v>51</v>
      </c>
      <c r="E814" t="s">
        <v>12</v>
      </c>
      <c r="F814" t="s">
        <v>22</v>
      </c>
      <c r="G814" t="s">
        <v>23</v>
      </c>
      <c r="H814">
        <v>149.19</v>
      </c>
      <c r="I814">
        <v>6975.59</v>
      </c>
      <c r="J814" t="s">
        <v>15</v>
      </c>
    </row>
    <row r="815" spans="1:10" x14ac:dyDescent="0.35">
      <c r="A815" t="s">
        <v>837</v>
      </c>
      <c r="B815" t="s">
        <v>17</v>
      </c>
      <c r="C815">
        <v>20</v>
      </c>
      <c r="D815">
        <v>58</v>
      </c>
      <c r="E815" t="s">
        <v>18</v>
      </c>
      <c r="F815" t="s">
        <v>22</v>
      </c>
      <c r="G815" t="s">
        <v>19</v>
      </c>
      <c r="H815">
        <v>60.9</v>
      </c>
      <c r="I815">
        <v>3722.95</v>
      </c>
      <c r="J815" t="s">
        <v>15</v>
      </c>
    </row>
    <row r="816" spans="1:10" x14ac:dyDescent="0.35">
      <c r="A816" t="s">
        <v>838</v>
      </c>
      <c r="B816" t="s">
        <v>17</v>
      </c>
      <c r="C816">
        <v>67</v>
      </c>
      <c r="D816">
        <v>5</v>
      </c>
      <c r="E816" t="s">
        <v>12</v>
      </c>
      <c r="F816" t="s">
        <v>33</v>
      </c>
      <c r="G816" t="s">
        <v>23</v>
      </c>
      <c r="H816">
        <v>107.62</v>
      </c>
      <c r="I816">
        <v>552.11</v>
      </c>
      <c r="J816" t="s">
        <v>27</v>
      </c>
    </row>
    <row r="817" spans="1:10" x14ac:dyDescent="0.35">
      <c r="A817" t="s">
        <v>839</v>
      </c>
      <c r="B817" t="s">
        <v>11</v>
      </c>
      <c r="C817">
        <v>54</v>
      </c>
      <c r="D817">
        <v>5</v>
      </c>
      <c r="E817" t="s">
        <v>12</v>
      </c>
      <c r="F817" t="s">
        <v>29</v>
      </c>
      <c r="G817" t="s">
        <v>23</v>
      </c>
      <c r="H817">
        <v>129.76</v>
      </c>
      <c r="I817">
        <v>712.19</v>
      </c>
      <c r="J817" t="s">
        <v>15</v>
      </c>
    </row>
    <row r="818" spans="1:10" x14ac:dyDescent="0.35">
      <c r="A818" t="s">
        <v>840</v>
      </c>
      <c r="B818" t="s">
        <v>11</v>
      </c>
      <c r="C818">
        <v>61</v>
      </c>
      <c r="D818">
        <v>8</v>
      </c>
      <c r="E818" t="s">
        <v>12</v>
      </c>
      <c r="F818" t="s">
        <v>33</v>
      </c>
      <c r="G818" t="s">
        <v>23</v>
      </c>
      <c r="H818">
        <v>139.05000000000001</v>
      </c>
      <c r="I818">
        <v>1077.76</v>
      </c>
      <c r="J818" t="s">
        <v>27</v>
      </c>
    </row>
    <row r="819" spans="1:10" x14ac:dyDescent="0.35">
      <c r="A819" t="s">
        <v>841</v>
      </c>
      <c r="B819" t="s">
        <v>11</v>
      </c>
      <c r="C819">
        <v>61</v>
      </c>
      <c r="D819">
        <v>64</v>
      </c>
      <c r="E819" t="s">
        <v>12</v>
      </c>
      <c r="F819" t="s">
        <v>22</v>
      </c>
      <c r="G819" t="s">
        <v>23</v>
      </c>
      <c r="H819">
        <v>113.33</v>
      </c>
      <c r="I819">
        <v>6617.4</v>
      </c>
      <c r="J819" t="s">
        <v>27</v>
      </c>
    </row>
    <row r="820" spans="1:10" x14ac:dyDescent="0.35">
      <c r="A820" t="s">
        <v>842</v>
      </c>
      <c r="B820" t="s">
        <v>17</v>
      </c>
      <c r="C820">
        <v>68</v>
      </c>
      <c r="D820">
        <v>10</v>
      </c>
      <c r="E820" t="s">
        <v>18</v>
      </c>
      <c r="F820" t="s">
        <v>22</v>
      </c>
      <c r="G820" t="s">
        <v>23</v>
      </c>
      <c r="H820">
        <v>56.87</v>
      </c>
      <c r="I820">
        <v>595.35</v>
      </c>
      <c r="J820" t="s">
        <v>27</v>
      </c>
    </row>
    <row r="821" spans="1:10" x14ac:dyDescent="0.35">
      <c r="A821" t="s">
        <v>843</v>
      </c>
      <c r="B821" t="s">
        <v>11</v>
      </c>
      <c r="C821">
        <v>47</v>
      </c>
      <c r="D821">
        <v>38</v>
      </c>
      <c r="E821" t="s">
        <v>21</v>
      </c>
      <c r="F821" t="s">
        <v>13</v>
      </c>
      <c r="G821" t="s">
        <v>14</v>
      </c>
      <c r="H821">
        <v>62.42</v>
      </c>
      <c r="I821">
        <v>2382.27</v>
      </c>
      <c r="J821" t="s">
        <v>15</v>
      </c>
    </row>
    <row r="822" spans="1:10" x14ac:dyDescent="0.35">
      <c r="A822" t="s">
        <v>844</v>
      </c>
      <c r="B822" t="s">
        <v>11</v>
      </c>
      <c r="C822">
        <v>55</v>
      </c>
      <c r="D822">
        <v>8</v>
      </c>
      <c r="E822" t="s">
        <v>12</v>
      </c>
      <c r="F822" t="s">
        <v>29</v>
      </c>
      <c r="G822" t="s">
        <v>23</v>
      </c>
      <c r="H822">
        <v>22.7</v>
      </c>
      <c r="I822">
        <v>171.18</v>
      </c>
      <c r="J822" t="s">
        <v>15</v>
      </c>
    </row>
    <row r="823" spans="1:10" x14ac:dyDescent="0.35">
      <c r="A823" t="s">
        <v>845</v>
      </c>
      <c r="B823" t="s">
        <v>17</v>
      </c>
      <c r="C823">
        <v>51</v>
      </c>
      <c r="D823">
        <v>25</v>
      </c>
      <c r="E823" t="s">
        <v>21</v>
      </c>
      <c r="F823" t="s">
        <v>13</v>
      </c>
      <c r="G823" t="s">
        <v>23</v>
      </c>
      <c r="H823">
        <v>118.92</v>
      </c>
      <c r="I823">
        <v>3140.52</v>
      </c>
      <c r="J823" t="s">
        <v>15</v>
      </c>
    </row>
    <row r="824" spans="1:10" x14ac:dyDescent="0.35">
      <c r="A824" t="s">
        <v>846</v>
      </c>
      <c r="B824" t="s">
        <v>17</v>
      </c>
      <c r="C824">
        <v>29</v>
      </c>
      <c r="D824">
        <v>66</v>
      </c>
      <c r="E824" t="s">
        <v>12</v>
      </c>
      <c r="F824" t="s">
        <v>22</v>
      </c>
      <c r="G824" t="s">
        <v>19</v>
      </c>
      <c r="H824">
        <v>25.56</v>
      </c>
      <c r="I824">
        <v>1587.01</v>
      </c>
      <c r="J824" t="s">
        <v>15</v>
      </c>
    </row>
    <row r="825" spans="1:10" x14ac:dyDescent="0.35">
      <c r="A825" t="s">
        <v>847</v>
      </c>
      <c r="B825" t="s">
        <v>11</v>
      </c>
      <c r="C825">
        <v>36</v>
      </c>
      <c r="D825">
        <v>50</v>
      </c>
      <c r="E825" t="s">
        <v>18</v>
      </c>
      <c r="F825" t="s">
        <v>29</v>
      </c>
      <c r="G825" t="s">
        <v>14</v>
      </c>
      <c r="H825">
        <v>132.4</v>
      </c>
      <c r="I825">
        <v>6303.12</v>
      </c>
      <c r="J825" t="s">
        <v>15</v>
      </c>
    </row>
    <row r="826" spans="1:10" x14ac:dyDescent="0.35">
      <c r="A826" t="s">
        <v>848</v>
      </c>
      <c r="B826" t="s">
        <v>17</v>
      </c>
      <c r="C826">
        <v>54</v>
      </c>
      <c r="D826">
        <v>67</v>
      </c>
      <c r="E826" t="s">
        <v>18</v>
      </c>
      <c r="F826" t="s">
        <v>22</v>
      </c>
      <c r="G826" t="s">
        <v>23</v>
      </c>
      <c r="H826">
        <v>35.43</v>
      </c>
      <c r="I826">
        <v>2180.36</v>
      </c>
      <c r="J826" t="s">
        <v>15</v>
      </c>
    </row>
    <row r="827" spans="1:10" x14ac:dyDescent="0.35">
      <c r="A827" t="s">
        <v>849</v>
      </c>
      <c r="B827" t="s">
        <v>17</v>
      </c>
      <c r="C827">
        <v>61</v>
      </c>
      <c r="D827">
        <v>49</v>
      </c>
      <c r="E827" t="s">
        <v>12</v>
      </c>
      <c r="F827" t="s">
        <v>29</v>
      </c>
      <c r="G827" t="s">
        <v>23</v>
      </c>
      <c r="H827">
        <v>42.34</v>
      </c>
      <c r="I827">
        <v>2032.93</v>
      </c>
      <c r="J827" t="s">
        <v>15</v>
      </c>
    </row>
    <row r="828" spans="1:10" x14ac:dyDescent="0.35">
      <c r="A828" t="s">
        <v>850</v>
      </c>
      <c r="B828" t="s">
        <v>11</v>
      </c>
      <c r="C828">
        <v>66</v>
      </c>
      <c r="D828">
        <v>36</v>
      </c>
      <c r="E828" t="s">
        <v>18</v>
      </c>
      <c r="F828" t="s">
        <v>29</v>
      </c>
      <c r="G828" t="s">
        <v>23</v>
      </c>
      <c r="H828">
        <v>81.95</v>
      </c>
      <c r="I828">
        <v>2902.36</v>
      </c>
      <c r="J828" t="s">
        <v>15</v>
      </c>
    </row>
    <row r="829" spans="1:10" x14ac:dyDescent="0.35">
      <c r="A829" t="s">
        <v>851</v>
      </c>
      <c r="B829" t="s">
        <v>17</v>
      </c>
      <c r="C829">
        <v>34</v>
      </c>
      <c r="D829">
        <v>68</v>
      </c>
      <c r="E829" t="s">
        <v>21</v>
      </c>
      <c r="F829" t="s">
        <v>29</v>
      </c>
      <c r="G829" t="s">
        <v>14</v>
      </c>
      <c r="H829">
        <v>115.92</v>
      </c>
      <c r="I829">
        <v>7905.52</v>
      </c>
      <c r="J829" t="s">
        <v>15</v>
      </c>
    </row>
    <row r="830" spans="1:10" x14ac:dyDescent="0.35">
      <c r="A830" t="s">
        <v>852</v>
      </c>
      <c r="B830" t="s">
        <v>11</v>
      </c>
      <c r="C830">
        <v>27</v>
      </c>
      <c r="D830">
        <v>41</v>
      </c>
      <c r="E830" t="s">
        <v>12</v>
      </c>
      <c r="F830" t="s">
        <v>29</v>
      </c>
      <c r="G830" t="s">
        <v>19</v>
      </c>
      <c r="H830">
        <v>38.07</v>
      </c>
      <c r="I830">
        <v>1626.1</v>
      </c>
      <c r="J830" t="s">
        <v>27</v>
      </c>
    </row>
    <row r="831" spans="1:10" x14ac:dyDescent="0.35">
      <c r="A831" t="s">
        <v>853</v>
      </c>
      <c r="B831" t="s">
        <v>17</v>
      </c>
      <c r="C831">
        <v>66</v>
      </c>
      <c r="D831">
        <v>62</v>
      </c>
      <c r="E831" t="s">
        <v>12</v>
      </c>
      <c r="F831" t="s">
        <v>13</v>
      </c>
      <c r="G831" t="s">
        <v>23</v>
      </c>
      <c r="H831">
        <v>77.209999999999994</v>
      </c>
      <c r="I831">
        <v>5175.82</v>
      </c>
      <c r="J831" t="s">
        <v>27</v>
      </c>
    </row>
    <row r="832" spans="1:10" x14ac:dyDescent="0.35">
      <c r="A832" t="s">
        <v>854</v>
      </c>
      <c r="B832" t="s">
        <v>11</v>
      </c>
      <c r="C832">
        <v>64</v>
      </c>
      <c r="D832">
        <v>10</v>
      </c>
      <c r="E832" t="s">
        <v>12</v>
      </c>
      <c r="F832" t="s">
        <v>29</v>
      </c>
      <c r="G832" t="s">
        <v>23</v>
      </c>
      <c r="H832">
        <v>82.77</v>
      </c>
      <c r="I832">
        <v>767.73</v>
      </c>
      <c r="J832" t="s">
        <v>27</v>
      </c>
    </row>
    <row r="833" spans="1:10" x14ac:dyDescent="0.35">
      <c r="A833" t="s">
        <v>855</v>
      </c>
      <c r="B833" t="s">
        <v>11</v>
      </c>
      <c r="C833">
        <v>29</v>
      </c>
      <c r="D833">
        <v>21</v>
      </c>
      <c r="E833" t="s">
        <v>21</v>
      </c>
      <c r="F833" t="s">
        <v>33</v>
      </c>
      <c r="G833" t="s">
        <v>19</v>
      </c>
      <c r="H833">
        <v>47.6</v>
      </c>
      <c r="I833">
        <v>910.51</v>
      </c>
      <c r="J833" t="s">
        <v>15</v>
      </c>
    </row>
    <row r="834" spans="1:10" x14ac:dyDescent="0.35">
      <c r="A834" t="s">
        <v>856</v>
      </c>
      <c r="B834" t="s">
        <v>11</v>
      </c>
      <c r="C834">
        <v>33</v>
      </c>
      <c r="D834">
        <v>36</v>
      </c>
      <c r="E834" t="s">
        <v>18</v>
      </c>
      <c r="F834" t="s">
        <v>13</v>
      </c>
      <c r="G834" t="s">
        <v>14</v>
      </c>
      <c r="H834">
        <v>35.020000000000003</v>
      </c>
      <c r="I834">
        <v>1139.32</v>
      </c>
      <c r="J834" t="s">
        <v>15</v>
      </c>
    </row>
    <row r="835" spans="1:10" x14ac:dyDescent="0.35">
      <c r="A835" t="s">
        <v>857</v>
      </c>
      <c r="B835" t="s">
        <v>17</v>
      </c>
      <c r="C835">
        <v>41</v>
      </c>
      <c r="D835">
        <v>12</v>
      </c>
      <c r="E835" t="s">
        <v>21</v>
      </c>
      <c r="F835" t="s">
        <v>29</v>
      </c>
      <c r="G835" t="s">
        <v>14</v>
      </c>
      <c r="H835">
        <v>128.72999999999999</v>
      </c>
      <c r="I835">
        <v>1434.66</v>
      </c>
      <c r="J835" t="s">
        <v>15</v>
      </c>
    </row>
    <row r="836" spans="1:10" x14ac:dyDescent="0.35">
      <c r="A836" t="s">
        <v>858</v>
      </c>
      <c r="B836" t="s">
        <v>11</v>
      </c>
      <c r="C836">
        <v>36</v>
      </c>
      <c r="D836">
        <v>2</v>
      </c>
      <c r="E836" t="s">
        <v>18</v>
      </c>
      <c r="F836" t="s">
        <v>22</v>
      </c>
      <c r="G836" t="s">
        <v>14</v>
      </c>
      <c r="H836">
        <v>85.32</v>
      </c>
      <c r="I836">
        <v>176.03</v>
      </c>
      <c r="J836" t="s">
        <v>27</v>
      </c>
    </row>
    <row r="837" spans="1:10" x14ac:dyDescent="0.35">
      <c r="A837" t="s">
        <v>859</v>
      </c>
      <c r="B837" t="s">
        <v>17</v>
      </c>
      <c r="C837">
        <v>25</v>
      </c>
      <c r="D837">
        <v>13</v>
      </c>
      <c r="E837" t="s">
        <v>21</v>
      </c>
      <c r="F837" t="s">
        <v>33</v>
      </c>
      <c r="G837" t="s">
        <v>19</v>
      </c>
      <c r="H837">
        <v>21.87</v>
      </c>
      <c r="I837">
        <v>297.24</v>
      </c>
      <c r="J837" t="s">
        <v>15</v>
      </c>
    </row>
    <row r="838" spans="1:10" x14ac:dyDescent="0.35">
      <c r="A838" t="s">
        <v>860</v>
      </c>
      <c r="B838" t="s">
        <v>11</v>
      </c>
      <c r="C838">
        <v>48</v>
      </c>
      <c r="D838">
        <v>53</v>
      </c>
      <c r="E838" t="s">
        <v>18</v>
      </c>
      <c r="F838" t="s">
        <v>22</v>
      </c>
      <c r="G838" t="s">
        <v>14</v>
      </c>
      <c r="H838">
        <v>124.39</v>
      </c>
      <c r="I838">
        <v>6970.44</v>
      </c>
      <c r="J838" t="s">
        <v>15</v>
      </c>
    </row>
    <row r="839" spans="1:10" x14ac:dyDescent="0.35">
      <c r="A839" t="s">
        <v>861</v>
      </c>
      <c r="B839" t="s">
        <v>11</v>
      </c>
      <c r="C839">
        <v>38</v>
      </c>
      <c r="D839">
        <v>32</v>
      </c>
      <c r="E839" t="s">
        <v>21</v>
      </c>
      <c r="F839" t="s">
        <v>29</v>
      </c>
      <c r="G839" t="s">
        <v>14</v>
      </c>
      <c r="H839">
        <v>147.5</v>
      </c>
      <c r="I839">
        <v>4478.0600000000004</v>
      </c>
      <c r="J839" t="s">
        <v>15</v>
      </c>
    </row>
    <row r="840" spans="1:10" x14ac:dyDescent="0.35">
      <c r="A840" t="s">
        <v>862</v>
      </c>
      <c r="B840" t="s">
        <v>17</v>
      </c>
      <c r="C840">
        <v>34</v>
      </c>
      <c r="D840">
        <v>16</v>
      </c>
      <c r="E840" t="s">
        <v>12</v>
      </c>
      <c r="F840" t="s">
        <v>33</v>
      </c>
      <c r="G840" t="s">
        <v>14</v>
      </c>
      <c r="H840">
        <v>98.77</v>
      </c>
      <c r="I840">
        <v>1518.97</v>
      </c>
      <c r="J840" t="s">
        <v>15</v>
      </c>
    </row>
    <row r="841" spans="1:10" x14ac:dyDescent="0.35">
      <c r="A841" t="s">
        <v>863</v>
      </c>
      <c r="B841" t="s">
        <v>11</v>
      </c>
      <c r="C841">
        <v>40</v>
      </c>
      <c r="D841">
        <v>32</v>
      </c>
      <c r="E841" t="s">
        <v>21</v>
      </c>
      <c r="F841" t="s">
        <v>22</v>
      </c>
      <c r="G841" t="s">
        <v>14</v>
      </c>
      <c r="H841">
        <v>85.48</v>
      </c>
      <c r="I841">
        <v>2726.13</v>
      </c>
      <c r="J841" t="s">
        <v>15</v>
      </c>
    </row>
    <row r="842" spans="1:10" x14ac:dyDescent="0.35">
      <c r="A842" t="s">
        <v>864</v>
      </c>
      <c r="B842" t="s">
        <v>11</v>
      </c>
      <c r="C842">
        <v>54</v>
      </c>
      <c r="D842">
        <v>32</v>
      </c>
      <c r="E842" t="s">
        <v>18</v>
      </c>
      <c r="F842" t="s">
        <v>29</v>
      </c>
      <c r="G842" t="s">
        <v>23</v>
      </c>
      <c r="H842">
        <v>134.19</v>
      </c>
      <c r="I842">
        <v>3918.93</v>
      </c>
      <c r="J842" t="s">
        <v>15</v>
      </c>
    </row>
    <row r="843" spans="1:10" x14ac:dyDescent="0.35">
      <c r="A843" t="s">
        <v>865</v>
      </c>
      <c r="B843" t="s">
        <v>17</v>
      </c>
      <c r="C843">
        <v>33</v>
      </c>
      <c r="D843">
        <v>11</v>
      </c>
      <c r="E843" t="s">
        <v>12</v>
      </c>
      <c r="F843" t="s">
        <v>29</v>
      </c>
      <c r="G843" t="s">
        <v>14</v>
      </c>
      <c r="H843">
        <v>143.83000000000001</v>
      </c>
      <c r="I843">
        <v>1617.3</v>
      </c>
      <c r="J843" t="s">
        <v>15</v>
      </c>
    </row>
    <row r="844" spans="1:10" x14ac:dyDescent="0.35">
      <c r="A844" t="s">
        <v>866</v>
      </c>
      <c r="B844" t="s">
        <v>11</v>
      </c>
      <c r="C844">
        <v>23</v>
      </c>
      <c r="D844">
        <v>10</v>
      </c>
      <c r="E844" t="s">
        <v>18</v>
      </c>
      <c r="F844" t="s">
        <v>13</v>
      </c>
      <c r="G844" t="s">
        <v>19</v>
      </c>
      <c r="H844">
        <v>118.09</v>
      </c>
      <c r="I844">
        <v>1295.1500000000001</v>
      </c>
      <c r="J844" t="s">
        <v>15</v>
      </c>
    </row>
    <row r="845" spans="1:10" x14ac:dyDescent="0.35">
      <c r="A845" t="s">
        <v>867</v>
      </c>
      <c r="B845" t="s">
        <v>11</v>
      </c>
      <c r="C845">
        <v>25</v>
      </c>
      <c r="D845">
        <v>15</v>
      </c>
      <c r="E845" t="s">
        <v>12</v>
      </c>
      <c r="F845" t="s">
        <v>29</v>
      </c>
      <c r="G845" t="s">
        <v>19</v>
      </c>
      <c r="H845">
        <v>77.91</v>
      </c>
      <c r="I845">
        <v>1136.1199999999999</v>
      </c>
      <c r="J845" t="s">
        <v>27</v>
      </c>
    </row>
    <row r="846" spans="1:10" x14ac:dyDescent="0.35">
      <c r="A846" t="s">
        <v>868</v>
      </c>
      <c r="B846" t="s">
        <v>11</v>
      </c>
      <c r="C846">
        <v>42</v>
      </c>
      <c r="D846">
        <v>17</v>
      </c>
      <c r="E846" t="s">
        <v>12</v>
      </c>
      <c r="F846" t="s">
        <v>33</v>
      </c>
      <c r="G846" t="s">
        <v>14</v>
      </c>
      <c r="H846">
        <v>96.99</v>
      </c>
      <c r="I846">
        <v>1732.21</v>
      </c>
      <c r="J846" t="s">
        <v>27</v>
      </c>
    </row>
    <row r="847" spans="1:10" x14ac:dyDescent="0.35">
      <c r="A847" t="s">
        <v>869</v>
      </c>
      <c r="B847" t="s">
        <v>11</v>
      </c>
      <c r="C847">
        <v>35</v>
      </c>
      <c r="D847">
        <v>40</v>
      </c>
      <c r="E847" t="s">
        <v>18</v>
      </c>
      <c r="F847" t="s">
        <v>13</v>
      </c>
      <c r="G847" t="s">
        <v>14</v>
      </c>
      <c r="H847">
        <v>111.12</v>
      </c>
      <c r="I847">
        <v>4444.83</v>
      </c>
      <c r="J847" t="s">
        <v>15</v>
      </c>
    </row>
    <row r="848" spans="1:10" x14ac:dyDescent="0.35">
      <c r="A848" t="s">
        <v>870</v>
      </c>
      <c r="B848" t="s">
        <v>17</v>
      </c>
      <c r="C848">
        <v>42</v>
      </c>
      <c r="D848">
        <v>18</v>
      </c>
      <c r="E848" t="s">
        <v>12</v>
      </c>
      <c r="F848" t="s">
        <v>33</v>
      </c>
      <c r="G848" t="s">
        <v>14</v>
      </c>
      <c r="H848">
        <v>45.26</v>
      </c>
      <c r="I848">
        <v>754.04</v>
      </c>
      <c r="J848" t="s">
        <v>27</v>
      </c>
    </row>
    <row r="849" spans="1:10" x14ac:dyDescent="0.35">
      <c r="A849" t="s">
        <v>871</v>
      </c>
      <c r="B849" t="s">
        <v>17</v>
      </c>
      <c r="C849">
        <v>29</v>
      </c>
      <c r="D849">
        <v>55</v>
      </c>
      <c r="E849" t="s">
        <v>12</v>
      </c>
      <c r="F849" t="s">
        <v>13</v>
      </c>
      <c r="G849" t="s">
        <v>19</v>
      </c>
      <c r="I849">
        <v>4368.3900000000003</v>
      </c>
      <c r="J849" t="s">
        <v>15</v>
      </c>
    </row>
    <row r="850" spans="1:10" x14ac:dyDescent="0.35">
      <c r="A850" t="s">
        <v>872</v>
      </c>
      <c r="B850" t="s">
        <v>11</v>
      </c>
      <c r="C850">
        <v>32</v>
      </c>
      <c r="D850">
        <v>25</v>
      </c>
      <c r="E850" t="s">
        <v>12</v>
      </c>
      <c r="F850" t="s">
        <v>29</v>
      </c>
      <c r="G850" t="s">
        <v>14</v>
      </c>
      <c r="H850">
        <v>127.88</v>
      </c>
      <c r="I850">
        <v>3069.04</v>
      </c>
      <c r="J850" t="s">
        <v>27</v>
      </c>
    </row>
    <row r="851" spans="1:10" x14ac:dyDescent="0.35">
      <c r="A851" t="s">
        <v>873</v>
      </c>
      <c r="B851" t="s">
        <v>17</v>
      </c>
      <c r="C851">
        <v>43</v>
      </c>
      <c r="D851">
        <v>59</v>
      </c>
      <c r="E851" t="s">
        <v>18</v>
      </c>
      <c r="F851" t="s">
        <v>29</v>
      </c>
      <c r="G851" t="s">
        <v>14</v>
      </c>
      <c r="H851">
        <v>105.11</v>
      </c>
      <c r="I851">
        <v>5624.01</v>
      </c>
      <c r="J851" t="s">
        <v>15</v>
      </c>
    </row>
    <row r="852" spans="1:10" x14ac:dyDescent="0.35">
      <c r="A852" t="s">
        <v>874</v>
      </c>
      <c r="B852" t="s">
        <v>11</v>
      </c>
      <c r="C852">
        <v>58</v>
      </c>
      <c r="D852">
        <v>22</v>
      </c>
      <c r="E852" t="s">
        <v>12</v>
      </c>
      <c r="F852" t="s">
        <v>13</v>
      </c>
      <c r="G852" t="s">
        <v>23</v>
      </c>
      <c r="H852">
        <v>73.459999999999994</v>
      </c>
      <c r="I852">
        <v>1659.73</v>
      </c>
      <c r="J852" t="s">
        <v>15</v>
      </c>
    </row>
    <row r="853" spans="1:10" x14ac:dyDescent="0.35">
      <c r="A853" t="s">
        <v>875</v>
      </c>
      <c r="B853" t="s">
        <v>17</v>
      </c>
      <c r="C853">
        <v>62</v>
      </c>
      <c r="D853">
        <v>30</v>
      </c>
      <c r="E853" t="s">
        <v>18</v>
      </c>
      <c r="F853" t="s">
        <v>22</v>
      </c>
      <c r="G853" t="s">
        <v>23</v>
      </c>
      <c r="H853">
        <v>106.24</v>
      </c>
      <c r="I853">
        <v>3416</v>
      </c>
      <c r="J853" t="s">
        <v>15</v>
      </c>
    </row>
    <row r="854" spans="1:10" x14ac:dyDescent="0.35">
      <c r="A854" t="s">
        <v>876</v>
      </c>
      <c r="B854" t="s">
        <v>11</v>
      </c>
      <c r="C854">
        <v>43</v>
      </c>
      <c r="D854">
        <v>44</v>
      </c>
      <c r="E854" t="s">
        <v>12</v>
      </c>
      <c r="F854" t="s">
        <v>22</v>
      </c>
      <c r="G854" t="s">
        <v>14</v>
      </c>
      <c r="H854">
        <v>35.369999999999997</v>
      </c>
      <c r="I854">
        <v>1507.96</v>
      </c>
      <c r="J854" t="s">
        <v>15</v>
      </c>
    </row>
    <row r="855" spans="1:10" x14ac:dyDescent="0.35">
      <c r="A855" t="s">
        <v>877</v>
      </c>
      <c r="B855" t="s">
        <v>11</v>
      </c>
      <c r="C855">
        <v>64</v>
      </c>
      <c r="D855">
        <v>32</v>
      </c>
      <c r="E855" t="s">
        <v>18</v>
      </c>
      <c r="F855" t="s">
        <v>29</v>
      </c>
      <c r="G855" t="s">
        <v>23</v>
      </c>
      <c r="H855">
        <v>72.19</v>
      </c>
      <c r="I855">
        <v>2259.39</v>
      </c>
      <c r="J855" t="s">
        <v>15</v>
      </c>
    </row>
    <row r="856" spans="1:10" x14ac:dyDescent="0.35">
      <c r="A856" t="s">
        <v>878</v>
      </c>
      <c r="B856" t="s">
        <v>11</v>
      </c>
      <c r="C856">
        <v>49</v>
      </c>
      <c r="D856">
        <v>51</v>
      </c>
      <c r="E856" t="s">
        <v>18</v>
      </c>
      <c r="F856" t="s">
        <v>29</v>
      </c>
      <c r="G856" t="s">
        <v>14</v>
      </c>
      <c r="H856">
        <v>123.11</v>
      </c>
      <c r="I856">
        <v>6769.62</v>
      </c>
      <c r="J856" t="s">
        <v>15</v>
      </c>
    </row>
    <row r="857" spans="1:10" x14ac:dyDescent="0.35">
      <c r="A857" t="s">
        <v>879</v>
      </c>
      <c r="B857" t="s">
        <v>11</v>
      </c>
      <c r="C857">
        <v>27</v>
      </c>
      <c r="D857">
        <v>46</v>
      </c>
      <c r="E857" t="s">
        <v>12</v>
      </c>
      <c r="F857" t="s">
        <v>29</v>
      </c>
      <c r="G857" t="s">
        <v>19</v>
      </c>
      <c r="H857">
        <v>48.67</v>
      </c>
      <c r="I857">
        <v>2379.2399999999998</v>
      </c>
      <c r="J857" t="s">
        <v>27</v>
      </c>
    </row>
    <row r="858" spans="1:10" x14ac:dyDescent="0.35">
      <c r="A858" t="s">
        <v>880</v>
      </c>
      <c r="B858" t="s">
        <v>11</v>
      </c>
      <c r="C858">
        <v>33</v>
      </c>
      <c r="D858">
        <v>21</v>
      </c>
      <c r="E858" t="s">
        <v>12</v>
      </c>
      <c r="F858" t="s">
        <v>22</v>
      </c>
      <c r="G858" t="s">
        <v>14</v>
      </c>
      <c r="H858">
        <v>44.17</v>
      </c>
      <c r="I858">
        <v>967.45</v>
      </c>
      <c r="J858" t="s">
        <v>15</v>
      </c>
    </row>
    <row r="859" spans="1:10" x14ac:dyDescent="0.35">
      <c r="A859" t="s">
        <v>881</v>
      </c>
      <c r="B859" t="s">
        <v>11</v>
      </c>
      <c r="C859">
        <v>24</v>
      </c>
      <c r="D859">
        <v>32</v>
      </c>
      <c r="E859" t="s">
        <v>12</v>
      </c>
      <c r="F859" t="s">
        <v>29</v>
      </c>
      <c r="G859" t="s">
        <v>19</v>
      </c>
      <c r="H859">
        <v>143.61000000000001</v>
      </c>
      <c r="I859">
        <v>4364.6400000000003</v>
      </c>
      <c r="J859" t="s">
        <v>27</v>
      </c>
    </row>
    <row r="860" spans="1:10" x14ac:dyDescent="0.35">
      <c r="A860" t="s">
        <v>882</v>
      </c>
      <c r="B860" t="s">
        <v>17</v>
      </c>
      <c r="C860">
        <v>34</v>
      </c>
      <c r="D860">
        <v>39</v>
      </c>
      <c r="E860" t="s">
        <v>21</v>
      </c>
      <c r="F860" t="s">
        <v>13</v>
      </c>
      <c r="G860" t="s">
        <v>14</v>
      </c>
      <c r="H860">
        <v>47.29</v>
      </c>
      <c r="I860">
        <v>1995.62</v>
      </c>
      <c r="J860" t="s">
        <v>15</v>
      </c>
    </row>
    <row r="861" spans="1:10" x14ac:dyDescent="0.35">
      <c r="A861" t="s">
        <v>883</v>
      </c>
      <c r="B861" t="s">
        <v>11</v>
      </c>
      <c r="C861">
        <v>40</v>
      </c>
      <c r="D861">
        <v>12</v>
      </c>
      <c r="E861" t="s">
        <v>12</v>
      </c>
      <c r="F861" t="s">
        <v>22</v>
      </c>
      <c r="G861" t="s">
        <v>14</v>
      </c>
      <c r="H861">
        <v>53.92</v>
      </c>
      <c r="I861">
        <v>602.32000000000005</v>
      </c>
      <c r="J861" t="s">
        <v>15</v>
      </c>
    </row>
    <row r="862" spans="1:10" x14ac:dyDescent="0.35">
      <c r="A862" t="s">
        <v>884</v>
      </c>
      <c r="B862" t="s">
        <v>17</v>
      </c>
      <c r="C862">
        <v>43</v>
      </c>
      <c r="D862">
        <v>47</v>
      </c>
      <c r="E862" t="s">
        <v>12</v>
      </c>
      <c r="F862" t="s">
        <v>33</v>
      </c>
      <c r="G862" t="s">
        <v>14</v>
      </c>
      <c r="H862">
        <v>146.05000000000001</v>
      </c>
      <c r="I862">
        <v>7038.39</v>
      </c>
      <c r="J862" t="s">
        <v>15</v>
      </c>
    </row>
    <row r="863" spans="1:10" x14ac:dyDescent="0.35">
      <c r="A863" t="s">
        <v>885</v>
      </c>
      <c r="B863" t="s">
        <v>11</v>
      </c>
      <c r="C863">
        <v>38</v>
      </c>
      <c r="D863">
        <v>18</v>
      </c>
      <c r="E863" t="s">
        <v>12</v>
      </c>
      <c r="F863" t="s">
        <v>29</v>
      </c>
      <c r="G863" t="s">
        <v>14</v>
      </c>
      <c r="H863">
        <v>115.51</v>
      </c>
      <c r="I863">
        <v>1883.24</v>
      </c>
      <c r="J863" t="s">
        <v>15</v>
      </c>
    </row>
    <row r="864" spans="1:10" x14ac:dyDescent="0.35">
      <c r="A864" t="s">
        <v>886</v>
      </c>
      <c r="B864" t="s">
        <v>17</v>
      </c>
      <c r="C864">
        <v>39</v>
      </c>
      <c r="D864">
        <v>21</v>
      </c>
      <c r="E864" t="s">
        <v>12</v>
      </c>
      <c r="F864" t="s">
        <v>29</v>
      </c>
      <c r="G864" t="s">
        <v>14</v>
      </c>
      <c r="H864">
        <v>110.95</v>
      </c>
      <c r="I864">
        <v>2396.92</v>
      </c>
      <c r="J864" t="s">
        <v>15</v>
      </c>
    </row>
    <row r="865" spans="1:10" x14ac:dyDescent="0.35">
      <c r="A865" t="s">
        <v>887</v>
      </c>
      <c r="B865" t="s">
        <v>17</v>
      </c>
      <c r="C865">
        <v>24</v>
      </c>
      <c r="D865">
        <v>13</v>
      </c>
      <c r="E865" t="s">
        <v>12</v>
      </c>
      <c r="F865" t="s">
        <v>22</v>
      </c>
      <c r="G865" t="s">
        <v>19</v>
      </c>
      <c r="H865">
        <v>130.88</v>
      </c>
      <c r="I865">
        <v>1625.6</v>
      </c>
      <c r="J865" t="s">
        <v>15</v>
      </c>
    </row>
    <row r="866" spans="1:10" x14ac:dyDescent="0.35">
      <c r="A866" t="s">
        <v>888</v>
      </c>
      <c r="B866" t="s">
        <v>17</v>
      </c>
      <c r="C866">
        <v>31</v>
      </c>
      <c r="D866">
        <v>21</v>
      </c>
      <c r="E866" t="s">
        <v>21</v>
      </c>
      <c r="F866" t="s">
        <v>22</v>
      </c>
      <c r="G866" t="s">
        <v>14</v>
      </c>
      <c r="H866">
        <v>35.06</v>
      </c>
      <c r="I866">
        <v>728.85</v>
      </c>
      <c r="J866" t="s">
        <v>15</v>
      </c>
    </row>
    <row r="867" spans="1:10" x14ac:dyDescent="0.35">
      <c r="A867" t="s">
        <v>889</v>
      </c>
      <c r="B867" t="s">
        <v>11</v>
      </c>
      <c r="C867">
        <v>32</v>
      </c>
      <c r="D867">
        <v>8</v>
      </c>
      <c r="E867" t="s">
        <v>18</v>
      </c>
      <c r="F867" t="s">
        <v>29</v>
      </c>
      <c r="G867" t="s">
        <v>14</v>
      </c>
      <c r="H867">
        <v>111.77</v>
      </c>
      <c r="I867">
        <v>866.49</v>
      </c>
      <c r="J867" t="s">
        <v>27</v>
      </c>
    </row>
    <row r="868" spans="1:10" x14ac:dyDescent="0.35">
      <c r="A868" t="s">
        <v>890</v>
      </c>
      <c r="B868" t="s">
        <v>11</v>
      </c>
      <c r="C868">
        <v>70</v>
      </c>
      <c r="D868">
        <v>46</v>
      </c>
      <c r="E868" t="s">
        <v>12</v>
      </c>
      <c r="F868" t="s">
        <v>33</v>
      </c>
      <c r="G868" t="s">
        <v>23</v>
      </c>
      <c r="H868">
        <v>85.48</v>
      </c>
      <c r="I868">
        <v>3674.73</v>
      </c>
      <c r="J868" t="s">
        <v>15</v>
      </c>
    </row>
    <row r="869" spans="1:10" x14ac:dyDescent="0.35">
      <c r="A869" t="s">
        <v>891</v>
      </c>
      <c r="B869" t="s">
        <v>17</v>
      </c>
      <c r="C869">
        <v>24</v>
      </c>
      <c r="D869">
        <v>7</v>
      </c>
      <c r="E869" t="s">
        <v>21</v>
      </c>
      <c r="F869" t="s">
        <v>33</v>
      </c>
      <c r="G869" t="s">
        <v>19</v>
      </c>
      <c r="H869">
        <v>127.79</v>
      </c>
      <c r="I869">
        <v>916.35</v>
      </c>
      <c r="J869" t="s">
        <v>15</v>
      </c>
    </row>
    <row r="870" spans="1:10" x14ac:dyDescent="0.35">
      <c r="A870" t="s">
        <v>892</v>
      </c>
      <c r="B870" t="s">
        <v>11</v>
      </c>
      <c r="C870">
        <v>26</v>
      </c>
      <c r="D870">
        <v>23</v>
      </c>
      <c r="E870" t="s">
        <v>12</v>
      </c>
      <c r="F870" t="s">
        <v>29</v>
      </c>
      <c r="G870" t="s">
        <v>19</v>
      </c>
      <c r="H870">
        <v>86.06</v>
      </c>
      <c r="I870">
        <v>2130.59</v>
      </c>
      <c r="J870" t="s">
        <v>15</v>
      </c>
    </row>
    <row r="871" spans="1:10" x14ac:dyDescent="0.35">
      <c r="A871" t="s">
        <v>893</v>
      </c>
      <c r="B871" t="s">
        <v>17</v>
      </c>
      <c r="C871">
        <v>68</v>
      </c>
      <c r="D871">
        <v>22</v>
      </c>
      <c r="E871" t="s">
        <v>18</v>
      </c>
      <c r="F871" t="s">
        <v>29</v>
      </c>
      <c r="G871" t="s">
        <v>23</v>
      </c>
      <c r="H871">
        <v>100.63</v>
      </c>
      <c r="I871">
        <v>2417.13</v>
      </c>
      <c r="J871" t="s">
        <v>15</v>
      </c>
    </row>
    <row r="872" spans="1:10" x14ac:dyDescent="0.35">
      <c r="A872" t="s">
        <v>894</v>
      </c>
      <c r="B872" t="s">
        <v>11</v>
      </c>
      <c r="C872">
        <v>65</v>
      </c>
      <c r="D872">
        <v>22</v>
      </c>
      <c r="E872" t="s">
        <v>18</v>
      </c>
      <c r="F872" t="s">
        <v>13</v>
      </c>
      <c r="G872" t="s">
        <v>23</v>
      </c>
      <c r="H872">
        <v>82.11</v>
      </c>
      <c r="I872">
        <v>1695.27</v>
      </c>
      <c r="J872" t="s">
        <v>15</v>
      </c>
    </row>
    <row r="873" spans="1:10" x14ac:dyDescent="0.35">
      <c r="A873" t="s">
        <v>895</v>
      </c>
      <c r="B873" t="s">
        <v>17</v>
      </c>
      <c r="C873">
        <v>25</v>
      </c>
      <c r="D873">
        <v>29</v>
      </c>
      <c r="E873" t="s">
        <v>18</v>
      </c>
      <c r="F873" t="s">
        <v>22</v>
      </c>
      <c r="G873" t="s">
        <v>19</v>
      </c>
      <c r="H873">
        <v>82.16</v>
      </c>
      <c r="I873">
        <v>2486.2199999999998</v>
      </c>
      <c r="J873" t="s">
        <v>15</v>
      </c>
    </row>
    <row r="874" spans="1:10" x14ac:dyDescent="0.35">
      <c r="A874" t="s">
        <v>896</v>
      </c>
      <c r="B874" t="s">
        <v>17</v>
      </c>
      <c r="C874">
        <v>67</v>
      </c>
      <c r="D874">
        <v>13</v>
      </c>
      <c r="E874" t="s">
        <v>18</v>
      </c>
      <c r="F874" t="s">
        <v>29</v>
      </c>
      <c r="G874" t="s">
        <v>23</v>
      </c>
      <c r="H874">
        <v>119.84</v>
      </c>
      <c r="I874">
        <v>1609.13</v>
      </c>
      <c r="J874" t="s">
        <v>15</v>
      </c>
    </row>
    <row r="875" spans="1:10" x14ac:dyDescent="0.35">
      <c r="A875" t="s">
        <v>897</v>
      </c>
      <c r="B875" t="s">
        <v>11</v>
      </c>
      <c r="C875">
        <v>40</v>
      </c>
      <c r="D875">
        <v>2</v>
      </c>
      <c r="E875" t="s">
        <v>12</v>
      </c>
      <c r="F875" t="s">
        <v>22</v>
      </c>
      <c r="G875" t="s">
        <v>14</v>
      </c>
      <c r="H875">
        <v>101.71</v>
      </c>
      <c r="I875">
        <v>197.05</v>
      </c>
      <c r="J875" t="s">
        <v>27</v>
      </c>
    </row>
    <row r="876" spans="1:10" x14ac:dyDescent="0.35">
      <c r="A876" t="s">
        <v>898</v>
      </c>
      <c r="B876" t="s">
        <v>17</v>
      </c>
      <c r="C876">
        <v>46</v>
      </c>
      <c r="D876">
        <v>29</v>
      </c>
      <c r="E876" t="s">
        <v>18</v>
      </c>
      <c r="F876" t="s">
        <v>22</v>
      </c>
      <c r="G876" t="s">
        <v>14</v>
      </c>
      <c r="H876">
        <v>102.32</v>
      </c>
      <c r="I876">
        <v>2681.89</v>
      </c>
      <c r="J876" t="s">
        <v>15</v>
      </c>
    </row>
    <row r="877" spans="1:10" x14ac:dyDescent="0.35">
      <c r="A877" t="s">
        <v>899</v>
      </c>
      <c r="B877" t="s">
        <v>11</v>
      </c>
      <c r="C877">
        <v>35</v>
      </c>
      <c r="D877">
        <v>52</v>
      </c>
      <c r="E877" t="s">
        <v>21</v>
      </c>
      <c r="F877" t="s">
        <v>29</v>
      </c>
      <c r="G877" t="s">
        <v>14</v>
      </c>
      <c r="H877">
        <v>78.540000000000006</v>
      </c>
      <c r="I877">
        <v>4239.1000000000004</v>
      </c>
      <c r="J877" t="s">
        <v>15</v>
      </c>
    </row>
    <row r="878" spans="1:10" x14ac:dyDescent="0.35">
      <c r="A878" t="s">
        <v>900</v>
      </c>
      <c r="B878" t="s">
        <v>17</v>
      </c>
      <c r="C878">
        <v>48</v>
      </c>
      <c r="D878">
        <v>27</v>
      </c>
      <c r="E878" t="s">
        <v>12</v>
      </c>
      <c r="F878" t="s">
        <v>22</v>
      </c>
      <c r="G878" t="s">
        <v>14</v>
      </c>
      <c r="H878">
        <v>89.04</v>
      </c>
      <c r="I878">
        <v>2618.2800000000002</v>
      </c>
      <c r="J878" t="s">
        <v>15</v>
      </c>
    </row>
    <row r="879" spans="1:10" x14ac:dyDescent="0.35">
      <c r="A879" t="s">
        <v>901</v>
      </c>
      <c r="B879" t="s">
        <v>17</v>
      </c>
      <c r="C879">
        <v>47</v>
      </c>
      <c r="D879">
        <v>50</v>
      </c>
      <c r="E879" t="s">
        <v>18</v>
      </c>
      <c r="F879" t="s">
        <v>33</v>
      </c>
      <c r="G879" t="s">
        <v>14</v>
      </c>
      <c r="H879">
        <v>116.94</v>
      </c>
      <c r="I879">
        <v>6001.5</v>
      </c>
      <c r="J879" t="s">
        <v>15</v>
      </c>
    </row>
    <row r="880" spans="1:10" x14ac:dyDescent="0.35">
      <c r="A880" t="s">
        <v>902</v>
      </c>
      <c r="B880" t="s">
        <v>11</v>
      </c>
      <c r="C880">
        <v>69</v>
      </c>
      <c r="D880">
        <v>23</v>
      </c>
      <c r="E880" t="s">
        <v>12</v>
      </c>
      <c r="F880" t="s">
        <v>29</v>
      </c>
      <c r="G880" t="s">
        <v>23</v>
      </c>
      <c r="H880">
        <v>127.37</v>
      </c>
      <c r="I880">
        <v>2891.6</v>
      </c>
      <c r="J880" t="s">
        <v>27</v>
      </c>
    </row>
    <row r="881" spans="1:10" x14ac:dyDescent="0.35">
      <c r="A881" t="s">
        <v>903</v>
      </c>
      <c r="B881" t="s">
        <v>11</v>
      </c>
      <c r="C881">
        <v>56</v>
      </c>
      <c r="D881">
        <v>44</v>
      </c>
      <c r="E881" t="s">
        <v>21</v>
      </c>
      <c r="F881" t="s">
        <v>29</v>
      </c>
      <c r="G881" t="s">
        <v>23</v>
      </c>
      <c r="H881">
        <v>110.55</v>
      </c>
      <c r="I881">
        <v>4888.67</v>
      </c>
      <c r="J881" t="s">
        <v>27</v>
      </c>
    </row>
    <row r="882" spans="1:10" x14ac:dyDescent="0.35">
      <c r="A882" t="s">
        <v>904</v>
      </c>
      <c r="B882" t="s">
        <v>11</v>
      </c>
      <c r="C882">
        <v>52</v>
      </c>
      <c r="D882">
        <v>22</v>
      </c>
      <c r="E882" t="s">
        <v>12</v>
      </c>
      <c r="F882" t="s">
        <v>13</v>
      </c>
      <c r="G882" t="s">
        <v>23</v>
      </c>
      <c r="H882">
        <v>140.13</v>
      </c>
      <c r="I882">
        <v>2897.66</v>
      </c>
      <c r="J882" t="s">
        <v>15</v>
      </c>
    </row>
    <row r="883" spans="1:10" x14ac:dyDescent="0.35">
      <c r="A883" t="s">
        <v>905</v>
      </c>
      <c r="B883" t="s">
        <v>17</v>
      </c>
      <c r="C883">
        <v>35</v>
      </c>
      <c r="D883">
        <v>43</v>
      </c>
      <c r="E883" t="s">
        <v>12</v>
      </c>
      <c r="F883" t="s">
        <v>33</v>
      </c>
      <c r="G883" t="s">
        <v>14</v>
      </c>
      <c r="H883">
        <v>126.64</v>
      </c>
      <c r="I883">
        <v>5718.39</v>
      </c>
      <c r="J883" t="s">
        <v>15</v>
      </c>
    </row>
    <row r="884" spans="1:10" x14ac:dyDescent="0.35">
      <c r="A884" t="s">
        <v>906</v>
      </c>
      <c r="B884" t="s">
        <v>11</v>
      </c>
      <c r="C884">
        <v>59</v>
      </c>
      <c r="D884">
        <v>37</v>
      </c>
      <c r="E884" t="s">
        <v>21</v>
      </c>
      <c r="F884" t="s">
        <v>33</v>
      </c>
      <c r="G884" t="s">
        <v>23</v>
      </c>
      <c r="H884">
        <v>93.04</v>
      </c>
      <c r="I884">
        <v>3612.14</v>
      </c>
      <c r="J884" t="s">
        <v>15</v>
      </c>
    </row>
    <row r="885" spans="1:10" x14ac:dyDescent="0.35">
      <c r="A885" t="s">
        <v>907</v>
      </c>
      <c r="B885" t="s">
        <v>17</v>
      </c>
      <c r="C885">
        <v>56</v>
      </c>
      <c r="D885">
        <v>61</v>
      </c>
      <c r="E885" t="s">
        <v>21</v>
      </c>
      <c r="F885" t="s">
        <v>13</v>
      </c>
      <c r="G885" t="s">
        <v>23</v>
      </c>
      <c r="H885">
        <v>107.28</v>
      </c>
      <c r="I885">
        <v>6080.13</v>
      </c>
      <c r="J885" t="s">
        <v>15</v>
      </c>
    </row>
    <row r="886" spans="1:10" x14ac:dyDescent="0.35">
      <c r="A886" t="s">
        <v>908</v>
      </c>
      <c r="B886" t="s">
        <v>17</v>
      </c>
      <c r="C886">
        <v>34</v>
      </c>
      <c r="D886">
        <v>56</v>
      </c>
      <c r="E886" t="s">
        <v>12</v>
      </c>
      <c r="F886" t="s">
        <v>22</v>
      </c>
      <c r="G886" t="s">
        <v>14</v>
      </c>
      <c r="H886">
        <v>140.41999999999999</v>
      </c>
      <c r="I886">
        <v>8457.9699999999993</v>
      </c>
      <c r="J886" t="s">
        <v>15</v>
      </c>
    </row>
    <row r="887" spans="1:10" x14ac:dyDescent="0.35">
      <c r="A887" t="s">
        <v>909</v>
      </c>
      <c r="B887" t="s">
        <v>11</v>
      </c>
      <c r="C887">
        <v>31</v>
      </c>
      <c r="D887">
        <v>3</v>
      </c>
      <c r="E887" t="s">
        <v>12</v>
      </c>
      <c r="F887" t="s">
        <v>13</v>
      </c>
      <c r="G887" t="s">
        <v>14</v>
      </c>
      <c r="H887">
        <v>100.49</v>
      </c>
      <c r="I887">
        <v>287.55</v>
      </c>
      <c r="J887" t="s">
        <v>27</v>
      </c>
    </row>
    <row r="888" spans="1:10" x14ac:dyDescent="0.35">
      <c r="A888" t="s">
        <v>910</v>
      </c>
      <c r="B888" t="s">
        <v>11</v>
      </c>
      <c r="C888">
        <v>48</v>
      </c>
      <c r="D888">
        <v>63</v>
      </c>
      <c r="E888" t="s">
        <v>18</v>
      </c>
      <c r="F888" t="s">
        <v>13</v>
      </c>
      <c r="G888" t="s">
        <v>14</v>
      </c>
      <c r="H888">
        <v>127.22</v>
      </c>
      <c r="I888">
        <v>8787.9</v>
      </c>
      <c r="J888" t="s">
        <v>15</v>
      </c>
    </row>
    <row r="889" spans="1:10" x14ac:dyDescent="0.35">
      <c r="A889" t="s">
        <v>911</v>
      </c>
      <c r="B889" t="s">
        <v>17</v>
      </c>
      <c r="C889">
        <v>41</v>
      </c>
      <c r="D889">
        <v>19</v>
      </c>
      <c r="E889" t="s">
        <v>12</v>
      </c>
      <c r="F889" t="s">
        <v>29</v>
      </c>
      <c r="G889" t="s">
        <v>14</v>
      </c>
      <c r="H889">
        <v>109.55</v>
      </c>
      <c r="I889">
        <v>2032.7</v>
      </c>
      <c r="J889" t="s">
        <v>27</v>
      </c>
    </row>
    <row r="890" spans="1:10" x14ac:dyDescent="0.35">
      <c r="A890" t="s">
        <v>912</v>
      </c>
      <c r="B890" t="s">
        <v>17</v>
      </c>
      <c r="C890">
        <v>52</v>
      </c>
      <c r="D890">
        <v>23</v>
      </c>
      <c r="E890" t="s">
        <v>12</v>
      </c>
      <c r="F890" t="s">
        <v>29</v>
      </c>
      <c r="G890" t="s">
        <v>23</v>
      </c>
      <c r="H890">
        <v>91.75</v>
      </c>
      <c r="I890">
        <v>1974.3</v>
      </c>
      <c r="J890" t="s">
        <v>27</v>
      </c>
    </row>
    <row r="891" spans="1:10" x14ac:dyDescent="0.35">
      <c r="A891" t="s">
        <v>913</v>
      </c>
      <c r="B891" t="s">
        <v>11</v>
      </c>
      <c r="C891">
        <v>61</v>
      </c>
      <c r="D891">
        <v>29</v>
      </c>
      <c r="E891" t="s">
        <v>18</v>
      </c>
      <c r="F891" t="s">
        <v>29</v>
      </c>
      <c r="G891" t="s">
        <v>23</v>
      </c>
      <c r="H891">
        <v>51.44</v>
      </c>
      <c r="I891">
        <v>1447.52</v>
      </c>
      <c r="J891" t="s">
        <v>15</v>
      </c>
    </row>
    <row r="892" spans="1:10" x14ac:dyDescent="0.35">
      <c r="A892" t="s">
        <v>914</v>
      </c>
      <c r="B892" t="s">
        <v>11</v>
      </c>
      <c r="C892">
        <v>62</v>
      </c>
      <c r="D892">
        <v>30</v>
      </c>
      <c r="E892" t="s">
        <v>18</v>
      </c>
      <c r="F892" t="s">
        <v>13</v>
      </c>
      <c r="G892" t="s">
        <v>23</v>
      </c>
      <c r="H892">
        <v>75.38</v>
      </c>
      <c r="I892">
        <v>2234.34</v>
      </c>
      <c r="J892" t="s">
        <v>15</v>
      </c>
    </row>
    <row r="893" spans="1:10" x14ac:dyDescent="0.35">
      <c r="A893" t="s">
        <v>915</v>
      </c>
      <c r="B893" t="s">
        <v>11</v>
      </c>
      <c r="C893">
        <v>51</v>
      </c>
      <c r="D893">
        <v>39</v>
      </c>
      <c r="E893" t="s">
        <v>12</v>
      </c>
      <c r="F893" t="s">
        <v>29</v>
      </c>
      <c r="G893" t="s">
        <v>23</v>
      </c>
      <c r="H893">
        <v>145.81</v>
      </c>
      <c r="I893">
        <v>5196.76</v>
      </c>
      <c r="J893" t="s">
        <v>27</v>
      </c>
    </row>
    <row r="894" spans="1:10" x14ac:dyDescent="0.35">
      <c r="A894" t="s">
        <v>916</v>
      </c>
      <c r="B894" t="s">
        <v>11</v>
      </c>
      <c r="C894">
        <v>20</v>
      </c>
      <c r="D894">
        <v>25</v>
      </c>
      <c r="E894" t="s">
        <v>21</v>
      </c>
      <c r="F894" t="s">
        <v>33</v>
      </c>
      <c r="G894" t="s">
        <v>19</v>
      </c>
      <c r="H894">
        <v>105.51</v>
      </c>
      <c r="I894">
        <v>2679.01</v>
      </c>
      <c r="J894" t="s">
        <v>15</v>
      </c>
    </row>
    <row r="895" spans="1:10" x14ac:dyDescent="0.35">
      <c r="A895" t="s">
        <v>917</v>
      </c>
      <c r="B895" t="s">
        <v>11</v>
      </c>
      <c r="C895">
        <v>54</v>
      </c>
      <c r="D895">
        <v>8</v>
      </c>
      <c r="E895" t="s">
        <v>18</v>
      </c>
      <c r="F895" t="s">
        <v>29</v>
      </c>
      <c r="G895" t="s">
        <v>23</v>
      </c>
      <c r="H895">
        <v>93.37</v>
      </c>
      <c r="I895">
        <v>761.55</v>
      </c>
      <c r="J895" t="s">
        <v>27</v>
      </c>
    </row>
    <row r="896" spans="1:10" x14ac:dyDescent="0.35">
      <c r="A896" t="s">
        <v>918</v>
      </c>
      <c r="B896" t="s">
        <v>17</v>
      </c>
      <c r="C896">
        <v>60</v>
      </c>
      <c r="D896">
        <v>58</v>
      </c>
      <c r="E896" t="s">
        <v>18</v>
      </c>
      <c r="F896" t="s">
        <v>29</v>
      </c>
      <c r="G896" t="s">
        <v>23</v>
      </c>
      <c r="H896">
        <v>141.28</v>
      </c>
      <c r="I896">
        <v>8585.81</v>
      </c>
      <c r="J896" t="s">
        <v>15</v>
      </c>
    </row>
    <row r="897" spans="1:10" x14ac:dyDescent="0.35">
      <c r="A897" t="s">
        <v>919</v>
      </c>
      <c r="B897" t="s">
        <v>17</v>
      </c>
      <c r="C897">
        <v>57</v>
      </c>
      <c r="D897">
        <v>16</v>
      </c>
      <c r="E897" t="s">
        <v>12</v>
      </c>
      <c r="F897" t="s">
        <v>13</v>
      </c>
      <c r="G897" t="s">
        <v>23</v>
      </c>
      <c r="H897">
        <v>96.25</v>
      </c>
      <c r="I897">
        <v>1394.98</v>
      </c>
      <c r="J897" t="s">
        <v>27</v>
      </c>
    </row>
    <row r="898" spans="1:10" x14ac:dyDescent="0.35">
      <c r="A898" t="s">
        <v>920</v>
      </c>
      <c r="B898" t="s">
        <v>17</v>
      </c>
      <c r="C898">
        <v>43</v>
      </c>
      <c r="D898">
        <v>72</v>
      </c>
      <c r="E898" t="s">
        <v>12</v>
      </c>
      <c r="G898" t="s">
        <v>14</v>
      </c>
      <c r="H898">
        <v>88.39</v>
      </c>
      <c r="I898">
        <v>6416.57</v>
      </c>
      <c r="J898" t="s">
        <v>15</v>
      </c>
    </row>
    <row r="899" spans="1:10" x14ac:dyDescent="0.35">
      <c r="A899" t="s">
        <v>921</v>
      </c>
      <c r="B899" t="s">
        <v>17</v>
      </c>
      <c r="C899">
        <v>40</v>
      </c>
      <c r="D899">
        <v>1</v>
      </c>
      <c r="E899" t="s">
        <v>12</v>
      </c>
      <c r="F899" t="s">
        <v>29</v>
      </c>
      <c r="G899" t="s">
        <v>14</v>
      </c>
      <c r="H899">
        <v>118.71</v>
      </c>
      <c r="I899">
        <v>108.1</v>
      </c>
      <c r="J899" t="s">
        <v>15</v>
      </c>
    </row>
    <row r="900" spans="1:10" x14ac:dyDescent="0.35">
      <c r="A900" t="s">
        <v>922</v>
      </c>
      <c r="B900" t="s">
        <v>11</v>
      </c>
      <c r="C900">
        <v>61</v>
      </c>
      <c r="D900">
        <v>5</v>
      </c>
      <c r="E900" t="s">
        <v>12</v>
      </c>
      <c r="F900" t="s">
        <v>29</v>
      </c>
      <c r="G900" t="s">
        <v>23</v>
      </c>
      <c r="H900">
        <v>112.65</v>
      </c>
      <c r="I900">
        <v>585.91</v>
      </c>
      <c r="J900" t="s">
        <v>27</v>
      </c>
    </row>
    <row r="901" spans="1:10" x14ac:dyDescent="0.35">
      <c r="A901" t="s">
        <v>923</v>
      </c>
      <c r="B901" t="s">
        <v>11</v>
      </c>
      <c r="C901">
        <v>56</v>
      </c>
      <c r="D901">
        <v>3</v>
      </c>
      <c r="E901" t="s">
        <v>21</v>
      </c>
      <c r="F901" t="s">
        <v>33</v>
      </c>
      <c r="G901" t="s">
        <v>23</v>
      </c>
      <c r="H901">
        <v>45.11</v>
      </c>
      <c r="I901">
        <v>123.31</v>
      </c>
      <c r="J901" t="s">
        <v>27</v>
      </c>
    </row>
    <row r="902" spans="1:10" x14ac:dyDescent="0.35">
      <c r="A902" t="s">
        <v>924</v>
      </c>
      <c r="B902" t="s">
        <v>11</v>
      </c>
      <c r="C902">
        <v>32</v>
      </c>
      <c r="D902">
        <v>65</v>
      </c>
      <c r="E902" t="s">
        <v>12</v>
      </c>
      <c r="F902" t="s">
        <v>29</v>
      </c>
      <c r="G902" t="s">
        <v>14</v>
      </c>
      <c r="H902">
        <v>81.27</v>
      </c>
      <c r="I902">
        <v>5717.54</v>
      </c>
      <c r="J902" t="s">
        <v>27</v>
      </c>
    </row>
    <row r="903" spans="1:10" x14ac:dyDescent="0.35">
      <c r="A903" t="s">
        <v>925</v>
      </c>
      <c r="B903" t="s">
        <v>17</v>
      </c>
      <c r="C903">
        <v>66</v>
      </c>
      <c r="D903">
        <v>4</v>
      </c>
      <c r="E903" t="s">
        <v>21</v>
      </c>
      <c r="F903" t="s">
        <v>29</v>
      </c>
      <c r="G903" t="s">
        <v>23</v>
      </c>
      <c r="H903">
        <v>81.430000000000007</v>
      </c>
      <c r="I903">
        <v>338.88</v>
      </c>
      <c r="J903" t="s">
        <v>15</v>
      </c>
    </row>
    <row r="904" spans="1:10" x14ac:dyDescent="0.35">
      <c r="A904" t="s">
        <v>926</v>
      </c>
      <c r="B904" t="s">
        <v>17</v>
      </c>
      <c r="C904">
        <v>21</v>
      </c>
      <c r="D904">
        <v>64</v>
      </c>
      <c r="E904" t="s">
        <v>12</v>
      </c>
      <c r="F904" t="s">
        <v>33</v>
      </c>
      <c r="G904" t="s">
        <v>19</v>
      </c>
      <c r="H904">
        <v>69.17</v>
      </c>
      <c r="I904">
        <v>4433.42</v>
      </c>
      <c r="J904" t="s">
        <v>15</v>
      </c>
    </row>
    <row r="905" spans="1:10" x14ac:dyDescent="0.35">
      <c r="A905" t="s">
        <v>927</v>
      </c>
      <c r="B905" t="s">
        <v>11</v>
      </c>
      <c r="C905">
        <v>46</v>
      </c>
      <c r="D905">
        <v>10</v>
      </c>
      <c r="E905" t="s">
        <v>12</v>
      </c>
      <c r="F905" t="s">
        <v>29</v>
      </c>
      <c r="G905" t="s">
        <v>14</v>
      </c>
      <c r="H905">
        <v>87.25</v>
      </c>
      <c r="I905">
        <v>862.29</v>
      </c>
      <c r="J905" t="s">
        <v>27</v>
      </c>
    </row>
    <row r="906" spans="1:10" x14ac:dyDescent="0.35">
      <c r="A906" t="s">
        <v>928</v>
      </c>
      <c r="B906" t="s">
        <v>11</v>
      </c>
      <c r="C906">
        <v>39</v>
      </c>
      <c r="D906">
        <v>21</v>
      </c>
      <c r="E906" t="s">
        <v>18</v>
      </c>
      <c r="F906" t="s">
        <v>13</v>
      </c>
      <c r="G906" t="s">
        <v>14</v>
      </c>
      <c r="H906">
        <v>73.7</v>
      </c>
      <c r="I906">
        <v>1433.38</v>
      </c>
      <c r="J906" t="s">
        <v>15</v>
      </c>
    </row>
    <row r="907" spans="1:10" x14ac:dyDescent="0.35">
      <c r="A907" t="s">
        <v>929</v>
      </c>
      <c r="B907" t="s">
        <v>17</v>
      </c>
      <c r="C907">
        <v>42</v>
      </c>
      <c r="D907">
        <v>46</v>
      </c>
      <c r="E907" t="s">
        <v>12</v>
      </c>
      <c r="F907" t="s">
        <v>13</v>
      </c>
      <c r="G907" t="s">
        <v>14</v>
      </c>
      <c r="H907">
        <v>45.91</v>
      </c>
      <c r="I907">
        <v>2023.58</v>
      </c>
      <c r="J907" t="s">
        <v>27</v>
      </c>
    </row>
    <row r="908" spans="1:10" x14ac:dyDescent="0.35">
      <c r="A908" t="s">
        <v>930</v>
      </c>
      <c r="B908" t="s">
        <v>17</v>
      </c>
      <c r="C908">
        <v>30</v>
      </c>
      <c r="D908">
        <v>27</v>
      </c>
      <c r="E908" t="s">
        <v>12</v>
      </c>
      <c r="F908" t="s">
        <v>29</v>
      </c>
      <c r="G908" t="s">
        <v>14</v>
      </c>
      <c r="H908">
        <v>73.61</v>
      </c>
      <c r="I908">
        <v>2134.13</v>
      </c>
      <c r="J908" t="s">
        <v>15</v>
      </c>
    </row>
    <row r="909" spans="1:10" x14ac:dyDescent="0.35">
      <c r="A909" t="s">
        <v>931</v>
      </c>
      <c r="B909" t="s">
        <v>11</v>
      </c>
      <c r="C909">
        <v>35</v>
      </c>
      <c r="D909">
        <v>66</v>
      </c>
      <c r="E909" t="s">
        <v>18</v>
      </c>
      <c r="F909" t="s">
        <v>29</v>
      </c>
      <c r="G909" t="s">
        <v>14</v>
      </c>
      <c r="H909">
        <v>29.4</v>
      </c>
      <c r="I909">
        <v>2097.36</v>
      </c>
      <c r="J909" t="s">
        <v>15</v>
      </c>
    </row>
    <row r="910" spans="1:10" x14ac:dyDescent="0.35">
      <c r="A910" t="s">
        <v>932</v>
      </c>
      <c r="B910" t="s">
        <v>11</v>
      </c>
      <c r="C910">
        <v>50</v>
      </c>
      <c r="D910">
        <v>41</v>
      </c>
      <c r="E910" t="s">
        <v>12</v>
      </c>
      <c r="F910" t="s">
        <v>29</v>
      </c>
      <c r="G910" t="s">
        <v>23</v>
      </c>
      <c r="H910">
        <v>94.85</v>
      </c>
      <c r="I910">
        <v>3500.55</v>
      </c>
      <c r="J910" t="s">
        <v>15</v>
      </c>
    </row>
    <row r="911" spans="1:10" x14ac:dyDescent="0.35">
      <c r="A911" t="s">
        <v>933</v>
      </c>
      <c r="B911" t="s">
        <v>17</v>
      </c>
      <c r="C911">
        <v>33</v>
      </c>
      <c r="D911">
        <v>13</v>
      </c>
      <c r="E911" t="s">
        <v>21</v>
      </c>
      <c r="F911" t="s">
        <v>29</v>
      </c>
      <c r="G911" t="s">
        <v>14</v>
      </c>
      <c r="H911">
        <v>130.97999999999999</v>
      </c>
      <c r="I911">
        <v>1734.8</v>
      </c>
      <c r="J911" t="s">
        <v>15</v>
      </c>
    </row>
    <row r="912" spans="1:10" x14ac:dyDescent="0.35">
      <c r="A912" t="s">
        <v>934</v>
      </c>
      <c r="B912" t="s">
        <v>11</v>
      </c>
      <c r="C912">
        <v>62</v>
      </c>
      <c r="D912">
        <v>9</v>
      </c>
      <c r="E912" t="s">
        <v>21</v>
      </c>
      <c r="F912" t="s">
        <v>29</v>
      </c>
      <c r="G912" t="s">
        <v>23</v>
      </c>
      <c r="H912">
        <v>114.29</v>
      </c>
      <c r="I912">
        <v>1073.72</v>
      </c>
      <c r="J912" t="s">
        <v>15</v>
      </c>
    </row>
    <row r="913" spans="1:10" x14ac:dyDescent="0.35">
      <c r="A913" t="s">
        <v>935</v>
      </c>
      <c r="B913" t="s">
        <v>11</v>
      </c>
      <c r="C913">
        <v>59</v>
      </c>
      <c r="D913">
        <v>36</v>
      </c>
      <c r="E913" t="s">
        <v>12</v>
      </c>
      <c r="F913" t="s">
        <v>22</v>
      </c>
      <c r="G913" t="s">
        <v>23</v>
      </c>
      <c r="H913">
        <v>66.849999999999994</v>
      </c>
      <c r="I913">
        <v>2463.7600000000002</v>
      </c>
      <c r="J913" t="s">
        <v>15</v>
      </c>
    </row>
    <row r="914" spans="1:10" x14ac:dyDescent="0.35">
      <c r="A914" t="s">
        <v>936</v>
      </c>
      <c r="B914" t="s">
        <v>11</v>
      </c>
      <c r="C914">
        <v>61</v>
      </c>
      <c r="D914">
        <v>58</v>
      </c>
      <c r="E914" t="s">
        <v>18</v>
      </c>
      <c r="F914" t="s">
        <v>13</v>
      </c>
      <c r="G914" t="s">
        <v>23</v>
      </c>
      <c r="H914">
        <v>31.32</v>
      </c>
      <c r="I914">
        <v>1664.58</v>
      </c>
      <c r="J914" t="s">
        <v>15</v>
      </c>
    </row>
    <row r="915" spans="1:10" x14ac:dyDescent="0.35">
      <c r="A915" t="s">
        <v>937</v>
      </c>
      <c r="B915" t="s">
        <v>17</v>
      </c>
      <c r="C915">
        <v>19</v>
      </c>
      <c r="D915">
        <v>54</v>
      </c>
      <c r="E915" t="s">
        <v>12</v>
      </c>
      <c r="F915" t="s">
        <v>13</v>
      </c>
      <c r="G915" t="s">
        <v>19</v>
      </c>
      <c r="H915">
        <v>46.28</v>
      </c>
      <c r="I915">
        <v>2358.0300000000002</v>
      </c>
      <c r="J915" t="s">
        <v>15</v>
      </c>
    </row>
    <row r="916" spans="1:10" x14ac:dyDescent="0.35">
      <c r="A916" t="s">
        <v>938</v>
      </c>
      <c r="B916" t="s">
        <v>17</v>
      </c>
      <c r="C916">
        <v>52</v>
      </c>
      <c r="D916">
        <v>12</v>
      </c>
      <c r="E916" t="s">
        <v>12</v>
      </c>
      <c r="F916" t="s">
        <v>33</v>
      </c>
      <c r="G916" t="s">
        <v>23</v>
      </c>
      <c r="H916">
        <v>90.91</v>
      </c>
      <c r="I916">
        <v>1036.45</v>
      </c>
      <c r="J916" t="s">
        <v>27</v>
      </c>
    </row>
    <row r="917" spans="1:10" x14ac:dyDescent="0.35">
      <c r="A917" t="s">
        <v>939</v>
      </c>
      <c r="B917" t="s">
        <v>17</v>
      </c>
      <c r="C917">
        <v>59</v>
      </c>
      <c r="D917">
        <v>14</v>
      </c>
      <c r="E917" t="s">
        <v>12</v>
      </c>
      <c r="F917" t="s">
        <v>22</v>
      </c>
      <c r="G917" t="s">
        <v>23</v>
      </c>
      <c r="H917">
        <v>46.92</v>
      </c>
      <c r="I917">
        <v>700.46</v>
      </c>
      <c r="J917" t="s">
        <v>27</v>
      </c>
    </row>
    <row r="918" spans="1:10" x14ac:dyDescent="0.35">
      <c r="A918" t="s">
        <v>940</v>
      </c>
      <c r="B918" t="s">
        <v>17</v>
      </c>
      <c r="C918">
        <v>51</v>
      </c>
      <c r="D918">
        <v>34</v>
      </c>
      <c r="E918" t="s">
        <v>12</v>
      </c>
      <c r="F918" t="s">
        <v>29</v>
      </c>
      <c r="G918" t="s">
        <v>23</v>
      </c>
      <c r="H918">
        <v>90.72</v>
      </c>
      <c r="I918">
        <v>3061.78</v>
      </c>
      <c r="J918" t="s">
        <v>15</v>
      </c>
    </row>
    <row r="919" spans="1:10" x14ac:dyDescent="0.35">
      <c r="A919" t="s">
        <v>941</v>
      </c>
      <c r="B919" t="s">
        <v>17</v>
      </c>
      <c r="C919">
        <v>47</v>
      </c>
      <c r="D919">
        <v>53</v>
      </c>
      <c r="E919" t="s">
        <v>18</v>
      </c>
      <c r="F919" t="s">
        <v>33</v>
      </c>
      <c r="G919" t="s">
        <v>14</v>
      </c>
      <c r="H919">
        <v>50.11</v>
      </c>
      <c r="I919">
        <v>2648.83</v>
      </c>
      <c r="J919" t="s">
        <v>15</v>
      </c>
    </row>
    <row r="920" spans="1:10" x14ac:dyDescent="0.35">
      <c r="A920" t="s">
        <v>942</v>
      </c>
      <c r="B920" t="s">
        <v>17</v>
      </c>
      <c r="C920">
        <v>30</v>
      </c>
      <c r="D920">
        <v>20</v>
      </c>
      <c r="E920" t="s">
        <v>12</v>
      </c>
      <c r="F920" t="s">
        <v>29</v>
      </c>
      <c r="G920" t="s">
        <v>14</v>
      </c>
      <c r="H920">
        <v>130.36000000000001</v>
      </c>
      <c r="I920">
        <v>2833.97</v>
      </c>
      <c r="J920" t="s">
        <v>15</v>
      </c>
    </row>
    <row r="921" spans="1:10" x14ac:dyDescent="0.35">
      <c r="A921" t="s">
        <v>943</v>
      </c>
      <c r="B921" t="s">
        <v>17</v>
      </c>
      <c r="C921">
        <v>30</v>
      </c>
      <c r="D921">
        <v>16</v>
      </c>
      <c r="E921" t="s">
        <v>12</v>
      </c>
      <c r="F921" t="s">
        <v>29</v>
      </c>
      <c r="G921" t="s">
        <v>14</v>
      </c>
      <c r="H921">
        <v>71.650000000000006</v>
      </c>
      <c r="I921">
        <v>1177.83</v>
      </c>
      <c r="J921" t="s">
        <v>15</v>
      </c>
    </row>
    <row r="922" spans="1:10" x14ac:dyDescent="0.35">
      <c r="A922" t="s">
        <v>944</v>
      </c>
      <c r="B922" t="s">
        <v>11</v>
      </c>
      <c r="C922">
        <v>35</v>
      </c>
      <c r="D922">
        <v>70</v>
      </c>
      <c r="E922" t="s">
        <v>12</v>
      </c>
      <c r="F922" t="s">
        <v>22</v>
      </c>
      <c r="G922" t="s">
        <v>14</v>
      </c>
      <c r="H922">
        <v>51.92</v>
      </c>
      <c r="I922">
        <v>3924.18</v>
      </c>
      <c r="J922" t="s">
        <v>15</v>
      </c>
    </row>
    <row r="923" spans="1:10" x14ac:dyDescent="0.35">
      <c r="A923" t="s">
        <v>945</v>
      </c>
      <c r="B923" t="s">
        <v>11</v>
      </c>
      <c r="C923">
        <v>49</v>
      </c>
      <c r="D923">
        <v>56</v>
      </c>
      <c r="E923" t="s">
        <v>21</v>
      </c>
      <c r="F923" t="s">
        <v>13</v>
      </c>
      <c r="G923" t="s">
        <v>14</v>
      </c>
      <c r="H923">
        <v>125.6</v>
      </c>
      <c r="I923">
        <v>6972.42</v>
      </c>
      <c r="J923" t="s">
        <v>15</v>
      </c>
    </row>
    <row r="924" spans="1:10" x14ac:dyDescent="0.35">
      <c r="A924" t="s">
        <v>946</v>
      </c>
      <c r="B924" t="s">
        <v>11</v>
      </c>
      <c r="C924">
        <v>49</v>
      </c>
      <c r="D924">
        <v>58</v>
      </c>
      <c r="E924" t="s">
        <v>12</v>
      </c>
      <c r="F924" t="s">
        <v>13</v>
      </c>
      <c r="G924" t="s">
        <v>14</v>
      </c>
      <c r="H924">
        <v>64.569999999999993</v>
      </c>
      <c r="I924">
        <v>3482.48</v>
      </c>
      <c r="J924" t="s">
        <v>15</v>
      </c>
    </row>
    <row r="925" spans="1:10" x14ac:dyDescent="0.35">
      <c r="A925" t="s">
        <v>947</v>
      </c>
      <c r="B925" t="s">
        <v>11</v>
      </c>
      <c r="C925">
        <v>52</v>
      </c>
      <c r="D925">
        <v>4</v>
      </c>
      <c r="E925" t="s">
        <v>12</v>
      </c>
      <c r="F925" t="s">
        <v>29</v>
      </c>
      <c r="G925" t="s">
        <v>23</v>
      </c>
      <c r="H925">
        <v>34.49</v>
      </c>
      <c r="I925">
        <v>149.82</v>
      </c>
      <c r="J925" t="s">
        <v>15</v>
      </c>
    </row>
    <row r="926" spans="1:10" x14ac:dyDescent="0.35">
      <c r="A926" t="s">
        <v>948</v>
      </c>
      <c r="B926" t="s">
        <v>11</v>
      </c>
      <c r="C926">
        <v>56</v>
      </c>
      <c r="D926">
        <v>4</v>
      </c>
      <c r="E926" t="s">
        <v>21</v>
      </c>
      <c r="F926" t="s">
        <v>13</v>
      </c>
      <c r="G926" t="s">
        <v>23</v>
      </c>
      <c r="H926">
        <v>94.15</v>
      </c>
      <c r="I926">
        <v>373.49</v>
      </c>
      <c r="J926" t="s">
        <v>15</v>
      </c>
    </row>
    <row r="927" spans="1:10" x14ac:dyDescent="0.35">
      <c r="A927" t="s">
        <v>949</v>
      </c>
      <c r="B927" t="s">
        <v>11</v>
      </c>
      <c r="C927">
        <v>63</v>
      </c>
      <c r="D927">
        <v>20</v>
      </c>
      <c r="E927" t="s">
        <v>12</v>
      </c>
      <c r="F927" t="s">
        <v>29</v>
      </c>
      <c r="G927" t="s">
        <v>23</v>
      </c>
      <c r="H927">
        <v>95.6</v>
      </c>
      <c r="I927">
        <v>1790.26</v>
      </c>
      <c r="J927" t="s">
        <v>27</v>
      </c>
    </row>
    <row r="928" spans="1:10" x14ac:dyDescent="0.35">
      <c r="A928" t="s">
        <v>950</v>
      </c>
      <c r="B928" t="s">
        <v>11</v>
      </c>
      <c r="C928">
        <v>69</v>
      </c>
      <c r="D928">
        <v>10</v>
      </c>
      <c r="E928" t="s">
        <v>12</v>
      </c>
      <c r="F928" t="s">
        <v>33</v>
      </c>
      <c r="G928" t="s">
        <v>23</v>
      </c>
      <c r="H928">
        <v>112.91</v>
      </c>
      <c r="I928">
        <v>1084.48</v>
      </c>
      <c r="J928" t="s">
        <v>15</v>
      </c>
    </row>
    <row r="929" spans="1:10" x14ac:dyDescent="0.35">
      <c r="A929" t="s">
        <v>951</v>
      </c>
      <c r="B929" t="s">
        <v>17</v>
      </c>
      <c r="C929">
        <v>46</v>
      </c>
      <c r="D929">
        <v>24</v>
      </c>
      <c r="E929" t="s">
        <v>12</v>
      </c>
      <c r="F929" t="s">
        <v>29</v>
      </c>
      <c r="G929" t="s">
        <v>14</v>
      </c>
      <c r="H929">
        <v>51.23</v>
      </c>
      <c r="I929">
        <v>1119.06</v>
      </c>
      <c r="J929" t="s">
        <v>15</v>
      </c>
    </row>
    <row r="930" spans="1:10" x14ac:dyDescent="0.35">
      <c r="A930" t="s">
        <v>952</v>
      </c>
      <c r="B930" t="s">
        <v>17</v>
      </c>
      <c r="C930">
        <v>66</v>
      </c>
      <c r="D930">
        <v>26</v>
      </c>
      <c r="E930" t="s">
        <v>12</v>
      </c>
      <c r="F930" t="s">
        <v>33</v>
      </c>
      <c r="G930" t="s">
        <v>23</v>
      </c>
      <c r="H930">
        <v>77.69</v>
      </c>
      <c r="I930">
        <v>2007.13</v>
      </c>
      <c r="J930" t="s">
        <v>15</v>
      </c>
    </row>
    <row r="931" spans="1:10" x14ac:dyDescent="0.35">
      <c r="A931" t="s">
        <v>953</v>
      </c>
      <c r="B931" t="s">
        <v>11</v>
      </c>
      <c r="C931">
        <v>46</v>
      </c>
      <c r="D931">
        <v>37</v>
      </c>
      <c r="E931" t="s">
        <v>18</v>
      </c>
      <c r="F931" t="s">
        <v>13</v>
      </c>
      <c r="G931" t="s">
        <v>14</v>
      </c>
      <c r="H931">
        <v>56.71</v>
      </c>
      <c r="I931">
        <v>2246.46</v>
      </c>
      <c r="J931" t="s">
        <v>27</v>
      </c>
    </row>
    <row r="932" spans="1:10" x14ac:dyDescent="0.35">
      <c r="A932" t="s">
        <v>954</v>
      </c>
      <c r="B932" t="s">
        <v>11</v>
      </c>
      <c r="C932">
        <v>70</v>
      </c>
      <c r="D932">
        <v>54</v>
      </c>
      <c r="E932" t="s">
        <v>12</v>
      </c>
      <c r="F932" t="s">
        <v>33</v>
      </c>
      <c r="G932" t="s">
        <v>23</v>
      </c>
      <c r="H932">
        <v>30.52</v>
      </c>
      <c r="I932">
        <v>1791</v>
      </c>
      <c r="J932" t="s">
        <v>27</v>
      </c>
    </row>
    <row r="933" spans="1:10" x14ac:dyDescent="0.35">
      <c r="A933" t="s">
        <v>955</v>
      </c>
      <c r="B933" t="s">
        <v>17</v>
      </c>
      <c r="C933">
        <v>61</v>
      </c>
      <c r="D933">
        <v>21</v>
      </c>
      <c r="E933" t="s">
        <v>12</v>
      </c>
      <c r="F933" t="s">
        <v>22</v>
      </c>
      <c r="G933" t="s">
        <v>23</v>
      </c>
      <c r="H933">
        <v>133.96</v>
      </c>
      <c r="I933">
        <v>3056.56</v>
      </c>
      <c r="J933" t="s">
        <v>15</v>
      </c>
    </row>
    <row r="934" spans="1:10" x14ac:dyDescent="0.35">
      <c r="A934" t="s">
        <v>956</v>
      </c>
      <c r="B934" t="s">
        <v>11</v>
      </c>
      <c r="C934">
        <v>33</v>
      </c>
      <c r="D934">
        <v>38</v>
      </c>
      <c r="E934" t="s">
        <v>12</v>
      </c>
      <c r="F934" t="s">
        <v>22</v>
      </c>
      <c r="G934" t="s">
        <v>14</v>
      </c>
      <c r="H934">
        <v>114.75</v>
      </c>
      <c r="I934">
        <v>4033.66</v>
      </c>
      <c r="J934" t="s">
        <v>15</v>
      </c>
    </row>
    <row r="935" spans="1:10" x14ac:dyDescent="0.35">
      <c r="A935" t="s">
        <v>957</v>
      </c>
      <c r="B935" t="s">
        <v>11</v>
      </c>
      <c r="C935">
        <v>61</v>
      </c>
      <c r="D935">
        <v>46</v>
      </c>
      <c r="E935" t="s">
        <v>21</v>
      </c>
      <c r="F935" t="s">
        <v>29</v>
      </c>
      <c r="G935" t="s">
        <v>23</v>
      </c>
      <c r="H935">
        <v>59.19</v>
      </c>
      <c r="I935">
        <v>2658.51</v>
      </c>
      <c r="J935" t="s">
        <v>15</v>
      </c>
    </row>
    <row r="936" spans="1:10" x14ac:dyDescent="0.35">
      <c r="A936" t="s">
        <v>958</v>
      </c>
      <c r="B936" t="s">
        <v>17</v>
      </c>
      <c r="C936">
        <v>64</v>
      </c>
      <c r="D936">
        <v>4</v>
      </c>
      <c r="E936" t="s">
        <v>21</v>
      </c>
      <c r="F936" t="s">
        <v>29</v>
      </c>
      <c r="G936" t="s">
        <v>23</v>
      </c>
      <c r="H936">
        <v>97.92</v>
      </c>
      <c r="I936">
        <v>354.72</v>
      </c>
      <c r="J936" t="s">
        <v>15</v>
      </c>
    </row>
    <row r="937" spans="1:10" x14ac:dyDescent="0.35">
      <c r="A937" t="s">
        <v>959</v>
      </c>
      <c r="B937" t="s">
        <v>11</v>
      </c>
      <c r="C937">
        <v>27</v>
      </c>
      <c r="D937">
        <v>60</v>
      </c>
      <c r="E937" t="s">
        <v>12</v>
      </c>
      <c r="F937" t="s">
        <v>29</v>
      </c>
      <c r="G937" t="s">
        <v>19</v>
      </c>
      <c r="H937">
        <v>46.16</v>
      </c>
      <c r="I937">
        <v>2966.33</v>
      </c>
      <c r="J937" t="s">
        <v>15</v>
      </c>
    </row>
    <row r="938" spans="1:10" x14ac:dyDescent="0.35">
      <c r="A938" t="s">
        <v>960</v>
      </c>
      <c r="B938" t="s">
        <v>17</v>
      </c>
      <c r="C938">
        <v>47</v>
      </c>
      <c r="D938">
        <v>57</v>
      </c>
      <c r="E938" t="s">
        <v>21</v>
      </c>
      <c r="F938" t="s">
        <v>33</v>
      </c>
      <c r="G938" t="s">
        <v>14</v>
      </c>
      <c r="H938">
        <v>135.72999999999999</v>
      </c>
      <c r="I938">
        <v>7518.06</v>
      </c>
      <c r="J938" t="s">
        <v>15</v>
      </c>
    </row>
    <row r="939" spans="1:10" x14ac:dyDescent="0.35">
      <c r="A939" t="s">
        <v>961</v>
      </c>
      <c r="B939" t="s">
        <v>11</v>
      </c>
      <c r="C939">
        <v>42</v>
      </c>
      <c r="D939">
        <v>45</v>
      </c>
      <c r="E939" t="s">
        <v>21</v>
      </c>
      <c r="F939" t="s">
        <v>33</v>
      </c>
      <c r="G939" t="s">
        <v>14</v>
      </c>
      <c r="H939">
        <v>34.94</v>
      </c>
      <c r="I939">
        <v>1613.53</v>
      </c>
      <c r="J939" t="s">
        <v>27</v>
      </c>
    </row>
    <row r="940" spans="1:10" x14ac:dyDescent="0.35">
      <c r="A940" t="s">
        <v>962</v>
      </c>
      <c r="B940" t="s">
        <v>17</v>
      </c>
      <c r="C940">
        <v>56</v>
      </c>
      <c r="D940">
        <v>20</v>
      </c>
      <c r="E940" t="s">
        <v>18</v>
      </c>
      <c r="F940" t="s">
        <v>13</v>
      </c>
      <c r="G940" t="s">
        <v>23</v>
      </c>
      <c r="H940">
        <v>20.5</v>
      </c>
      <c r="I940">
        <v>427.62</v>
      </c>
      <c r="J940" t="s">
        <v>15</v>
      </c>
    </row>
    <row r="941" spans="1:10" x14ac:dyDescent="0.35">
      <c r="A941" t="s">
        <v>963</v>
      </c>
      <c r="B941" t="s">
        <v>17</v>
      </c>
      <c r="C941">
        <v>37</v>
      </c>
      <c r="D941">
        <v>17</v>
      </c>
      <c r="E941" t="s">
        <v>18</v>
      </c>
      <c r="F941" t="s">
        <v>29</v>
      </c>
      <c r="G941" t="s">
        <v>14</v>
      </c>
      <c r="H941">
        <v>85.26</v>
      </c>
      <c r="I941">
        <v>1429.08</v>
      </c>
      <c r="J941" t="s">
        <v>15</v>
      </c>
    </row>
    <row r="942" spans="1:10" x14ac:dyDescent="0.35">
      <c r="A942" t="s">
        <v>964</v>
      </c>
      <c r="B942" t="s">
        <v>17</v>
      </c>
      <c r="C942">
        <v>22</v>
      </c>
      <c r="D942">
        <v>71</v>
      </c>
      <c r="E942" t="s">
        <v>12</v>
      </c>
      <c r="F942" t="s">
        <v>13</v>
      </c>
      <c r="G942" t="s">
        <v>19</v>
      </c>
      <c r="H942">
        <v>95.81</v>
      </c>
      <c r="I942">
        <v>6539.17</v>
      </c>
      <c r="J942" t="s">
        <v>27</v>
      </c>
    </row>
    <row r="943" spans="1:10" x14ac:dyDescent="0.35">
      <c r="A943" t="s">
        <v>965</v>
      </c>
      <c r="B943" t="s">
        <v>11</v>
      </c>
      <c r="C943">
        <v>18</v>
      </c>
      <c r="D943">
        <v>4</v>
      </c>
      <c r="E943" t="s">
        <v>12</v>
      </c>
      <c r="F943" t="s">
        <v>22</v>
      </c>
      <c r="G943" t="s">
        <v>19</v>
      </c>
      <c r="H943">
        <v>95.27</v>
      </c>
      <c r="I943">
        <v>416.31</v>
      </c>
      <c r="J943" t="s">
        <v>15</v>
      </c>
    </row>
    <row r="944" spans="1:10" x14ac:dyDescent="0.35">
      <c r="A944" t="s">
        <v>966</v>
      </c>
      <c r="B944" t="s">
        <v>17</v>
      </c>
      <c r="C944">
        <v>47</v>
      </c>
      <c r="D944">
        <v>14</v>
      </c>
      <c r="E944" t="s">
        <v>12</v>
      </c>
      <c r="F944" t="s">
        <v>13</v>
      </c>
      <c r="G944" t="s">
        <v>14</v>
      </c>
      <c r="H944">
        <v>27.09</v>
      </c>
      <c r="I944">
        <v>414.49</v>
      </c>
      <c r="J944" t="s">
        <v>15</v>
      </c>
    </row>
    <row r="945" spans="1:10" x14ac:dyDescent="0.35">
      <c r="A945" t="s">
        <v>967</v>
      </c>
      <c r="B945" t="s">
        <v>11</v>
      </c>
      <c r="C945">
        <v>66</v>
      </c>
      <c r="D945">
        <v>3</v>
      </c>
      <c r="E945" t="s">
        <v>12</v>
      </c>
      <c r="F945" t="s">
        <v>22</v>
      </c>
      <c r="G945" t="s">
        <v>23</v>
      </c>
      <c r="H945">
        <v>60.83</v>
      </c>
      <c r="I945">
        <v>174.8</v>
      </c>
      <c r="J945" t="s">
        <v>15</v>
      </c>
    </row>
    <row r="946" spans="1:10" x14ac:dyDescent="0.35">
      <c r="A946" t="s">
        <v>968</v>
      </c>
      <c r="B946" t="s">
        <v>11</v>
      </c>
      <c r="C946">
        <v>20</v>
      </c>
      <c r="D946">
        <v>58</v>
      </c>
      <c r="E946" t="s">
        <v>18</v>
      </c>
      <c r="F946" t="s">
        <v>33</v>
      </c>
      <c r="G946" t="s">
        <v>19</v>
      </c>
      <c r="H946">
        <v>84.9</v>
      </c>
      <c r="I946">
        <v>4904.13</v>
      </c>
      <c r="J946" t="s">
        <v>15</v>
      </c>
    </row>
    <row r="947" spans="1:10" x14ac:dyDescent="0.35">
      <c r="A947" t="s">
        <v>969</v>
      </c>
      <c r="B947" t="s">
        <v>11</v>
      </c>
      <c r="C947">
        <v>62</v>
      </c>
      <c r="D947">
        <v>55</v>
      </c>
      <c r="E947" t="s">
        <v>12</v>
      </c>
      <c r="F947" t="s">
        <v>29</v>
      </c>
      <c r="G947" t="s">
        <v>23</v>
      </c>
      <c r="H947">
        <v>48.16</v>
      </c>
      <c r="I947">
        <v>2899.29</v>
      </c>
      <c r="J947" t="s">
        <v>15</v>
      </c>
    </row>
    <row r="948" spans="1:10" x14ac:dyDescent="0.35">
      <c r="A948" t="s">
        <v>970</v>
      </c>
      <c r="B948" t="s">
        <v>11</v>
      </c>
      <c r="C948">
        <v>31</v>
      </c>
      <c r="D948">
        <v>4</v>
      </c>
      <c r="E948" t="s">
        <v>12</v>
      </c>
      <c r="F948" t="s">
        <v>13</v>
      </c>
      <c r="G948" t="s">
        <v>14</v>
      </c>
      <c r="H948">
        <v>133.44</v>
      </c>
      <c r="I948">
        <v>480.9</v>
      </c>
      <c r="J948" t="s">
        <v>27</v>
      </c>
    </row>
    <row r="949" spans="1:10" x14ac:dyDescent="0.35">
      <c r="A949" t="s">
        <v>971</v>
      </c>
      <c r="B949" t="s">
        <v>17</v>
      </c>
      <c r="C949">
        <v>47</v>
      </c>
      <c r="D949">
        <v>24</v>
      </c>
      <c r="E949" t="s">
        <v>21</v>
      </c>
      <c r="F949" t="s">
        <v>13</v>
      </c>
      <c r="G949" t="s">
        <v>14</v>
      </c>
      <c r="H949">
        <v>31.32</v>
      </c>
      <c r="I949">
        <v>738.55</v>
      </c>
      <c r="J949" t="s">
        <v>15</v>
      </c>
    </row>
    <row r="950" spans="1:10" x14ac:dyDescent="0.35">
      <c r="A950" t="s">
        <v>972</v>
      </c>
      <c r="B950" t="s">
        <v>17</v>
      </c>
      <c r="C950">
        <v>67</v>
      </c>
      <c r="D950">
        <v>34</v>
      </c>
      <c r="E950" t="s">
        <v>12</v>
      </c>
      <c r="F950" t="s">
        <v>29</v>
      </c>
      <c r="G950" t="s">
        <v>23</v>
      </c>
      <c r="H950">
        <v>83.36</v>
      </c>
      <c r="I950">
        <v>2607.7600000000002</v>
      </c>
      <c r="J950" t="s">
        <v>15</v>
      </c>
    </row>
    <row r="951" spans="1:10" x14ac:dyDescent="0.35">
      <c r="A951" t="s">
        <v>973</v>
      </c>
      <c r="B951" t="s">
        <v>11</v>
      </c>
      <c r="C951">
        <v>21</v>
      </c>
      <c r="D951">
        <v>30</v>
      </c>
      <c r="E951" t="s">
        <v>12</v>
      </c>
      <c r="F951" t="s">
        <v>29</v>
      </c>
      <c r="G951" t="s">
        <v>19</v>
      </c>
      <c r="H951">
        <v>109.88</v>
      </c>
      <c r="I951">
        <v>3302.44</v>
      </c>
      <c r="J951" t="s">
        <v>15</v>
      </c>
    </row>
    <row r="952" spans="1:10" x14ac:dyDescent="0.35">
      <c r="A952" t="s">
        <v>974</v>
      </c>
      <c r="B952" t="s">
        <v>11</v>
      </c>
      <c r="C952">
        <v>35</v>
      </c>
      <c r="D952">
        <v>19</v>
      </c>
      <c r="E952" t="s">
        <v>12</v>
      </c>
      <c r="F952" t="s">
        <v>29</v>
      </c>
      <c r="G952" t="s">
        <v>14</v>
      </c>
      <c r="H952">
        <v>54.03</v>
      </c>
      <c r="I952">
        <v>928.98</v>
      </c>
      <c r="J952" t="s">
        <v>15</v>
      </c>
    </row>
    <row r="953" spans="1:10" x14ac:dyDescent="0.35">
      <c r="A953" t="s">
        <v>975</v>
      </c>
      <c r="B953" t="s">
        <v>17</v>
      </c>
      <c r="C953">
        <v>54</v>
      </c>
      <c r="D953">
        <v>31</v>
      </c>
      <c r="E953" t="s">
        <v>12</v>
      </c>
      <c r="F953" t="s">
        <v>33</v>
      </c>
      <c r="G953" t="s">
        <v>23</v>
      </c>
      <c r="H953">
        <v>101.15</v>
      </c>
      <c r="I953">
        <v>3077.26</v>
      </c>
      <c r="J953" t="s">
        <v>27</v>
      </c>
    </row>
    <row r="954" spans="1:10" x14ac:dyDescent="0.35">
      <c r="A954" t="s">
        <v>976</v>
      </c>
      <c r="B954" t="s">
        <v>11</v>
      </c>
      <c r="C954">
        <v>42</v>
      </c>
      <c r="D954">
        <v>60</v>
      </c>
      <c r="E954" t="s">
        <v>21</v>
      </c>
      <c r="F954" t="s">
        <v>13</v>
      </c>
      <c r="G954" t="s">
        <v>14</v>
      </c>
      <c r="H954">
        <v>127.82</v>
      </c>
      <c r="I954">
        <v>7240.8</v>
      </c>
      <c r="J954" t="s">
        <v>27</v>
      </c>
    </row>
    <row r="955" spans="1:10" x14ac:dyDescent="0.35">
      <c r="A955" t="s">
        <v>977</v>
      </c>
      <c r="B955" t="s">
        <v>17</v>
      </c>
      <c r="C955">
        <v>65</v>
      </c>
      <c r="D955">
        <v>60</v>
      </c>
      <c r="E955" t="s">
        <v>12</v>
      </c>
      <c r="F955" t="s">
        <v>13</v>
      </c>
      <c r="G955" t="s">
        <v>23</v>
      </c>
      <c r="H955">
        <v>44.74</v>
      </c>
      <c r="I955">
        <v>2702.28</v>
      </c>
      <c r="J955" t="s">
        <v>15</v>
      </c>
    </row>
    <row r="956" spans="1:10" x14ac:dyDescent="0.35">
      <c r="A956" t="s">
        <v>978</v>
      </c>
      <c r="B956" t="s">
        <v>11</v>
      </c>
      <c r="C956">
        <v>18</v>
      </c>
      <c r="D956">
        <v>19</v>
      </c>
      <c r="E956" t="s">
        <v>12</v>
      </c>
      <c r="F956" t="s">
        <v>33</v>
      </c>
      <c r="G956" t="s">
        <v>19</v>
      </c>
      <c r="H956">
        <v>139.24</v>
      </c>
      <c r="I956">
        <v>2908</v>
      </c>
      <c r="J956" t="s">
        <v>27</v>
      </c>
    </row>
    <row r="957" spans="1:10" x14ac:dyDescent="0.35">
      <c r="A957" t="s">
        <v>979</v>
      </c>
      <c r="B957" t="s">
        <v>11</v>
      </c>
      <c r="C957">
        <v>70</v>
      </c>
      <c r="D957">
        <v>49</v>
      </c>
      <c r="E957" t="s">
        <v>12</v>
      </c>
      <c r="F957" t="s">
        <v>22</v>
      </c>
      <c r="G957" t="s">
        <v>23</v>
      </c>
      <c r="H957">
        <v>91.96</v>
      </c>
      <c r="I957">
        <v>4776.8900000000003</v>
      </c>
      <c r="J957" t="s">
        <v>15</v>
      </c>
    </row>
    <row r="958" spans="1:10" x14ac:dyDescent="0.35">
      <c r="A958" t="s">
        <v>980</v>
      </c>
      <c r="B958" t="s">
        <v>17</v>
      </c>
      <c r="C958">
        <v>63</v>
      </c>
      <c r="D958">
        <v>63</v>
      </c>
      <c r="E958" t="s">
        <v>12</v>
      </c>
      <c r="F958" t="s">
        <v>29</v>
      </c>
      <c r="G958" t="s">
        <v>23</v>
      </c>
      <c r="H958">
        <v>58.9</v>
      </c>
      <c r="I958">
        <v>3967.21</v>
      </c>
      <c r="J958" t="s">
        <v>15</v>
      </c>
    </row>
    <row r="959" spans="1:10" x14ac:dyDescent="0.35">
      <c r="A959" t="s">
        <v>981</v>
      </c>
      <c r="B959" t="s">
        <v>11</v>
      </c>
      <c r="C959">
        <v>32</v>
      </c>
      <c r="D959">
        <v>22</v>
      </c>
      <c r="E959" t="s">
        <v>21</v>
      </c>
      <c r="F959" t="s">
        <v>13</v>
      </c>
      <c r="G959" t="s">
        <v>14</v>
      </c>
      <c r="H959">
        <v>76.010000000000005</v>
      </c>
      <c r="I959">
        <v>1717.46</v>
      </c>
      <c r="J959" t="s">
        <v>15</v>
      </c>
    </row>
    <row r="960" spans="1:10" x14ac:dyDescent="0.35">
      <c r="A960" t="s">
        <v>982</v>
      </c>
      <c r="B960" t="s">
        <v>17</v>
      </c>
      <c r="C960">
        <v>26</v>
      </c>
      <c r="D960">
        <v>24</v>
      </c>
      <c r="E960" t="s">
        <v>12</v>
      </c>
      <c r="F960" t="s">
        <v>13</v>
      </c>
      <c r="G960" t="s">
        <v>19</v>
      </c>
      <c r="H960">
        <v>60.58</v>
      </c>
      <c r="I960">
        <v>1320.61</v>
      </c>
      <c r="J960" t="s">
        <v>15</v>
      </c>
    </row>
    <row r="961" spans="1:10" x14ac:dyDescent="0.35">
      <c r="A961" t="s">
        <v>983</v>
      </c>
      <c r="B961" t="s">
        <v>11</v>
      </c>
      <c r="C961">
        <v>32</v>
      </c>
      <c r="D961">
        <v>30</v>
      </c>
      <c r="E961" t="s">
        <v>12</v>
      </c>
      <c r="F961" t="s">
        <v>22</v>
      </c>
      <c r="G961" t="s">
        <v>14</v>
      </c>
      <c r="H961">
        <v>114.26</v>
      </c>
      <c r="I961">
        <v>3226.79</v>
      </c>
      <c r="J961" t="s">
        <v>15</v>
      </c>
    </row>
    <row r="962" spans="1:10" x14ac:dyDescent="0.35">
      <c r="A962" t="s">
        <v>984</v>
      </c>
      <c r="B962" t="s">
        <v>11</v>
      </c>
      <c r="C962">
        <v>66</v>
      </c>
      <c r="D962">
        <v>58</v>
      </c>
      <c r="E962" t="s">
        <v>18</v>
      </c>
      <c r="F962" t="s">
        <v>22</v>
      </c>
      <c r="G962" t="s">
        <v>23</v>
      </c>
      <c r="H962">
        <v>123.52</v>
      </c>
      <c r="I962">
        <v>7773.21</v>
      </c>
      <c r="J962" t="s">
        <v>15</v>
      </c>
    </row>
    <row r="963" spans="1:10" x14ac:dyDescent="0.35">
      <c r="A963" t="s">
        <v>985</v>
      </c>
      <c r="B963" t="s">
        <v>11</v>
      </c>
      <c r="C963">
        <v>41</v>
      </c>
      <c r="D963">
        <v>31</v>
      </c>
      <c r="E963" t="s">
        <v>21</v>
      </c>
      <c r="F963" t="s">
        <v>22</v>
      </c>
      <c r="G963" t="s">
        <v>14</v>
      </c>
      <c r="H963">
        <v>128.28</v>
      </c>
      <c r="I963">
        <v>3870.19</v>
      </c>
      <c r="J963" t="s">
        <v>27</v>
      </c>
    </row>
    <row r="964" spans="1:10" x14ac:dyDescent="0.35">
      <c r="A964" t="s">
        <v>986</v>
      </c>
      <c r="B964" t="s">
        <v>17</v>
      </c>
      <c r="C964">
        <v>21</v>
      </c>
      <c r="D964">
        <v>64</v>
      </c>
      <c r="E964" t="s">
        <v>12</v>
      </c>
      <c r="F964" t="s">
        <v>29</v>
      </c>
      <c r="G964" t="s">
        <v>19</v>
      </c>
      <c r="H964">
        <v>148.15</v>
      </c>
      <c r="I964">
        <v>8729.9699999999993</v>
      </c>
      <c r="J964" t="s">
        <v>27</v>
      </c>
    </row>
    <row r="965" spans="1:10" x14ac:dyDescent="0.35">
      <c r="A965" t="s">
        <v>987</v>
      </c>
      <c r="B965" t="s">
        <v>11</v>
      </c>
      <c r="C965">
        <v>29</v>
      </c>
      <c r="D965">
        <v>19</v>
      </c>
      <c r="E965" t="s">
        <v>21</v>
      </c>
      <c r="F965" t="s">
        <v>33</v>
      </c>
      <c r="G965" t="s">
        <v>19</v>
      </c>
      <c r="H965">
        <v>122.87</v>
      </c>
      <c r="I965">
        <v>2429.0300000000002</v>
      </c>
      <c r="J965" t="s">
        <v>15</v>
      </c>
    </row>
    <row r="966" spans="1:10" x14ac:dyDescent="0.35">
      <c r="A966" t="s">
        <v>988</v>
      </c>
      <c r="B966" t="s">
        <v>11</v>
      </c>
      <c r="C966">
        <v>54</v>
      </c>
      <c r="D966">
        <v>48</v>
      </c>
      <c r="E966" t="s">
        <v>21</v>
      </c>
      <c r="F966" t="s">
        <v>29</v>
      </c>
      <c r="G966" t="s">
        <v>23</v>
      </c>
      <c r="H966">
        <v>98.18</v>
      </c>
      <c r="I966">
        <v>4523.62</v>
      </c>
      <c r="J966" t="s">
        <v>15</v>
      </c>
    </row>
    <row r="967" spans="1:10" x14ac:dyDescent="0.35">
      <c r="A967" t="s">
        <v>989</v>
      </c>
      <c r="B967" t="s">
        <v>11</v>
      </c>
      <c r="C967">
        <v>54</v>
      </c>
      <c r="D967">
        <v>45</v>
      </c>
      <c r="E967" t="s">
        <v>21</v>
      </c>
      <c r="F967" t="s">
        <v>29</v>
      </c>
      <c r="G967" t="s">
        <v>23</v>
      </c>
      <c r="H967">
        <v>64.099999999999994</v>
      </c>
      <c r="I967">
        <v>2751.15</v>
      </c>
      <c r="J967" t="s">
        <v>27</v>
      </c>
    </row>
    <row r="968" spans="1:10" x14ac:dyDescent="0.35">
      <c r="A968" t="s">
        <v>990</v>
      </c>
      <c r="B968" t="s">
        <v>11</v>
      </c>
      <c r="C968">
        <v>60</v>
      </c>
      <c r="D968">
        <v>55</v>
      </c>
      <c r="E968" t="s">
        <v>12</v>
      </c>
      <c r="F968" t="s">
        <v>29</v>
      </c>
      <c r="G968" t="s">
        <v>23</v>
      </c>
      <c r="H968">
        <v>90.8</v>
      </c>
      <c r="I968">
        <v>5491.38</v>
      </c>
      <c r="J968" t="s">
        <v>15</v>
      </c>
    </row>
    <row r="969" spans="1:10" x14ac:dyDescent="0.35">
      <c r="A969" t="s">
        <v>991</v>
      </c>
      <c r="B969" t="s">
        <v>17</v>
      </c>
      <c r="C969">
        <v>23</v>
      </c>
      <c r="D969">
        <v>55</v>
      </c>
      <c r="E969" t="s">
        <v>18</v>
      </c>
      <c r="F969" t="s">
        <v>29</v>
      </c>
      <c r="G969" t="s">
        <v>19</v>
      </c>
      <c r="H969">
        <v>25.34</v>
      </c>
      <c r="I969">
        <v>1493.53</v>
      </c>
      <c r="J969" t="s">
        <v>15</v>
      </c>
    </row>
    <row r="970" spans="1:10" x14ac:dyDescent="0.35">
      <c r="A970" t="s">
        <v>992</v>
      </c>
      <c r="B970" t="s">
        <v>17</v>
      </c>
      <c r="C970">
        <v>56</v>
      </c>
      <c r="D970">
        <v>18</v>
      </c>
      <c r="E970" t="s">
        <v>12</v>
      </c>
      <c r="F970" t="s">
        <v>29</v>
      </c>
      <c r="G970" t="s">
        <v>23</v>
      </c>
      <c r="H970">
        <v>116.83</v>
      </c>
      <c r="I970">
        <v>2064.2199999999998</v>
      </c>
      <c r="J970" t="s">
        <v>15</v>
      </c>
    </row>
    <row r="971" spans="1:10" x14ac:dyDescent="0.35">
      <c r="A971" t="s">
        <v>993</v>
      </c>
      <c r="B971" t="s">
        <v>11</v>
      </c>
      <c r="C971">
        <v>63</v>
      </c>
      <c r="D971">
        <v>63</v>
      </c>
      <c r="E971" t="s">
        <v>12</v>
      </c>
      <c r="F971" t="s">
        <v>33</v>
      </c>
      <c r="G971" t="s">
        <v>23</v>
      </c>
      <c r="H971">
        <v>77.97</v>
      </c>
      <c r="I971">
        <v>5383.93</v>
      </c>
      <c r="J971" t="s">
        <v>27</v>
      </c>
    </row>
    <row r="972" spans="1:10" x14ac:dyDescent="0.35">
      <c r="A972" t="s">
        <v>994</v>
      </c>
      <c r="B972" t="s">
        <v>17</v>
      </c>
      <c r="C972">
        <v>41</v>
      </c>
      <c r="D972">
        <v>47</v>
      </c>
      <c r="E972" t="s">
        <v>12</v>
      </c>
      <c r="F972" t="s">
        <v>33</v>
      </c>
      <c r="G972" t="s">
        <v>14</v>
      </c>
      <c r="H972">
        <v>22.6</v>
      </c>
      <c r="I972">
        <v>1094.0899999999999</v>
      </c>
      <c r="J972" t="s">
        <v>15</v>
      </c>
    </row>
    <row r="973" spans="1:10" x14ac:dyDescent="0.35">
      <c r="A973" t="s">
        <v>995</v>
      </c>
      <c r="B973" t="s">
        <v>11</v>
      </c>
      <c r="C973">
        <v>28</v>
      </c>
      <c r="D973">
        <v>57</v>
      </c>
      <c r="E973" t="s">
        <v>12</v>
      </c>
      <c r="F973" t="s">
        <v>29</v>
      </c>
      <c r="G973" t="s">
        <v>19</v>
      </c>
      <c r="H973">
        <v>28.13</v>
      </c>
      <c r="I973">
        <v>1681.02</v>
      </c>
      <c r="J973" t="s">
        <v>27</v>
      </c>
    </row>
    <row r="974" spans="1:10" x14ac:dyDescent="0.35">
      <c r="A974" t="s">
        <v>996</v>
      </c>
      <c r="B974" t="s">
        <v>11</v>
      </c>
      <c r="C974">
        <v>30</v>
      </c>
      <c r="D974">
        <v>45</v>
      </c>
      <c r="E974" t="s">
        <v>18</v>
      </c>
      <c r="F974" t="s">
        <v>29</v>
      </c>
      <c r="G974" t="s">
        <v>14</v>
      </c>
      <c r="H974">
        <v>70.37</v>
      </c>
      <c r="I974">
        <v>2869.94</v>
      </c>
      <c r="J974" t="s">
        <v>15</v>
      </c>
    </row>
    <row r="975" spans="1:10" x14ac:dyDescent="0.35">
      <c r="A975" t="s">
        <v>997</v>
      </c>
      <c r="B975" t="s">
        <v>11</v>
      </c>
      <c r="C975">
        <v>51</v>
      </c>
      <c r="D975">
        <v>33</v>
      </c>
      <c r="E975" t="s">
        <v>12</v>
      </c>
      <c r="F975" t="s">
        <v>29</v>
      </c>
      <c r="G975" t="s">
        <v>23</v>
      </c>
      <c r="H975">
        <v>95.84</v>
      </c>
      <c r="I975">
        <v>2923.37</v>
      </c>
      <c r="J975" t="s">
        <v>15</v>
      </c>
    </row>
    <row r="976" spans="1:10" x14ac:dyDescent="0.35">
      <c r="A976" t="s">
        <v>998</v>
      </c>
      <c r="B976" t="s">
        <v>17</v>
      </c>
      <c r="C976">
        <v>42</v>
      </c>
      <c r="D976">
        <v>17</v>
      </c>
      <c r="E976" t="s">
        <v>12</v>
      </c>
      <c r="F976" t="s">
        <v>29</v>
      </c>
      <c r="G976" t="s">
        <v>14</v>
      </c>
      <c r="H976">
        <v>80.349999999999994</v>
      </c>
      <c r="I976">
        <v>1402.31</v>
      </c>
      <c r="J976" t="s">
        <v>15</v>
      </c>
    </row>
    <row r="977" spans="1:10" x14ac:dyDescent="0.35">
      <c r="A977" t="s">
        <v>999</v>
      </c>
      <c r="B977" t="s">
        <v>17</v>
      </c>
      <c r="C977">
        <v>24</v>
      </c>
      <c r="D977">
        <v>70</v>
      </c>
      <c r="E977" t="s">
        <v>18</v>
      </c>
      <c r="F977" t="s">
        <v>29</v>
      </c>
      <c r="G977" t="s">
        <v>19</v>
      </c>
      <c r="H977">
        <v>100.5</v>
      </c>
      <c r="I977">
        <v>7596.43</v>
      </c>
      <c r="J977" t="s">
        <v>15</v>
      </c>
    </row>
    <row r="978" spans="1:10" x14ac:dyDescent="0.35">
      <c r="A978" t="s">
        <v>1000</v>
      </c>
      <c r="B978" t="s">
        <v>17</v>
      </c>
      <c r="C978">
        <v>69</v>
      </c>
      <c r="D978">
        <v>4</v>
      </c>
      <c r="E978" t="s">
        <v>12</v>
      </c>
      <c r="F978" t="s">
        <v>33</v>
      </c>
      <c r="G978" t="s">
        <v>23</v>
      </c>
      <c r="H978">
        <v>82.44</v>
      </c>
      <c r="I978">
        <v>337.92</v>
      </c>
      <c r="J978" t="s">
        <v>27</v>
      </c>
    </row>
    <row r="979" spans="1:10" x14ac:dyDescent="0.35">
      <c r="A979" t="s">
        <v>1001</v>
      </c>
      <c r="B979" t="s">
        <v>17</v>
      </c>
      <c r="C979">
        <v>21</v>
      </c>
      <c r="D979">
        <v>20</v>
      </c>
      <c r="E979" t="s">
        <v>12</v>
      </c>
      <c r="F979" t="s">
        <v>29</v>
      </c>
      <c r="G979" t="s">
        <v>19</v>
      </c>
      <c r="H979">
        <v>106.02</v>
      </c>
      <c r="I979">
        <v>1965.2</v>
      </c>
      <c r="J979" t="s">
        <v>27</v>
      </c>
    </row>
    <row r="980" spans="1:10" x14ac:dyDescent="0.35">
      <c r="A980" t="s">
        <v>1002</v>
      </c>
      <c r="B980" t="s">
        <v>17</v>
      </c>
      <c r="C980">
        <v>25</v>
      </c>
      <c r="D980">
        <v>47</v>
      </c>
      <c r="E980" t="s">
        <v>12</v>
      </c>
      <c r="F980" t="s">
        <v>13</v>
      </c>
      <c r="G980" t="s">
        <v>19</v>
      </c>
      <c r="H980">
        <v>48.49</v>
      </c>
      <c r="I980">
        <v>2103.89</v>
      </c>
      <c r="J980" t="s">
        <v>15</v>
      </c>
    </row>
    <row r="981" spans="1:10" x14ac:dyDescent="0.35">
      <c r="A981" t="s">
        <v>1003</v>
      </c>
      <c r="B981" t="s">
        <v>17</v>
      </c>
      <c r="C981">
        <v>37</v>
      </c>
      <c r="D981">
        <v>15</v>
      </c>
      <c r="E981" t="s">
        <v>12</v>
      </c>
      <c r="F981" t="s">
        <v>29</v>
      </c>
      <c r="G981" t="s">
        <v>14</v>
      </c>
      <c r="H981">
        <v>34.67</v>
      </c>
      <c r="I981">
        <v>555.85</v>
      </c>
      <c r="J981" t="s">
        <v>27</v>
      </c>
    </row>
    <row r="982" spans="1:10" x14ac:dyDescent="0.35">
      <c r="A982" t="s">
        <v>1004</v>
      </c>
      <c r="B982" t="s">
        <v>17</v>
      </c>
      <c r="C982">
        <v>46</v>
      </c>
      <c r="D982">
        <v>70</v>
      </c>
      <c r="E982" t="s">
        <v>12</v>
      </c>
      <c r="F982" t="s">
        <v>33</v>
      </c>
      <c r="G982" t="s">
        <v>14</v>
      </c>
      <c r="H982">
        <v>97.54</v>
      </c>
      <c r="I982">
        <v>6335.25</v>
      </c>
      <c r="J982" t="s">
        <v>15</v>
      </c>
    </row>
    <row r="983" spans="1:10" x14ac:dyDescent="0.35">
      <c r="A983" t="s">
        <v>1005</v>
      </c>
      <c r="B983" t="s">
        <v>17</v>
      </c>
      <c r="C983">
        <v>70</v>
      </c>
      <c r="D983">
        <v>47</v>
      </c>
      <c r="E983" t="s">
        <v>21</v>
      </c>
      <c r="F983" t="s">
        <v>22</v>
      </c>
      <c r="G983" t="s">
        <v>23</v>
      </c>
      <c r="H983">
        <v>83.01</v>
      </c>
      <c r="I983">
        <v>3917.26</v>
      </c>
      <c r="J983" t="s">
        <v>15</v>
      </c>
    </row>
    <row r="984" spans="1:10" x14ac:dyDescent="0.35">
      <c r="A984" t="s">
        <v>1006</v>
      </c>
      <c r="B984" t="s">
        <v>17</v>
      </c>
      <c r="C984">
        <v>68</v>
      </c>
      <c r="D984">
        <v>9</v>
      </c>
      <c r="E984" t="s">
        <v>12</v>
      </c>
      <c r="F984" t="s">
        <v>33</v>
      </c>
      <c r="G984" t="s">
        <v>23</v>
      </c>
      <c r="H984">
        <v>23.49</v>
      </c>
      <c r="I984">
        <v>191.84</v>
      </c>
      <c r="J984" t="s">
        <v>15</v>
      </c>
    </row>
    <row r="985" spans="1:10" x14ac:dyDescent="0.35">
      <c r="A985" t="s">
        <v>1007</v>
      </c>
      <c r="B985" t="s">
        <v>11</v>
      </c>
      <c r="C985">
        <v>62</v>
      </c>
      <c r="D985">
        <v>16</v>
      </c>
      <c r="E985" t="s">
        <v>12</v>
      </c>
      <c r="F985" t="s">
        <v>22</v>
      </c>
      <c r="G985" t="s">
        <v>23</v>
      </c>
      <c r="H985">
        <v>69.459999999999994</v>
      </c>
      <c r="I985">
        <v>1018.15</v>
      </c>
      <c r="J985" t="s">
        <v>15</v>
      </c>
    </row>
    <row r="986" spans="1:10" x14ac:dyDescent="0.35">
      <c r="A986" t="s">
        <v>1008</v>
      </c>
      <c r="B986" t="s">
        <v>17</v>
      </c>
      <c r="C986">
        <v>63</v>
      </c>
      <c r="D986">
        <v>69</v>
      </c>
      <c r="E986" t="s">
        <v>21</v>
      </c>
      <c r="F986" t="s">
        <v>29</v>
      </c>
      <c r="G986" t="s">
        <v>23</v>
      </c>
      <c r="H986">
        <v>33.799999999999997</v>
      </c>
      <c r="I986">
        <v>2412.59</v>
      </c>
      <c r="J986" t="s">
        <v>15</v>
      </c>
    </row>
    <row r="987" spans="1:10" x14ac:dyDescent="0.35">
      <c r="A987" t="s">
        <v>1009</v>
      </c>
      <c r="B987" t="s">
        <v>17</v>
      </c>
      <c r="C987">
        <v>27</v>
      </c>
      <c r="D987">
        <v>61</v>
      </c>
      <c r="E987" t="s">
        <v>21</v>
      </c>
      <c r="F987" t="s">
        <v>29</v>
      </c>
      <c r="G987" t="s">
        <v>19</v>
      </c>
      <c r="H987">
        <v>89.08</v>
      </c>
      <c r="I987">
        <v>5639.48</v>
      </c>
      <c r="J987" t="s">
        <v>15</v>
      </c>
    </row>
    <row r="988" spans="1:10" x14ac:dyDescent="0.35">
      <c r="A988" t="s">
        <v>1010</v>
      </c>
      <c r="B988" t="s">
        <v>17</v>
      </c>
      <c r="C988">
        <v>60</v>
      </c>
      <c r="D988">
        <v>10</v>
      </c>
      <c r="E988" t="s">
        <v>12</v>
      </c>
      <c r="F988" t="s">
        <v>22</v>
      </c>
      <c r="G988" t="s">
        <v>23</v>
      </c>
      <c r="H988">
        <v>71.45</v>
      </c>
      <c r="I988">
        <v>691.85</v>
      </c>
      <c r="J988" t="s">
        <v>15</v>
      </c>
    </row>
    <row r="989" spans="1:10" x14ac:dyDescent="0.35">
      <c r="A989" t="s">
        <v>1011</v>
      </c>
      <c r="B989" t="s">
        <v>17</v>
      </c>
      <c r="C989">
        <v>51</v>
      </c>
      <c r="D989">
        <v>50</v>
      </c>
      <c r="E989" t="s">
        <v>12</v>
      </c>
      <c r="F989" t="s">
        <v>13</v>
      </c>
      <c r="G989" t="s">
        <v>23</v>
      </c>
      <c r="H989">
        <v>99.71</v>
      </c>
      <c r="I989">
        <v>4701.93</v>
      </c>
      <c r="J989" t="s">
        <v>15</v>
      </c>
    </row>
    <row r="990" spans="1:10" x14ac:dyDescent="0.35">
      <c r="A990" t="s">
        <v>1012</v>
      </c>
      <c r="B990" t="s">
        <v>17</v>
      </c>
      <c r="C990">
        <v>43</v>
      </c>
      <c r="D990">
        <v>3</v>
      </c>
      <c r="E990" t="s">
        <v>12</v>
      </c>
      <c r="F990" t="s">
        <v>13</v>
      </c>
      <c r="G990" t="s">
        <v>14</v>
      </c>
      <c r="H990">
        <v>124.73</v>
      </c>
      <c r="I990">
        <v>397.67</v>
      </c>
      <c r="J990" t="s">
        <v>27</v>
      </c>
    </row>
    <row r="991" spans="1:10" x14ac:dyDescent="0.35">
      <c r="A991" t="s">
        <v>1013</v>
      </c>
      <c r="B991" t="s">
        <v>17</v>
      </c>
      <c r="C991">
        <v>58</v>
      </c>
      <c r="D991">
        <v>70</v>
      </c>
      <c r="E991" t="s">
        <v>12</v>
      </c>
      <c r="F991" t="s">
        <v>29</v>
      </c>
      <c r="G991" t="s">
        <v>23</v>
      </c>
      <c r="H991">
        <v>58.96</v>
      </c>
      <c r="I991">
        <v>3893.69</v>
      </c>
      <c r="J991" t="s">
        <v>27</v>
      </c>
    </row>
    <row r="992" spans="1:10" x14ac:dyDescent="0.35">
      <c r="A992" t="s">
        <v>1014</v>
      </c>
      <c r="B992" t="s">
        <v>17</v>
      </c>
      <c r="C992">
        <v>66</v>
      </c>
      <c r="D992">
        <v>51</v>
      </c>
      <c r="E992" t="s">
        <v>12</v>
      </c>
      <c r="F992" t="s">
        <v>29</v>
      </c>
      <c r="G992" t="s">
        <v>23</v>
      </c>
      <c r="H992">
        <v>145.07</v>
      </c>
      <c r="I992">
        <v>7460.76</v>
      </c>
      <c r="J992" t="s">
        <v>15</v>
      </c>
    </row>
    <row r="993" spans="1:10" x14ac:dyDescent="0.35">
      <c r="A993" t="s">
        <v>1015</v>
      </c>
      <c r="B993" t="s">
        <v>17</v>
      </c>
      <c r="C993">
        <v>20</v>
      </c>
      <c r="D993">
        <v>19</v>
      </c>
      <c r="E993" t="s">
        <v>12</v>
      </c>
      <c r="F993" t="s">
        <v>13</v>
      </c>
      <c r="G993" t="s">
        <v>19</v>
      </c>
      <c r="H993">
        <v>89.63</v>
      </c>
      <c r="I993">
        <v>1862.44</v>
      </c>
      <c r="J993" t="s">
        <v>15</v>
      </c>
    </row>
    <row r="994" spans="1:10" x14ac:dyDescent="0.35">
      <c r="A994" t="s">
        <v>1016</v>
      </c>
      <c r="B994" t="s">
        <v>17</v>
      </c>
      <c r="C994">
        <v>23</v>
      </c>
      <c r="D994">
        <v>42</v>
      </c>
      <c r="E994" t="s">
        <v>18</v>
      </c>
      <c r="F994" t="s">
        <v>13</v>
      </c>
      <c r="G994" t="s">
        <v>19</v>
      </c>
      <c r="H994">
        <v>100.38</v>
      </c>
      <c r="I994">
        <v>3919.03</v>
      </c>
      <c r="J994" t="s">
        <v>15</v>
      </c>
    </row>
    <row r="995" spans="1:10" x14ac:dyDescent="0.35">
      <c r="A995" t="s">
        <v>1017</v>
      </c>
      <c r="B995" t="s">
        <v>17</v>
      </c>
      <c r="C995">
        <v>22</v>
      </c>
      <c r="D995">
        <v>35</v>
      </c>
      <c r="E995" t="s">
        <v>12</v>
      </c>
      <c r="F995" t="s">
        <v>22</v>
      </c>
      <c r="G995" t="s">
        <v>19</v>
      </c>
      <c r="H995">
        <v>108.49</v>
      </c>
      <c r="I995">
        <v>4131.96</v>
      </c>
      <c r="J995" t="s">
        <v>27</v>
      </c>
    </row>
    <row r="996" spans="1:10" x14ac:dyDescent="0.35">
      <c r="A996" t="s">
        <v>1018</v>
      </c>
      <c r="B996" t="s">
        <v>17</v>
      </c>
      <c r="C996">
        <v>22</v>
      </c>
      <c r="D996">
        <v>46</v>
      </c>
      <c r="E996" t="s">
        <v>21</v>
      </c>
      <c r="F996" t="s">
        <v>29</v>
      </c>
      <c r="G996" t="s">
        <v>19</v>
      </c>
      <c r="H996">
        <v>106.68</v>
      </c>
      <c r="I996">
        <v>4596.05</v>
      </c>
      <c r="J996" t="s">
        <v>27</v>
      </c>
    </row>
    <row r="997" spans="1:10" x14ac:dyDescent="0.35">
      <c r="A997" t="s">
        <v>1019</v>
      </c>
      <c r="B997" t="s">
        <v>11</v>
      </c>
      <c r="C997">
        <v>64</v>
      </c>
      <c r="D997">
        <v>26</v>
      </c>
      <c r="E997" t="s">
        <v>12</v>
      </c>
      <c r="F997" t="s">
        <v>13</v>
      </c>
      <c r="G997" t="s">
        <v>23</v>
      </c>
      <c r="H997">
        <v>86.43</v>
      </c>
      <c r="I997">
        <v>2277.4899999999998</v>
      </c>
      <c r="J997" t="s">
        <v>15</v>
      </c>
    </row>
    <row r="998" spans="1:10" x14ac:dyDescent="0.35">
      <c r="A998" t="s">
        <v>1020</v>
      </c>
      <c r="B998" t="s">
        <v>11</v>
      </c>
      <c r="C998">
        <v>40</v>
      </c>
      <c r="D998">
        <v>69</v>
      </c>
      <c r="E998" t="s">
        <v>21</v>
      </c>
      <c r="F998" t="s">
        <v>29</v>
      </c>
      <c r="G998" t="s">
        <v>14</v>
      </c>
      <c r="H998">
        <v>75.739999999999995</v>
      </c>
      <c r="I998">
        <v>5097.51</v>
      </c>
      <c r="J998" t="s">
        <v>15</v>
      </c>
    </row>
    <row r="999" spans="1:10" x14ac:dyDescent="0.35">
      <c r="A999" t="s">
        <v>1021</v>
      </c>
      <c r="B999" t="s">
        <v>17</v>
      </c>
      <c r="C999">
        <v>66</v>
      </c>
      <c r="D999">
        <v>64</v>
      </c>
      <c r="E999" t="s">
        <v>21</v>
      </c>
      <c r="F999" t="s">
        <v>29</v>
      </c>
      <c r="G999" t="s">
        <v>23</v>
      </c>
      <c r="H999">
        <v>26.99</v>
      </c>
      <c r="I999">
        <v>1887.98</v>
      </c>
      <c r="J999" t="s">
        <v>27</v>
      </c>
    </row>
    <row r="1000" spans="1:10" x14ac:dyDescent="0.35">
      <c r="A1000" t="s">
        <v>1022</v>
      </c>
      <c r="B1000" t="s">
        <v>17</v>
      </c>
      <c r="C1000">
        <v>26</v>
      </c>
      <c r="D1000">
        <v>37</v>
      </c>
      <c r="E1000" t="s">
        <v>18</v>
      </c>
      <c r="F1000" t="s">
        <v>13</v>
      </c>
      <c r="G1000" t="s">
        <v>19</v>
      </c>
      <c r="H1000">
        <v>22.87</v>
      </c>
      <c r="I1000">
        <v>807.86</v>
      </c>
      <c r="J1000" t="s">
        <v>15</v>
      </c>
    </row>
    <row r="1001" spans="1:10" x14ac:dyDescent="0.35">
      <c r="A1001" t="s">
        <v>1023</v>
      </c>
      <c r="B1001" t="s">
        <v>11</v>
      </c>
      <c r="C1001">
        <v>52</v>
      </c>
      <c r="D1001">
        <v>49</v>
      </c>
      <c r="E1001" t="s">
        <v>12</v>
      </c>
      <c r="F1001" t="s">
        <v>29</v>
      </c>
      <c r="G1001" t="s">
        <v>23</v>
      </c>
      <c r="H1001">
        <v>66.53</v>
      </c>
      <c r="I1001">
        <v>3194.55</v>
      </c>
      <c r="J1001" t="s">
        <v>15</v>
      </c>
    </row>
    <row r="1002" spans="1:10" x14ac:dyDescent="0.35">
      <c r="A1002" t="s">
        <v>10</v>
      </c>
      <c r="B1002" t="s">
        <v>11</v>
      </c>
      <c r="C1002">
        <v>34</v>
      </c>
      <c r="D1002">
        <v>20</v>
      </c>
      <c r="E1002" t="s">
        <v>12</v>
      </c>
      <c r="F1002" t="s">
        <v>13</v>
      </c>
      <c r="G1002" t="s">
        <v>14</v>
      </c>
      <c r="H1002">
        <v>48.83</v>
      </c>
      <c r="I1002">
        <v>944.11</v>
      </c>
      <c r="J1002" t="s">
        <v>15</v>
      </c>
    </row>
    <row r="1003" spans="1:10" x14ac:dyDescent="0.35">
      <c r="A1003" t="s">
        <v>16</v>
      </c>
      <c r="B1003" t="s">
        <v>17</v>
      </c>
      <c r="C1003">
        <v>26</v>
      </c>
      <c r="D1003">
        <v>61</v>
      </c>
      <c r="E1003" t="s">
        <v>18</v>
      </c>
      <c r="F1003" t="s">
        <v>13</v>
      </c>
      <c r="G1003" t="s">
        <v>19</v>
      </c>
      <c r="H1003">
        <v>61.28</v>
      </c>
      <c r="I1003">
        <v>3654.12</v>
      </c>
      <c r="J1003" t="s">
        <v>15</v>
      </c>
    </row>
    <row r="1004" spans="1:10" x14ac:dyDescent="0.35">
      <c r="A1004" t="s">
        <v>20</v>
      </c>
      <c r="B1004" t="s">
        <v>11</v>
      </c>
      <c r="C1004">
        <v>50</v>
      </c>
      <c r="D1004">
        <v>35</v>
      </c>
      <c r="E1004" t="s">
        <v>21</v>
      </c>
      <c r="F1004" t="s">
        <v>22</v>
      </c>
      <c r="G1004" t="s">
        <v>23</v>
      </c>
      <c r="H1004">
        <v>53.72</v>
      </c>
      <c r="I1004">
        <v>1744.21</v>
      </c>
      <c r="J1004" t="s">
        <v>15</v>
      </c>
    </row>
    <row r="1005" spans="1:10" x14ac:dyDescent="0.35">
      <c r="A1005" t="s">
        <v>24</v>
      </c>
      <c r="B1005" t="s">
        <v>11</v>
      </c>
      <c r="C1005">
        <v>70</v>
      </c>
      <c r="D1005">
        <v>50</v>
      </c>
      <c r="E1005" t="s">
        <v>21</v>
      </c>
      <c r="F1005" t="s">
        <v>13</v>
      </c>
      <c r="G1005" t="s">
        <v>23</v>
      </c>
      <c r="H1005">
        <v>31.39</v>
      </c>
      <c r="I1005">
        <v>1644.26</v>
      </c>
      <c r="J1005" t="s">
        <v>15</v>
      </c>
    </row>
    <row r="1006" spans="1:10" x14ac:dyDescent="0.35">
      <c r="A1006" t="s">
        <v>25</v>
      </c>
      <c r="B1006" t="s">
        <v>11</v>
      </c>
      <c r="C1006">
        <v>37</v>
      </c>
      <c r="D1006">
        <v>62</v>
      </c>
      <c r="E1006" t="s">
        <v>12</v>
      </c>
      <c r="F1006" t="s">
        <v>13</v>
      </c>
      <c r="G1006" t="s">
        <v>14</v>
      </c>
      <c r="H1006">
        <v>31.69</v>
      </c>
      <c r="I1006">
        <v>2105.0500000000002</v>
      </c>
      <c r="J100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3C9B-2698-4051-854E-C4F317682FF8}">
  <dimension ref="A1:L1006"/>
  <sheetViews>
    <sheetView topLeftCell="A677" workbookViewId="0">
      <selection activeCell="L995" sqref="L995"/>
    </sheetView>
  </sheetViews>
  <sheetFormatPr defaultRowHeight="14.5" x14ac:dyDescent="0.35"/>
  <cols>
    <col min="1" max="1" width="13.81640625" customWidth="1"/>
    <col min="2" max="2" width="9" customWidth="1"/>
    <col min="4" max="4" width="16.26953125" customWidth="1"/>
    <col min="5" max="5" width="15.08984375" customWidth="1"/>
    <col min="6" max="6" width="18" customWidth="1"/>
    <col min="7" max="7" width="19.26953125" customWidth="1"/>
    <col min="8" max="8" width="17.54296875" customWidth="1"/>
    <col min="9" max="9" width="14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5">
      <c r="A2" t="s">
        <v>10</v>
      </c>
      <c r="B2" t="s">
        <v>11</v>
      </c>
      <c r="C2">
        <v>34</v>
      </c>
      <c r="D2">
        <v>20</v>
      </c>
      <c r="E2" t="s">
        <v>12</v>
      </c>
      <c r="F2" t="s">
        <v>13</v>
      </c>
      <c r="G2" t="s">
        <v>14</v>
      </c>
      <c r="H2">
        <v>48.83</v>
      </c>
      <c r="I2">
        <v>944.11</v>
      </c>
      <c r="J2" t="s">
        <v>15</v>
      </c>
      <c r="L2">
        <f>MEDIAN(H:H)</f>
        <v>83.07</v>
      </c>
    </row>
    <row r="3" spans="1:12" x14ac:dyDescent="0.35">
      <c r="A3" t="s">
        <v>16</v>
      </c>
      <c r="B3" t="s">
        <v>17</v>
      </c>
      <c r="C3">
        <v>26</v>
      </c>
      <c r="D3">
        <v>61</v>
      </c>
      <c r="E3" t="s">
        <v>18</v>
      </c>
      <c r="F3" t="s">
        <v>13</v>
      </c>
      <c r="G3" t="s">
        <v>19</v>
      </c>
      <c r="H3">
        <v>61.28</v>
      </c>
      <c r="I3">
        <v>3654.12</v>
      </c>
      <c r="J3" t="s">
        <v>15</v>
      </c>
    </row>
    <row r="4" spans="1:12" x14ac:dyDescent="0.35">
      <c r="A4" t="s">
        <v>20</v>
      </c>
      <c r="B4" t="s">
        <v>11</v>
      </c>
      <c r="C4">
        <v>50</v>
      </c>
      <c r="D4">
        <v>35</v>
      </c>
      <c r="E4" t="s">
        <v>21</v>
      </c>
      <c r="F4" t="s">
        <v>22</v>
      </c>
      <c r="G4" t="s">
        <v>23</v>
      </c>
      <c r="H4">
        <v>53.72</v>
      </c>
      <c r="I4">
        <v>1744.21</v>
      </c>
      <c r="J4" t="s">
        <v>15</v>
      </c>
    </row>
    <row r="5" spans="1:12" x14ac:dyDescent="0.35">
      <c r="A5" t="s">
        <v>24</v>
      </c>
      <c r="B5" t="s">
        <v>11</v>
      </c>
      <c r="C5">
        <v>70</v>
      </c>
      <c r="D5">
        <v>50</v>
      </c>
      <c r="E5" t="s">
        <v>21</v>
      </c>
      <c r="F5" t="s">
        <v>13</v>
      </c>
      <c r="G5" t="s">
        <v>23</v>
      </c>
      <c r="H5">
        <v>31.39</v>
      </c>
      <c r="I5">
        <v>1644.26</v>
      </c>
      <c r="J5" t="s">
        <v>15</v>
      </c>
    </row>
    <row r="6" spans="1:12" x14ac:dyDescent="0.35">
      <c r="A6" t="s">
        <v>25</v>
      </c>
      <c r="B6" t="s">
        <v>11</v>
      </c>
      <c r="C6">
        <v>37</v>
      </c>
      <c r="D6">
        <v>62</v>
      </c>
      <c r="E6" t="s">
        <v>12</v>
      </c>
      <c r="F6" t="s">
        <v>13</v>
      </c>
      <c r="G6" t="s">
        <v>14</v>
      </c>
      <c r="H6">
        <v>31.69</v>
      </c>
      <c r="I6">
        <v>2105.0500000000002</v>
      </c>
      <c r="J6" t="s">
        <v>15</v>
      </c>
    </row>
    <row r="7" spans="1:12" x14ac:dyDescent="0.35">
      <c r="A7" t="s">
        <v>26</v>
      </c>
      <c r="B7" t="s">
        <v>17</v>
      </c>
      <c r="C7">
        <v>30</v>
      </c>
      <c r="D7">
        <v>17</v>
      </c>
      <c r="E7" t="s">
        <v>18</v>
      </c>
      <c r="F7" t="s">
        <v>13</v>
      </c>
      <c r="G7" t="s">
        <v>14</v>
      </c>
      <c r="H7">
        <v>45.12</v>
      </c>
      <c r="I7">
        <v>834.34</v>
      </c>
      <c r="J7" t="s">
        <v>27</v>
      </c>
    </row>
    <row r="8" spans="1:12" x14ac:dyDescent="0.35">
      <c r="A8" t="s">
        <v>28</v>
      </c>
      <c r="B8" t="s">
        <v>11</v>
      </c>
      <c r="C8">
        <v>45</v>
      </c>
      <c r="D8">
        <v>3</v>
      </c>
      <c r="E8" t="s">
        <v>18</v>
      </c>
      <c r="F8" t="s">
        <v>29</v>
      </c>
      <c r="G8" t="s">
        <v>14</v>
      </c>
      <c r="H8">
        <v>26.57</v>
      </c>
      <c r="I8">
        <v>79.59</v>
      </c>
      <c r="J8" t="s">
        <v>27</v>
      </c>
    </row>
    <row r="9" spans="1:12" x14ac:dyDescent="0.35">
      <c r="A9" t="s">
        <v>30</v>
      </c>
      <c r="B9" t="s">
        <v>11</v>
      </c>
      <c r="C9">
        <v>65</v>
      </c>
      <c r="D9">
        <v>32</v>
      </c>
      <c r="E9" t="s">
        <v>21</v>
      </c>
      <c r="F9" t="s">
        <v>13</v>
      </c>
      <c r="G9" t="s">
        <v>23</v>
      </c>
      <c r="H9">
        <v>101.44</v>
      </c>
      <c r="I9">
        <v>3376.49</v>
      </c>
      <c r="J9" t="s">
        <v>15</v>
      </c>
    </row>
    <row r="10" spans="1:12" x14ac:dyDescent="0.35">
      <c r="A10" t="s">
        <v>31</v>
      </c>
      <c r="B10" t="s">
        <v>11</v>
      </c>
      <c r="C10">
        <v>46</v>
      </c>
      <c r="D10">
        <v>13</v>
      </c>
      <c r="E10" t="s">
        <v>12</v>
      </c>
      <c r="F10" t="s">
        <v>29</v>
      </c>
      <c r="G10" t="s">
        <v>14</v>
      </c>
      <c r="H10">
        <v>57.35</v>
      </c>
      <c r="I10">
        <v>798.57</v>
      </c>
      <c r="J10" t="s">
        <v>15</v>
      </c>
    </row>
    <row r="11" spans="1:12" x14ac:dyDescent="0.35">
      <c r="A11" t="s">
        <v>32</v>
      </c>
      <c r="B11" t="s">
        <v>17</v>
      </c>
      <c r="C11">
        <v>30</v>
      </c>
      <c r="D11">
        <v>68</v>
      </c>
      <c r="E11" t="s">
        <v>12</v>
      </c>
      <c r="F11" t="s">
        <v>33</v>
      </c>
      <c r="G11" t="s">
        <v>14</v>
      </c>
      <c r="H11">
        <v>56.37</v>
      </c>
      <c r="I11">
        <v>3770.52</v>
      </c>
      <c r="J11" t="s">
        <v>15</v>
      </c>
    </row>
    <row r="12" spans="1:12" x14ac:dyDescent="0.35">
      <c r="A12" t="s">
        <v>34</v>
      </c>
      <c r="B12" t="s">
        <v>11</v>
      </c>
      <c r="C12">
        <v>63</v>
      </c>
      <c r="D12">
        <v>14</v>
      </c>
      <c r="E12" t="s">
        <v>12</v>
      </c>
      <c r="F12" t="s">
        <v>22</v>
      </c>
      <c r="G12" t="s">
        <v>23</v>
      </c>
      <c r="H12">
        <v>63.16</v>
      </c>
      <c r="I12">
        <v>850.54</v>
      </c>
      <c r="J12" t="s">
        <v>15</v>
      </c>
    </row>
    <row r="13" spans="1:12" x14ac:dyDescent="0.35">
      <c r="A13" t="s">
        <v>35</v>
      </c>
      <c r="B13" t="s">
        <v>11</v>
      </c>
      <c r="C13">
        <v>52</v>
      </c>
      <c r="D13">
        <v>11</v>
      </c>
      <c r="E13" t="s">
        <v>12</v>
      </c>
      <c r="F13" t="s">
        <v>33</v>
      </c>
      <c r="G13" t="s">
        <v>23</v>
      </c>
      <c r="H13">
        <v>106.16</v>
      </c>
      <c r="I13">
        <v>1269.76</v>
      </c>
      <c r="J13" t="s">
        <v>15</v>
      </c>
    </row>
    <row r="14" spans="1:12" x14ac:dyDescent="0.35">
      <c r="A14" t="s">
        <v>36</v>
      </c>
      <c r="B14" t="s">
        <v>11</v>
      </c>
      <c r="C14">
        <v>23</v>
      </c>
      <c r="D14">
        <v>56</v>
      </c>
      <c r="E14" t="s">
        <v>12</v>
      </c>
      <c r="F14" t="s">
        <v>29</v>
      </c>
      <c r="G14" t="s">
        <v>19</v>
      </c>
      <c r="H14">
        <v>133.18</v>
      </c>
      <c r="I14">
        <v>7481.46</v>
      </c>
      <c r="J14" t="s">
        <v>15</v>
      </c>
    </row>
    <row r="15" spans="1:12" x14ac:dyDescent="0.35">
      <c r="A15" t="s">
        <v>37</v>
      </c>
      <c r="B15" t="s">
        <v>11</v>
      </c>
      <c r="C15">
        <v>35</v>
      </c>
      <c r="D15">
        <v>67</v>
      </c>
      <c r="E15" t="s">
        <v>18</v>
      </c>
      <c r="F15" t="s">
        <v>33</v>
      </c>
      <c r="G15" t="s">
        <v>14</v>
      </c>
      <c r="H15">
        <v>118.68</v>
      </c>
      <c r="I15">
        <v>7947.19</v>
      </c>
      <c r="J15" t="s">
        <v>15</v>
      </c>
    </row>
    <row r="16" spans="1:12" x14ac:dyDescent="0.35">
      <c r="A16" t="s">
        <v>38</v>
      </c>
      <c r="B16" t="s">
        <v>17</v>
      </c>
      <c r="C16">
        <v>68</v>
      </c>
      <c r="D16">
        <v>29</v>
      </c>
      <c r="E16" t="s">
        <v>12</v>
      </c>
      <c r="F16" t="s">
        <v>33</v>
      </c>
      <c r="G16" t="s">
        <v>23</v>
      </c>
      <c r="H16">
        <v>114.58</v>
      </c>
      <c r="I16">
        <v>3109.11</v>
      </c>
      <c r="J16" t="s">
        <v>27</v>
      </c>
    </row>
    <row r="17" spans="1:10" x14ac:dyDescent="0.35">
      <c r="A17" t="s">
        <v>39</v>
      </c>
      <c r="B17" t="s">
        <v>11</v>
      </c>
      <c r="C17">
        <v>22</v>
      </c>
      <c r="D17">
        <v>9</v>
      </c>
      <c r="E17" t="s">
        <v>12</v>
      </c>
      <c r="F17" t="s">
        <v>22</v>
      </c>
      <c r="G17" t="s">
        <v>19</v>
      </c>
      <c r="H17">
        <v>82.97</v>
      </c>
      <c r="I17">
        <v>688.21</v>
      </c>
      <c r="J17" t="s">
        <v>15</v>
      </c>
    </row>
    <row r="18" spans="1:10" x14ac:dyDescent="0.35">
      <c r="A18" t="s">
        <v>40</v>
      </c>
      <c r="B18" t="s">
        <v>17</v>
      </c>
      <c r="C18">
        <v>64</v>
      </c>
      <c r="D18">
        <v>67</v>
      </c>
      <c r="E18" t="s">
        <v>12</v>
      </c>
      <c r="F18" t="s">
        <v>22</v>
      </c>
      <c r="G18" t="s">
        <v>23</v>
      </c>
      <c r="H18">
        <v>110.19</v>
      </c>
      <c r="I18">
        <v>7887.87</v>
      </c>
      <c r="J18" t="s">
        <v>27</v>
      </c>
    </row>
    <row r="19" spans="1:10" x14ac:dyDescent="0.35">
      <c r="A19" t="s">
        <v>41</v>
      </c>
      <c r="B19" t="s">
        <v>17</v>
      </c>
      <c r="C19">
        <v>42</v>
      </c>
      <c r="D19">
        <v>25</v>
      </c>
      <c r="E19" t="s">
        <v>12</v>
      </c>
      <c r="F19" t="s">
        <v>29</v>
      </c>
      <c r="G19" t="s">
        <v>14</v>
      </c>
      <c r="H19">
        <v>91.86</v>
      </c>
      <c r="I19">
        <v>2348.92</v>
      </c>
      <c r="J19" t="s">
        <v>27</v>
      </c>
    </row>
    <row r="20" spans="1:10" x14ac:dyDescent="0.35">
      <c r="A20" t="s">
        <v>42</v>
      </c>
      <c r="B20" t="s">
        <v>17</v>
      </c>
      <c r="C20">
        <v>19</v>
      </c>
      <c r="D20">
        <v>42</v>
      </c>
      <c r="E20" t="s">
        <v>12</v>
      </c>
      <c r="F20" t="s">
        <v>33</v>
      </c>
      <c r="G20" t="s">
        <v>19</v>
      </c>
      <c r="H20">
        <v>48.11</v>
      </c>
      <c r="I20">
        <v>1950.23</v>
      </c>
      <c r="J20" t="s">
        <v>15</v>
      </c>
    </row>
    <row r="21" spans="1:10" x14ac:dyDescent="0.35">
      <c r="A21" t="s">
        <v>43</v>
      </c>
      <c r="B21" t="s">
        <v>11</v>
      </c>
      <c r="C21">
        <v>27</v>
      </c>
      <c r="D21">
        <v>9</v>
      </c>
      <c r="E21" t="s">
        <v>12</v>
      </c>
      <c r="F21" t="s">
        <v>13</v>
      </c>
      <c r="G21" t="s">
        <v>19</v>
      </c>
      <c r="H21">
        <v>47.12</v>
      </c>
      <c r="I21">
        <v>397.93</v>
      </c>
      <c r="J21" t="s">
        <v>15</v>
      </c>
    </row>
    <row r="22" spans="1:10" x14ac:dyDescent="0.35">
      <c r="A22" t="s">
        <v>44</v>
      </c>
      <c r="B22" t="s">
        <v>17</v>
      </c>
      <c r="C22">
        <v>47</v>
      </c>
      <c r="D22">
        <v>40</v>
      </c>
      <c r="E22" t="s">
        <v>12</v>
      </c>
      <c r="F22" t="s">
        <v>29</v>
      </c>
      <c r="G22" t="s">
        <v>14</v>
      </c>
      <c r="H22">
        <v>58.53</v>
      </c>
      <c r="I22">
        <v>2367.19</v>
      </c>
      <c r="J22" t="s">
        <v>15</v>
      </c>
    </row>
    <row r="23" spans="1:10" x14ac:dyDescent="0.35">
      <c r="A23" t="s">
        <v>45</v>
      </c>
      <c r="B23" t="s">
        <v>11</v>
      </c>
      <c r="C23">
        <v>67</v>
      </c>
      <c r="D23">
        <v>25</v>
      </c>
      <c r="E23" t="s">
        <v>21</v>
      </c>
      <c r="F23" t="s">
        <v>29</v>
      </c>
      <c r="G23" t="s">
        <v>23</v>
      </c>
      <c r="H23">
        <v>138.4</v>
      </c>
      <c r="I23">
        <v>3518.07</v>
      </c>
      <c r="J23" t="s">
        <v>27</v>
      </c>
    </row>
    <row r="24" spans="1:10" x14ac:dyDescent="0.35">
      <c r="A24" t="s">
        <v>46</v>
      </c>
      <c r="B24" t="s">
        <v>17</v>
      </c>
      <c r="C24">
        <v>62</v>
      </c>
      <c r="D24">
        <v>5</v>
      </c>
      <c r="E24" t="s">
        <v>18</v>
      </c>
      <c r="F24" t="s">
        <v>33</v>
      </c>
      <c r="G24" t="s">
        <v>23</v>
      </c>
      <c r="H24">
        <v>91.16</v>
      </c>
      <c r="I24">
        <v>429.09</v>
      </c>
      <c r="J24" t="s">
        <v>15</v>
      </c>
    </row>
    <row r="25" spans="1:10" x14ac:dyDescent="0.35">
      <c r="A25" t="s">
        <v>47</v>
      </c>
      <c r="B25" t="s">
        <v>17</v>
      </c>
      <c r="C25">
        <v>22</v>
      </c>
      <c r="D25">
        <v>11</v>
      </c>
      <c r="E25" t="s">
        <v>12</v>
      </c>
      <c r="F25" t="s">
        <v>33</v>
      </c>
      <c r="G25" t="s">
        <v>19</v>
      </c>
      <c r="H25">
        <v>115.41</v>
      </c>
      <c r="I25">
        <v>1358.73</v>
      </c>
      <c r="J25" t="s">
        <v>27</v>
      </c>
    </row>
    <row r="26" spans="1:10" x14ac:dyDescent="0.35">
      <c r="A26" t="s">
        <v>48</v>
      </c>
      <c r="B26" t="s">
        <v>17</v>
      </c>
      <c r="C26">
        <v>50</v>
      </c>
      <c r="D26">
        <v>59</v>
      </c>
      <c r="E26" t="s">
        <v>12</v>
      </c>
      <c r="F26" t="s">
        <v>33</v>
      </c>
      <c r="G26" t="s">
        <v>23</v>
      </c>
      <c r="H26">
        <v>65.05</v>
      </c>
      <c r="I26">
        <v>3518.84</v>
      </c>
      <c r="J26" t="s">
        <v>15</v>
      </c>
    </row>
    <row r="27" spans="1:10" x14ac:dyDescent="0.35">
      <c r="A27" t="s">
        <v>49</v>
      </c>
      <c r="B27" t="s">
        <v>17</v>
      </c>
      <c r="C27">
        <v>18</v>
      </c>
      <c r="D27">
        <v>38</v>
      </c>
      <c r="E27" t="s">
        <v>18</v>
      </c>
      <c r="F27" t="s">
        <v>22</v>
      </c>
      <c r="G27" t="s">
        <v>19</v>
      </c>
      <c r="H27">
        <v>73</v>
      </c>
      <c r="I27">
        <v>2694.16</v>
      </c>
      <c r="J27" t="s">
        <v>15</v>
      </c>
    </row>
    <row r="28" spans="1:10" x14ac:dyDescent="0.35">
      <c r="A28" t="s">
        <v>50</v>
      </c>
      <c r="B28" t="s">
        <v>17</v>
      </c>
      <c r="C28">
        <v>35</v>
      </c>
      <c r="D28">
        <v>72</v>
      </c>
      <c r="E28" t="s">
        <v>12</v>
      </c>
      <c r="F28" t="s">
        <v>29</v>
      </c>
      <c r="G28" t="s">
        <v>14</v>
      </c>
      <c r="H28">
        <v>36.32</v>
      </c>
      <c r="I28">
        <v>2709.38</v>
      </c>
      <c r="J28" t="s">
        <v>15</v>
      </c>
    </row>
    <row r="29" spans="1:10" x14ac:dyDescent="0.35">
      <c r="A29" t="s">
        <v>51</v>
      </c>
      <c r="B29" t="s">
        <v>17</v>
      </c>
      <c r="C29">
        <v>49</v>
      </c>
      <c r="D29">
        <v>5</v>
      </c>
      <c r="E29" t="s">
        <v>12</v>
      </c>
      <c r="F29" t="s">
        <v>29</v>
      </c>
      <c r="G29" t="s">
        <v>14</v>
      </c>
      <c r="H29">
        <v>42.27</v>
      </c>
      <c r="I29">
        <v>201.8</v>
      </c>
      <c r="J29" t="s">
        <v>27</v>
      </c>
    </row>
    <row r="30" spans="1:10" x14ac:dyDescent="0.35">
      <c r="A30" t="s">
        <v>52</v>
      </c>
      <c r="B30" t="s">
        <v>17</v>
      </c>
      <c r="C30">
        <v>64</v>
      </c>
      <c r="D30">
        <v>48</v>
      </c>
      <c r="E30" t="s">
        <v>18</v>
      </c>
      <c r="F30" t="s">
        <v>29</v>
      </c>
      <c r="G30" t="s">
        <v>23</v>
      </c>
      <c r="H30">
        <v>127.56</v>
      </c>
      <c r="I30">
        <v>6524.14</v>
      </c>
      <c r="J30" t="s">
        <v>27</v>
      </c>
    </row>
    <row r="31" spans="1:10" x14ac:dyDescent="0.35">
      <c r="A31" t="s">
        <v>53</v>
      </c>
      <c r="B31" t="s">
        <v>17</v>
      </c>
      <c r="C31">
        <v>66</v>
      </c>
      <c r="D31">
        <v>18</v>
      </c>
      <c r="E31" t="s">
        <v>12</v>
      </c>
      <c r="F31" t="s">
        <v>29</v>
      </c>
      <c r="G31" t="s">
        <v>23</v>
      </c>
      <c r="H31">
        <v>96.03</v>
      </c>
      <c r="I31">
        <v>1811.46</v>
      </c>
      <c r="J31" t="s">
        <v>27</v>
      </c>
    </row>
    <row r="32" spans="1:10" x14ac:dyDescent="0.35">
      <c r="A32" t="s">
        <v>54</v>
      </c>
      <c r="B32" t="s">
        <v>11</v>
      </c>
      <c r="C32">
        <v>28</v>
      </c>
      <c r="D32">
        <v>70</v>
      </c>
      <c r="E32" t="s">
        <v>21</v>
      </c>
      <c r="F32" t="s">
        <v>13</v>
      </c>
      <c r="G32" t="s">
        <v>19</v>
      </c>
      <c r="H32">
        <v>63.88</v>
      </c>
      <c r="I32">
        <v>4730.08</v>
      </c>
      <c r="J32" t="s">
        <v>15</v>
      </c>
    </row>
    <row r="33" spans="1:10" x14ac:dyDescent="0.35">
      <c r="A33" t="s">
        <v>55</v>
      </c>
      <c r="B33" t="s">
        <v>11</v>
      </c>
      <c r="C33">
        <v>38</v>
      </c>
      <c r="D33">
        <v>37</v>
      </c>
      <c r="E33" t="s">
        <v>21</v>
      </c>
      <c r="F33" t="s">
        <v>29</v>
      </c>
      <c r="G33" t="s">
        <v>14</v>
      </c>
      <c r="H33">
        <v>124.37</v>
      </c>
      <c r="I33">
        <v>4251.1400000000003</v>
      </c>
      <c r="J33" t="s">
        <v>15</v>
      </c>
    </row>
    <row r="34" spans="1:10" x14ac:dyDescent="0.35">
      <c r="A34" t="s">
        <v>56</v>
      </c>
      <c r="B34" t="s">
        <v>17</v>
      </c>
      <c r="C34">
        <v>43</v>
      </c>
      <c r="D34">
        <v>60</v>
      </c>
      <c r="E34" t="s">
        <v>12</v>
      </c>
      <c r="F34" t="s">
        <v>13</v>
      </c>
      <c r="G34" t="s">
        <v>14</v>
      </c>
      <c r="H34">
        <v>52.05</v>
      </c>
      <c r="I34">
        <v>2898.49</v>
      </c>
      <c r="J34" t="s">
        <v>27</v>
      </c>
    </row>
    <row r="35" spans="1:10" x14ac:dyDescent="0.35">
      <c r="A35" t="s">
        <v>57</v>
      </c>
      <c r="B35" t="s">
        <v>17</v>
      </c>
      <c r="C35">
        <v>42</v>
      </c>
      <c r="D35">
        <v>48</v>
      </c>
      <c r="E35" t="s">
        <v>12</v>
      </c>
      <c r="F35" t="s">
        <v>1024</v>
      </c>
      <c r="G35" t="s">
        <v>14</v>
      </c>
      <c r="H35">
        <v>146.88</v>
      </c>
      <c r="I35">
        <v>6749.16</v>
      </c>
      <c r="J35" t="s">
        <v>15</v>
      </c>
    </row>
    <row r="36" spans="1:10" x14ac:dyDescent="0.35">
      <c r="A36" t="s">
        <v>58</v>
      </c>
      <c r="B36" t="s">
        <v>17</v>
      </c>
      <c r="C36">
        <v>39</v>
      </c>
      <c r="D36">
        <v>28</v>
      </c>
      <c r="E36" t="s">
        <v>21</v>
      </c>
      <c r="F36" t="s">
        <v>13</v>
      </c>
      <c r="G36" t="s">
        <v>14</v>
      </c>
      <c r="H36">
        <v>64.83</v>
      </c>
      <c r="I36">
        <v>1821.8</v>
      </c>
      <c r="J36" t="s">
        <v>15</v>
      </c>
    </row>
    <row r="37" spans="1:10" x14ac:dyDescent="0.35">
      <c r="A37" t="s">
        <v>59</v>
      </c>
      <c r="B37" t="s">
        <v>11</v>
      </c>
      <c r="C37">
        <v>44</v>
      </c>
      <c r="D37">
        <v>69</v>
      </c>
      <c r="E37" t="s">
        <v>12</v>
      </c>
      <c r="F37" t="s">
        <v>33</v>
      </c>
      <c r="G37" t="s">
        <v>14</v>
      </c>
      <c r="H37">
        <v>63.85</v>
      </c>
      <c r="I37">
        <v>4624.18</v>
      </c>
      <c r="J37" t="s">
        <v>15</v>
      </c>
    </row>
    <row r="38" spans="1:10" x14ac:dyDescent="0.35">
      <c r="A38" t="s">
        <v>60</v>
      </c>
      <c r="B38" t="s">
        <v>17</v>
      </c>
      <c r="C38">
        <v>66</v>
      </c>
      <c r="D38">
        <v>40</v>
      </c>
      <c r="E38" t="s">
        <v>12</v>
      </c>
      <c r="F38" t="s">
        <v>22</v>
      </c>
      <c r="G38" t="s">
        <v>23</v>
      </c>
      <c r="H38">
        <v>60.55</v>
      </c>
      <c r="I38">
        <v>2585.02</v>
      </c>
      <c r="J38" t="s">
        <v>15</v>
      </c>
    </row>
    <row r="39" spans="1:10" x14ac:dyDescent="0.35">
      <c r="A39" t="s">
        <v>61</v>
      </c>
      <c r="B39" t="s">
        <v>11</v>
      </c>
      <c r="C39">
        <v>30</v>
      </c>
      <c r="D39">
        <v>45</v>
      </c>
      <c r="E39" t="s">
        <v>21</v>
      </c>
      <c r="F39" t="s">
        <v>29</v>
      </c>
      <c r="G39" t="s">
        <v>14</v>
      </c>
      <c r="H39">
        <v>35.869999999999997</v>
      </c>
      <c r="I39">
        <v>1680.12</v>
      </c>
      <c r="J39" t="s">
        <v>15</v>
      </c>
    </row>
    <row r="40" spans="1:10" x14ac:dyDescent="0.35">
      <c r="A40" t="s">
        <v>62</v>
      </c>
      <c r="B40" t="s">
        <v>11</v>
      </c>
      <c r="C40">
        <v>50</v>
      </c>
      <c r="D40">
        <v>62</v>
      </c>
      <c r="E40" t="s">
        <v>12</v>
      </c>
      <c r="F40" t="s">
        <v>13</v>
      </c>
      <c r="G40" t="s">
        <v>23</v>
      </c>
      <c r="H40">
        <v>34.450000000000003</v>
      </c>
      <c r="I40">
        <v>2318.9899999999998</v>
      </c>
      <c r="J40" t="s">
        <v>27</v>
      </c>
    </row>
    <row r="41" spans="1:10" x14ac:dyDescent="0.35">
      <c r="A41" t="s">
        <v>63</v>
      </c>
      <c r="B41" t="s">
        <v>11</v>
      </c>
      <c r="C41">
        <v>51</v>
      </c>
      <c r="D41">
        <v>58</v>
      </c>
      <c r="E41" t="s">
        <v>12</v>
      </c>
      <c r="F41" t="s">
        <v>1024</v>
      </c>
      <c r="G41" t="s">
        <v>23</v>
      </c>
      <c r="H41">
        <v>104.25</v>
      </c>
      <c r="I41">
        <v>6335.21</v>
      </c>
      <c r="J41" t="s">
        <v>27</v>
      </c>
    </row>
    <row r="42" spans="1:10" x14ac:dyDescent="0.35">
      <c r="A42" t="s">
        <v>64</v>
      </c>
      <c r="B42" t="s">
        <v>11</v>
      </c>
      <c r="C42">
        <v>58</v>
      </c>
      <c r="D42">
        <v>67</v>
      </c>
      <c r="E42" t="s">
        <v>18</v>
      </c>
      <c r="F42" t="s">
        <v>29</v>
      </c>
      <c r="G42" t="s">
        <v>23</v>
      </c>
      <c r="H42">
        <v>133.77000000000001</v>
      </c>
      <c r="I42">
        <v>8615.32</v>
      </c>
      <c r="J42" t="s">
        <v>27</v>
      </c>
    </row>
    <row r="43" spans="1:10" x14ac:dyDescent="0.35">
      <c r="A43" t="s">
        <v>65</v>
      </c>
      <c r="B43" t="s">
        <v>11</v>
      </c>
      <c r="C43">
        <v>52</v>
      </c>
      <c r="D43">
        <v>56</v>
      </c>
      <c r="E43" t="s">
        <v>12</v>
      </c>
      <c r="F43" t="s">
        <v>22</v>
      </c>
      <c r="G43" t="s">
        <v>23</v>
      </c>
      <c r="H43">
        <v>122.77</v>
      </c>
      <c r="I43">
        <v>6552.1</v>
      </c>
      <c r="J43" t="s">
        <v>15</v>
      </c>
    </row>
    <row r="44" spans="1:10" x14ac:dyDescent="0.35">
      <c r="A44" t="s">
        <v>66</v>
      </c>
      <c r="B44" t="s">
        <v>17</v>
      </c>
      <c r="C44">
        <v>18</v>
      </c>
      <c r="D44">
        <v>40</v>
      </c>
      <c r="E44" t="s">
        <v>18</v>
      </c>
      <c r="F44" t="s">
        <v>29</v>
      </c>
      <c r="G44" t="s">
        <v>19</v>
      </c>
      <c r="H44">
        <v>38.340000000000003</v>
      </c>
      <c r="I44">
        <v>1593.78</v>
      </c>
      <c r="J44" t="s">
        <v>15</v>
      </c>
    </row>
    <row r="45" spans="1:10" x14ac:dyDescent="0.35">
      <c r="A45" t="s">
        <v>67</v>
      </c>
      <c r="B45" t="s">
        <v>17</v>
      </c>
      <c r="C45">
        <v>38</v>
      </c>
      <c r="D45">
        <v>40</v>
      </c>
      <c r="E45" t="s">
        <v>21</v>
      </c>
      <c r="F45" t="s">
        <v>29</v>
      </c>
      <c r="G45" t="s">
        <v>14</v>
      </c>
      <c r="H45">
        <v>90.93</v>
      </c>
      <c r="I45">
        <v>3413.78</v>
      </c>
      <c r="J45" t="s">
        <v>15</v>
      </c>
    </row>
    <row r="46" spans="1:10" x14ac:dyDescent="0.35">
      <c r="A46" t="s">
        <v>68</v>
      </c>
      <c r="B46" t="s">
        <v>17</v>
      </c>
      <c r="C46">
        <v>65</v>
      </c>
      <c r="D46">
        <v>33</v>
      </c>
      <c r="E46" t="s">
        <v>21</v>
      </c>
      <c r="F46" t="s">
        <v>13</v>
      </c>
      <c r="G46" t="s">
        <v>23</v>
      </c>
      <c r="H46">
        <v>33.729999999999997</v>
      </c>
      <c r="I46">
        <v>1022.42</v>
      </c>
      <c r="J46" t="s">
        <v>27</v>
      </c>
    </row>
    <row r="47" spans="1:10" x14ac:dyDescent="0.35">
      <c r="A47" t="s">
        <v>69</v>
      </c>
      <c r="B47" t="s">
        <v>17</v>
      </c>
      <c r="C47">
        <v>23</v>
      </c>
      <c r="D47">
        <v>6</v>
      </c>
      <c r="E47" t="s">
        <v>12</v>
      </c>
      <c r="F47" t="s">
        <v>33</v>
      </c>
      <c r="G47" t="s">
        <v>19</v>
      </c>
      <c r="H47">
        <v>25.89</v>
      </c>
      <c r="I47">
        <v>156.34</v>
      </c>
      <c r="J47" t="s">
        <v>15</v>
      </c>
    </row>
    <row r="48" spans="1:10" x14ac:dyDescent="0.35">
      <c r="A48" t="s">
        <v>70</v>
      </c>
      <c r="B48" t="s">
        <v>17</v>
      </c>
      <c r="C48">
        <v>45</v>
      </c>
      <c r="D48">
        <v>19</v>
      </c>
      <c r="E48" t="s">
        <v>18</v>
      </c>
      <c r="F48" t="s">
        <v>22</v>
      </c>
      <c r="G48" t="s">
        <v>14</v>
      </c>
      <c r="H48">
        <v>105.33</v>
      </c>
      <c r="I48">
        <v>2130.0100000000002</v>
      </c>
      <c r="J48" t="s">
        <v>27</v>
      </c>
    </row>
    <row r="49" spans="1:10" x14ac:dyDescent="0.35">
      <c r="A49" t="s">
        <v>71</v>
      </c>
      <c r="B49" t="s">
        <v>11</v>
      </c>
      <c r="C49">
        <v>34</v>
      </c>
      <c r="D49">
        <v>40</v>
      </c>
      <c r="E49" t="s">
        <v>12</v>
      </c>
      <c r="F49" t="s">
        <v>22</v>
      </c>
      <c r="G49" t="s">
        <v>14</v>
      </c>
      <c r="H49">
        <v>89.57</v>
      </c>
      <c r="I49">
        <v>3297.16</v>
      </c>
      <c r="J49" t="s">
        <v>27</v>
      </c>
    </row>
    <row r="50" spans="1:10" x14ac:dyDescent="0.35">
      <c r="A50" t="s">
        <v>72</v>
      </c>
      <c r="B50" t="s">
        <v>17</v>
      </c>
      <c r="C50">
        <v>22</v>
      </c>
      <c r="D50">
        <v>59</v>
      </c>
      <c r="E50" t="s">
        <v>21</v>
      </c>
      <c r="F50" t="s">
        <v>29</v>
      </c>
      <c r="G50" t="s">
        <v>19</v>
      </c>
      <c r="H50">
        <v>30.66</v>
      </c>
      <c r="I50">
        <v>1914.54</v>
      </c>
      <c r="J50" t="s">
        <v>15</v>
      </c>
    </row>
    <row r="51" spans="1:10" x14ac:dyDescent="0.35">
      <c r="A51" t="s">
        <v>73</v>
      </c>
      <c r="B51" t="s">
        <v>17</v>
      </c>
      <c r="C51">
        <v>48</v>
      </c>
      <c r="D51">
        <v>59</v>
      </c>
      <c r="E51" t="s">
        <v>12</v>
      </c>
      <c r="F51" t="s">
        <v>22</v>
      </c>
      <c r="G51" t="s">
        <v>14</v>
      </c>
      <c r="H51">
        <v>24.54</v>
      </c>
      <c r="I51">
        <v>1538.08</v>
      </c>
      <c r="J51" t="s">
        <v>15</v>
      </c>
    </row>
    <row r="52" spans="1:10" x14ac:dyDescent="0.35">
      <c r="A52" t="s">
        <v>74</v>
      </c>
      <c r="B52" t="s">
        <v>11</v>
      </c>
      <c r="C52">
        <v>22</v>
      </c>
      <c r="D52">
        <v>48</v>
      </c>
      <c r="E52" t="s">
        <v>12</v>
      </c>
      <c r="F52" t="s">
        <v>22</v>
      </c>
      <c r="G52" t="s">
        <v>19</v>
      </c>
      <c r="H52">
        <v>148.66999999999999</v>
      </c>
      <c r="I52">
        <v>7110.86</v>
      </c>
      <c r="J52" t="s">
        <v>15</v>
      </c>
    </row>
    <row r="53" spans="1:10" x14ac:dyDescent="0.35">
      <c r="A53" t="s">
        <v>75</v>
      </c>
      <c r="B53" t="s">
        <v>17</v>
      </c>
      <c r="C53">
        <v>55</v>
      </c>
      <c r="D53">
        <v>41</v>
      </c>
      <c r="E53" t="s">
        <v>12</v>
      </c>
      <c r="F53" t="s">
        <v>22</v>
      </c>
      <c r="G53" t="s">
        <v>23</v>
      </c>
      <c r="H53">
        <v>23.9</v>
      </c>
      <c r="I53">
        <v>893.14</v>
      </c>
      <c r="J53" t="s">
        <v>15</v>
      </c>
    </row>
    <row r="54" spans="1:10" x14ac:dyDescent="0.35">
      <c r="A54" t="s">
        <v>76</v>
      </c>
      <c r="B54" t="s">
        <v>11</v>
      </c>
      <c r="C54">
        <v>20</v>
      </c>
      <c r="D54">
        <v>13</v>
      </c>
      <c r="E54" t="s">
        <v>18</v>
      </c>
      <c r="F54" t="s">
        <v>33</v>
      </c>
      <c r="G54" t="s">
        <v>19</v>
      </c>
      <c r="H54">
        <v>77.790000000000006</v>
      </c>
      <c r="I54">
        <v>945.45</v>
      </c>
      <c r="J54" t="s">
        <v>27</v>
      </c>
    </row>
    <row r="55" spans="1:10" x14ac:dyDescent="0.35">
      <c r="A55" t="s">
        <v>77</v>
      </c>
      <c r="B55" t="s">
        <v>17</v>
      </c>
      <c r="C55">
        <v>70</v>
      </c>
      <c r="D55">
        <v>45</v>
      </c>
      <c r="E55" t="s">
        <v>18</v>
      </c>
      <c r="F55" t="s">
        <v>29</v>
      </c>
      <c r="G55" t="s">
        <v>23</v>
      </c>
      <c r="H55">
        <v>85.6</v>
      </c>
      <c r="I55">
        <v>4011.8</v>
      </c>
      <c r="J55" t="s">
        <v>15</v>
      </c>
    </row>
    <row r="56" spans="1:10" x14ac:dyDescent="0.35">
      <c r="A56" t="s">
        <v>78</v>
      </c>
      <c r="B56" t="s">
        <v>11</v>
      </c>
      <c r="C56">
        <v>40</v>
      </c>
      <c r="D56">
        <v>53</v>
      </c>
      <c r="E56" t="s">
        <v>12</v>
      </c>
      <c r="F56" t="s">
        <v>33</v>
      </c>
      <c r="G56" t="s">
        <v>14</v>
      </c>
      <c r="H56">
        <v>35.25</v>
      </c>
      <c r="I56">
        <v>1947.38</v>
      </c>
      <c r="J56" t="s">
        <v>15</v>
      </c>
    </row>
    <row r="57" spans="1:10" x14ac:dyDescent="0.35">
      <c r="A57" t="s">
        <v>79</v>
      </c>
      <c r="B57" t="s">
        <v>17</v>
      </c>
      <c r="C57">
        <v>54</v>
      </c>
      <c r="D57">
        <v>42</v>
      </c>
      <c r="E57" t="s">
        <v>12</v>
      </c>
      <c r="F57" t="s">
        <v>33</v>
      </c>
      <c r="G57" t="s">
        <v>23</v>
      </c>
      <c r="H57">
        <v>41.98</v>
      </c>
      <c r="I57">
        <v>1903.63</v>
      </c>
      <c r="J57" t="s">
        <v>15</v>
      </c>
    </row>
    <row r="58" spans="1:10" x14ac:dyDescent="0.35">
      <c r="A58" t="s">
        <v>80</v>
      </c>
      <c r="B58" t="s">
        <v>17</v>
      </c>
      <c r="C58">
        <v>70</v>
      </c>
      <c r="D58">
        <v>63</v>
      </c>
      <c r="E58" t="s">
        <v>21</v>
      </c>
      <c r="F58" t="s">
        <v>29</v>
      </c>
      <c r="G58" t="s">
        <v>23</v>
      </c>
      <c r="H58">
        <v>65.73</v>
      </c>
      <c r="I58">
        <v>4209.47</v>
      </c>
      <c r="J58" t="s">
        <v>15</v>
      </c>
    </row>
    <row r="59" spans="1:10" x14ac:dyDescent="0.35">
      <c r="A59" t="s">
        <v>81</v>
      </c>
      <c r="B59" t="s">
        <v>11</v>
      </c>
      <c r="C59">
        <v>54</v>
      </c>
      <c r="D59">
        <v>27</v>
      </c>
      <c r="E59" t="s">
        <v>12</v>
      </c>
      <c r="F59" t="s">
        <v>13</v>
      </c>
      <c r="G59" t="s">
        <v>23</v>
      </c>
      <c r="H59">
        <v>119.02</v>
      </c>
      <c r="I59">
        <v>2971.95</v>
      </c>
      <c r="J59" t="s">
        <v>15</v>
      </c>
    </row>
    <row r="60" spans="1:10" x14ac:dyDescent="0.35">
      <c r="A60" t="s">
        <v>82</v>
      </c>
      <c r="B60" t="s">
        <v>11</v>
      </c>
      <c r="C60">
        <v>27</v>
      </c>
      <c r="D60">
        <v>38</v>
      </c>
      <c r="E60" t="s">
        <v>12</v>
      </c>
      <c r="F60" t="s">
        <v>33</v>
      </c>
      <c r="G60" t="s">
        <v>19</v>
      </c>
      <c r="H60">
        <v>85.92</v>
      </c>
      <c r="I60">
        <v>3017.75</v>
      </c>
      <c r="J60" t="s">
        <v>15</v>
      </c>
    </row>
    <row r="61" spans="1:10" x14ac:dyDescent="0.35">
      <c r="A61" t="s">
        <v>83</v>
      </c>
      <c r="B61" t="s">
        <v>11</v>
      </c>
      <c r="C61">
        <v>27</v>
      </c>
      <c r="D61">
        <v>60</v>
      </c>
      <c r="E61" t="s">
        <v>21</v>
      </c>
      <c r="F61" t="s">
        <v>29</v>
      </c>
      <c r="G61" t="s">
        <v>19</v>
      </c>
      <c r="H61">
        <v>102.93</v>
      </c>
      <c r="I61">
        <v>6448.93</v>
      </c>
      <c r="J61" t="s">
        <v>27</v>
      </c>
    </row>
    <row r="62" spans="1:10" x14ac:dyDescent="0.35">
      <c r="A62" t="s">
        <v>84</v>
      </c>
      <c r="B62" t="s">
        <v>11</v>
      </c>
      <c r="C62">
        <v>36</v>
      </c>
      <c r="D62">
        <v>7</v>
      </c>
      <c r="E62" t="s">
        <v>12</v>
      </c>
      <c r="F62" t="s">
        <v>13</v>
      </c>
      <c r="G62" t="s">
        <v>14</v>
      </c>
      <c r="H62">
        <v>148.07</v>
      </c>
      <c r="I62">
        <v>970.94</v>
      </c>
      <c r="J62" t="s">
        <v>27</v>
      </c>
    </row>
    <row r="63" spans="1:10" x14ac:dyDescent="0.35">
      <c r="A63" t="s">
        <v>85</v>
      </c>
      <c r="B63" t="s">
        <v>11</v>
      </c>
      <c r="C63">
        <v>34</v>
      </c>
      <c r="D63">
        <v>5</v>
      </c>
      <c r="E63" t="s">
        <v>18</v>
      </c>
      <c r="F63" t="s">
        <v>33</v>
      </c>
      <c r="G63" t="s">
        <v>14</v>
      </c>
      <c r="H63">
        <v>119.84</v>
      </c>
      <c r="I63">
        <v>578.63</v>
      </c>
      <c r="J63" t="s">
        <v>15</v>
      </c>
    </row>
    <row r="64" spans="1:10" x14ac:dyDescent="0.35">
      <c r="A64" t="s">
        <v>86</v>
      </c>
      <c r="B64" t="s">
        <v>11</v>
      </c>
      <c r="C64">
        <v>38</v>
      </c>
      <c r="D64">
        <v>45</v>
      </c>
      <c r="E64" t="s">
        <v>12</v>
      </c>
      <c r="F64" t="s">
        <v>13</v>
      </c>
      <c r="G64" t="s">
        <v>14</v>
      </c>
      <c r="H64">
        <v>76.47</v>
      </c>
      <c r="I64">
        <v>3432.35</v>
      </c>
      <c r="J64" t="s">
        <v>27</v>
      </c>
    </row>
    <row r="65" spans="1:10" x14ac:dyDescent="0.35">
      <c r="A65" t="s">
        <v>87</v>
      </c>
      <c r="B65" t="s">
        <v>11</v>
      </c>
      <c r="C65">
        <v>31</v>
      </c>
      <c r="D65">
        <v>58</v>
      </c>
      <c r="E65" t="s">
        <v>12</v>
      </c>
      <c r="F65" t="s">
        <v>29</v>
      </c>
      <c r="G65" t="s">
        <v>14</v>
      </c>
      <c r="H65">
        <v>78.040000000000006</v>
      </c>
      <c r="I65">
        <v>4096.1099999999997</v>
      </c>
      <c r="J65" t="s">
        <v>15</v>
      </c>
    </row>
    <row r="66" spans="1:10" x14ac:dyDescent="0.35">
      <c r="A66" t="s">
        <v>88</v>
      </c>
      <c r="B66" t="s">
        <v>11</v>
      </c>
      <c r="C66">
        <v>26</v>
      </c>
      <c r="D66">
        <v>31</v>
      </c>
      <c r="E66" t="s">
        <v>12</v>
      </c>
      <c r="F66" t="s">
        <v>13</v>
      </c>
      <c r="G66" t="s">
        <v>19</v>
      </c>
      <c r="H66">
        <v>100.44</v>
      </c>
      <c r="I66">
        <v>2957.22</v>
      </c>
      <c r="J66" t="s">
        <v>15</v>
      </c>
    </row>
    <row r="67" spans="1:10" x14ac:dyDescent="0.35">
      <c r="A67" t="s">
        <v>89</v>
      </c>
      <c r="B67" t="s">
        <v>17</v>
      </c>
      <c r="C67">
        <v>63</v>
      </c>
      <c r="D67">
        <v>23</v>
      </c>
      <c r="E67" t="s">
        <v>21</v>
      </c>
      <c r="F67" t="s">
        <v>29</v>
      </c>
      <c r="G67" t="s">
        <v>23</v>
      </c>
      <c r="H67">
        <v>83.07</v>
      </c>
      <c r="I67">
        <v>2404.38</v>
      </c>
      <c r="J67" t="s">
        <v>15</v>
      </c>
    </row>
    <row r="68" spans="1:10" x14ac:dyDescent="0.35">
      <c r="A68" t="s">
        <v>90</v>
      </c>
      <c r="B68" t="s">
        <v>17</v>
      </c>
      <c r="C68">
        <v>18</v>
      </c>
      <c r="D68">
        <v>42</v>
      </c>
      <c r="E68" t="s">
        <v>12</v>
      </c>
      <c r="F68" t="s">
        <v>13</v>
      </c>
      <c r="G68" t="s">
        <v>19</v>
      </c>
      <c r="H68">
        <v>85.09</v>
      </c>
      <c r="I68">
        <v>3416.27</v>
      </c>
      <c r="J68" t="s">
        <v>27</v>
      </c>
    </row>
    <row r="69" spans="1:10" x14ac:dyDescent="0.35">
      <c r="A69" t="s">
        <v>91</v>
      </c>
      <c r="B69" t="s">
        <v>11</v>
      </c>
      <c r="C69">
        <v>68</v>
      </c>
      <c r="D69">
        <v>10</v>
      </c>
      <c r="E69" t="s">
        <v>21</v>
      </c>
      <c r="F69" t="s">
        <v>29</v>
      </c>
      <c r="G69" t="s">
        <v>23</v>
      </c>
      <c r="H69">
        <v>103.83</v>
      </c>
      <c r="I69">
        <v>962.79</v>
      </c>
      <c r="J69" t="s">
        <v>27</v>
      </c>
    </row>
    <row r="70" spans="1:10" x14ac:dyDescent="0.35">
      <c r="A70" t="s">
        <v>92</v>
      </c>
      <c r="B70" t="s">
        <v>17</v>
      </c>
      <c r="C70">
        <v>62</v>
      </c>
      <c r="D70">
        <v>32</v>
      </c>
      <c r="E70" t="s">
        <v>12</v>
      </c>
      <c r="F70" t="s">
        <v>22</v>
      </c>
      <c r="G70" t="s">
        <v>23</v>
      </c>
      <c r="H70">
        <v>23.06</v>
      </c>
      <c r="I70">
        <v>771.57</v>
      </c>
      <c r="J70" t="s">
        <v>15</v>
      </c>
    </row>
    <row r="71" spans="1:10" x14ac:dyDescent="0.35">
      <c r="A71" t="s">
        <v>93</v>
      </c>
      <c r="B71" t="s">
        <v>17</v>
      </c>
      <c r="C71">
        <v>30</v>
      </c>
      <c r="D71">
        <v>53</v>
      </c>
      <c r="E71" t="s">
        <v>18</v>
      </c>
      <c r="F71" t="s">
        <v>13</v>
      </c>
      <c r="G71" t="s">
        <v>14</v>
      </c>
      <c r="H71">
        <v>75.849999999999994</v>
      </c>
      <c r="I71">
        <v>4271.82</v>
      </c>
      <c r="J71" t="s">
        <v>15</v>
      </c>
    </row>
    <row r="72" spans="1:10" x14ac:dyDescent="0.35">
      <c r="A72" t="s">
        <v>94</v>
      </c>
      <c r="B72" t="s">
        <v>17</v>
      </c>
      <c r="C72">
        <v>21</v>
      </c>
      <c r="D72">
        <v>30</v>
      </c>
      <c r="E72" t="s">
        <v>12</v>
      </c>
      <c r="F72" t="s">
        <v>22</v>
      </c>
      <c r="G72" t="s">
        <v>19</v>
      </c>
      <c r="H72">
        <v>56.26</v>
      </c>
      <c r="I72">
        <v>1605.93</v>
      </c>
      <c r="J72" t="s">
        <v>15</v>
      </c>
    </row>
    <row r="73" spans="1:10" x14ac:dyDescent="0.35">
      <c r="A73" t="s">
        <v>95</v>
      </c>
      <c r="B73" t="s">
        <v>17</v>
      </c>
      <c r="C73">
        <v>18</v>
      </c>
      <c r="D73">
        <v>39</v>
      </c>
      <c r="E73" t="s">
        <v>12</v>
      </c>
      <c r="F73" t="s">
        <v>22</v>
      </c>
      <c r="G73" t="s">
        <v>19</v>
      </c>
      <c r="H73">
        <v>36.79</v>
      </c>
      <c r="I73">
        <v>1513.56</v>
      </c>
      <c r="J73" t="s">
        <v>15</v>
      </c>
    </row>
    <row r="74" spans="1:10" x14ac:dyDescent="0.35">
      <c r="A74" t="s">
        <v>96</v>
      </c>
      <c r="B74" t="s">
        <v>11</v>
      </c>
      <c r="C74">
        <v>66</v>
      </c>
      <c r="D74">
        <v>31</v>
      </c>
      <c r="E74" t="s">
        <v>21</v>
      </c>
      <c r="F74" t="s">
        <v>13</v>
      </c>
      <c r="G74" t="s">
        <v>23</v>
      </c>
      <c r="H74">
        <v>32.94</v>
      </c>
      <c r="I74">
        <v>997.77</v>
      </c>
      <c r="J74" t="s">
        <v>15</v>
      </c>
    </row>
    <row r="75" spans="1:10" x14ac:dyDescent="0.35">
      <c r="A75" t="s">
        <v>97</v>
      </c>
      <c r="B75" t="s">
        <v>17</v>
      </c>
      <c r="C75">
        <v>57</v>
      </c>
      <c r="D75">
        <v>2</v>
      </c>
      <c r="E75" t="s">
        <v>12</v>
      </c>
      <c r="F75" t="s">
        <v>22</v>
      </c>
      <c r="G75" t="s">
        <v>23</v>
      </c>
      <c r="H75">
        <v>98.41</v>
      </c>
      <c r="I75">
        <v>197.08</v>
      </c>
      <c r="J75" t="s">
        <v>15</v>
      </c>
    </row>
    <row r="76" spans="1:10" x14ac:dyDescent="0.35">
      <c r="A76" t="s">
        <v>98</v>
      </c>
      <c r="B76" t="s">
        <v>11</v>
      </c>
      <c r="C76">
        <v>49</v>
      </c>
      <c r="D76">
        <v>12</v>
      </c>
      <c r="E76" t="s">
        <v>12</v>
      </c>
      <c r="F76" t="s">
        <v>29</v>
      </c>
      <c r="G76" t="s">
        <v>14</v>
      </c>
      <c r="H76">
        <v>88.07</v>
      </c>
      <c r="I76">
        <v>1132.0899999999999</v>
      </c>
      <c r="J76" t="s">
        <v>27</v>
      </c>
    </row>
    <row r="77" spans="1:10" x14ac:dyDescent="0.35">
      <c r="A77" t="s">
        <v>99</v>
      </c>
      <c r="B77" t="s">
        <v>17</v>
      </c>
      <c r="C77">
        <v>51</v>
      </c>
      <c r="D77">
        <v>39</v>
      </c>
      <c r="E77" t="s">
        <v>18</v>
      </c>
      <c r="F77" t="s">
        <v>13</v>
      </c>
      <c r="G77" t="s">
        <v>23</v>
      </c>
      <c r="H77">
        <v>52.97</v>
      </c>
      <c r="I77">
        <v>2169.1</v>
      </c>
      <c r="J77" t="s">
        <v>15</v>
      </c>
    </row>
    <row r="78" spans="1:10" x14ac:dyDescent="0.35">
      <c r="A78" t="s">
        <v>100</v>
      </c>
      <c r="B78" t="s">
        <v>17</v>
      </c>
      <c r="C78">
        <v>45</v>
      </c>
      <c r="D78">
        <v>66</v>
      </c>
      <c r="E78" t="s">
        <v>12</v>
      </c>
      <c r="F78" t="s">
        <v>29</v>
      </c>
      <c r="G78" t="s">
        <v>14</v>
      </c>
      <c r="H78">
        <v>81.22</v>
      </c>
      <c r="I78">
        <v>5687.64</v>
      </c>
      <c r="J78" t="s">
        <v>15</v>
      </c>
    </row>
    <row r="79" spans="1:10" x14ac:dyDescent="0.35">
      <c r="A79" t="s">
        <v>101</v>
      </c>
      <c r="B79" t="s">
        <v>17</v>
      </c>
      <c r="C79">
        <v>48</v>
      </c>
      <c r="D79">
        <v>13</v>
      </c>
      <c r="E79" t="s">
        <v>21</v>
      </c>
      <c r="F79" t="s">
        <v>33</v>
      </c>
      <c r="G79" t="s">
        <v>14</v>
      </c>
      <c r="H79">
        <v>83.99</v>
      </c>
      <c r="I79">
        <v>1012.57</v>
      </c>
      <c r="J79" t="s">
        <v>27</v>
      </c>
    </row>
    <row r="80" spans="1:10" x14ac:dyDescent="0.35">
      <c r="A80" t="s">
        <v>102</v>
      </c>
      <c r="B80" t="s">
        <v>11</v>
      </c>
      <c r="C80">
        <v>25</v>
      </c>
      <c r="D80">
        <v>46</v>
      </c>
      <c r="E80" t="s">
        <v>12</v>
      </c>
      <c r="F80" t="s">
        <v>29</v>
      </c>
      <c r="G80" t="s">
        <v>19</v>
      </c>
      <c r="H80">
        <v>45.35</v>
      </c>
      <c r="I80">
        <v>1906.58</v>
      </c>
      <c r="J80" t="s">
        <v>15</v>
      </c>
    </row>
    <row r="81" spans="1:10" x14ac:dyDescent="0.35">
      <c r="A81" t="s">
        <v>103</v>
      </c>
      <c r="B81" t="s">
        <v>17</v>
      </c>
      <c r="C81">
        <v>56</v>
      </c>
      <c r="D81">
        <v>27</v>
      </c>
      <c r="E81" t="s">
        <v>21</v>
      </c>
      <c r="F81" t="s">
        <v>13</v>
      </c>
      <c r="G81" t="s">
        <v>23</v>
      </c>
      <c r="H81">
        <v>104.77</v>
      </c>
      <c r="I81">
        <v>3051.36</v>
      </c>
      <c r="J81" t="s">
        <v>15</v>
      </c>
    </row>
    <row r="82" spans="1:10" x14ac:dyDescent="0.35">
      <c r="A82" t="s">
        <v>104</v>
      </c>
      <c r="B82" t="s">
        <v>11</v>
      </c>
      <c r="C82">
        <v>43</v>
      </c>
      <c r="D82">
        <v>17</v>
      </c>
      <c r="E82" t="s">
        <v>12</v>
      </c>
      <c r="F82" t="s">
        <v>22</v>
      </c>
      <c r="G82" t="s">
        <v>14</v>
      </c>
      <c r="H82">
        <v>121.52</v>
      </c>
      <c r="I82">
        <v>2019.5</v>
      </c>
      <c r="J82" t="s">
        <v>15</v>
      </c>
    </row>
    <row r="83" spans="1:10" x14ac:dyDescent="0.35">
      <c r="A83" t="s">
        <v>105</v>
      </c>
      <c r="B83" t="s">
        <v>17</v>
      </c>
      <c r="C83">
        <v>51</v>
      </c>
      <c r="D83">
        <v>60</v>
      </c>
      <c r="E83" t="s">
        <v>12</v>
      </c>
      <c r="F83" t="s">
        <v>13</v>
      </c>
      <c r="G83" t="s">
        <v>23</v>
      </c>
      <c r="H83">
        <v>122.89</v>
      </c>
      <c r="I83">
        <v>7060.59</v>
      </c>
      <c r="J83" t="s">
        <v>15</v>
      </c>
    </row>
    <row r="84" spans="1:10" x14ac:dyDescent="0.35">
      <c r="A84" t="s">
        <v>106</v>
      </c>
      <c r="B84" t="s">
        <v>11</v>
      </c>
      <c r="C84">
        <v>20</v>
      </c>
      <c r="D84">
        <v>64</v>
      </c>
      <c r="E84" t="s">
        <v>18</v>
      </c>
      <c r="F84" t="s">
        <v>29</v>
      </c>
      <c r="G84" t="s">
        <v>19</v>
      </c>
      <c r="H84">
        <v>98.32</v>
      </c>
      <c r="I84">
        <v>6575.26</v>
      </c>
      <c r="J84" t="s">
        <v>15</v>
      </c>
    </row>
    <row r="85" spans="1:10" x14ac:dyDescent="0.35">
      <c r="A85" t="s">
        <v>107</v>
      </c>
      <c r="B85" t="s">
        <v>17</v>
      </c>
      <c r="C85">
        <v>67</v>
      </c>
      <c r="D85">
        <v>35</v>
      </c>
      <c r="E85" t="s">
        <v>21</v>
      </c>
      <c r="F85" t="s">
        <v>13</v>
      </c>
      <c r="G85" t="s">
        <v>23</v>
      </c>
      <c r="H85">
        <v>86.51</v>
      </c>
      <c r="I85">
        <v>3231.57</v>
      </c>
      <c r="J85" t="s">
        <v>15</v>
      </c>
    </row>
    <row r="86" spans="1:10" x14ac:dyDescent="0.35">
      <c r="A86" t="s">
        <v>108</v>
      </c>
      <c r="B86" t="s">
        <v>11</v>
      </c>
      <c r="C86">
        <v>29</v>
      </c>
      <c r="D86">
        <v>70</v>
      </c>
      <c r="E86" t="s">
        <v>12</v>
      </c>
      <c r="F86" t="s">
        <v>22</v>
      </c>
      <c r="G86" t="s">
        <v>19</v>
      </c>
      <c r="H86">
        <v>27.93</v>
      </c>
      <c r="I86">
        <v>2096.84</v>
      </c>
      <c r="J86" t="s">
        <v>15</v>
      </c>
    </row>
    <row r="87" spans="1:10" x14ac:dyDescent="0.35">
      <c r="A87" t="s">
        <v>109</v>
      </c>
      <c r="B87" t="s">
        <v>11</v>
      </c>
      <c r="C87">
        <v>18</v>
      </c>
      <c r="D87">
        <v>30</v>
      </c>
      <c r="E87" t="s">
        <v>12</v>
      </c>
      <c r="F87" t="s">
        <v>22</v>
      </c>
      <c r="G87" t="s">
        <v>19</v>
      </c>
      <c r="H87">
        <v>57.42</v>
      </c>
      <c r="I87">
        <v>1659.21</v>
      </c>
      <c r="J87" t="s">
        <v>15</v>
      </c>
    </row>
    <row r="88" spans="1:10" x14ac:dyDescent="0.35">
      <c r="A88" t="s">
        <v>110</v>
      </c>
      <c r="B88" t="s">
        <v>17</v>
      </c>
      <c r="C88">
        <v>61</v>
      </c>
      <c r="D88">
        <v>71</v>
      </c>
      <c r="E88" t="s">
        <v>18</v>
      </c>
      <c r="F88" t="s">
        <v>13</v>
      </c>
      <c r="G88" t="s">
        <v>23</v>
      </c>
      <c r="H88">
        <v>32.130000000000003</v>
      </c>
      <c r="I88">
        <v>2441.9299999999998</v>
      </c>
      <c r="J88" t="s">
        <v>15</v>
      </c>
    </row>
    <row r="89" spans="1:10" x14ac:dyDescent="0.35">
      <c r="A89" t="s">
        <v>111</v>
      </c>
      <c r="B89" t="s">
        <v>11</v>
      </c>
      <c r="C89">
        <v>22</v>
      </c>
      <c r="D89">
        <v>63</v>
      </c>
      <c r="E89" t="s">
        <v>12</v>
      </c>
      <c r="F89" t="s">
        <v>13</v>
      </c>
      <c r="G89" t="s">
        <v>19</v>
      </c>
      <c r="H89">
        <v>145.30000000000001</v>
      </c>
      <c r="I89">
        <v>8313.4500000000007</v>
      </c>
      <c r="J89" t="s">
        <v>15</v>
      </c>
    </row>
    <row r="90" spans="1:10" x14ac:dyDescent="0.35">
      <c r="A90" t="s">
        <v>112</v>
      </c>
      <c r="B90" t="s">
        <v>17</v>
      </c>
      <c r="C90">
        <v>47</v>
      </c>
      <c r="D90">
        <v>28</v>
      </c>
      <c r="E90" t="s">
        <v>21</v>
      </c>
      <c r="F90" t="s">
        <v>13</v>
      </c>
      <c r="G90" t="s">
        <v>14</v>
      </c>
      <c r="H90">
        <v>37.56</v>
      </c>
      <c r="I90">
        <v>956.96</v>
      </c>
      <c r="J90" t="s">
        <v>15</v>
      </c>
    </row>
    <row r="91" spans="1:10" x14ac:dyDescent="0.35">
      <c r="A91" t="s">
        <v>113</v>
      </c>
      <c r="B91" t="s">
        <v>17</v>
      </c>
      <c r="C91">
        <v>47</v>
      </c>
      <c r="D91">
        <v>60</v>
      </c>
      <c r="E91" t="s">
        <v>21</v>
      </c>
      <c r="F91" t="s">
        <v>22</v>
      </c>
      <c r="G91" t="s">
        <v>14</v>
      </c>
      <c r="H91">
        <v>39.729999999999997</v>
      </c>
      <c r="I91">
        <v>2442.69</v>
      </c>
      <c r="J91" t="s">
        <v>15</v>
      </c>
    </row>
    <row r="92" spans="1:10" x14ac:dyDescent="0.35">
      <c r="A92" t="s">
        <v>114</v>
      </c>
      <c r="B92" t="s">
        <v>17</v>
      </c>
      <c r="C92">
        <v>34</v>
      </c>
      <c r="D92">
        <v>37</v>
      </c>
      <c r="E92" t="s">
        <v>12</v>
      </c>
      <c r="F92" t="s">
        <v>13</v>
      </c>
      <c r="G92" t="s">
        <v>14</v>
      </c>
      <c r="H92">
        <v>135.63999999999999</v>
      </c>
      <c r="I92">
        <v>4580.1499999999996</v>
      </c>
      <c r="J92" t="s">
        <v>15</v>
      </c>
    </row>
    <row r="93" spans="1:10" x14ac:dyDescent="0.35">
      <c r="A93" t="s">
        <v>115</v>
      </c>
      <c r="B93" t="s">
        <v>17</v>
      </c>
      <c r="C93">
        <v>65</v>
      </c>
      <c r="D93">
        <v>22</v>
      </c>
      <c r="E93" t="s">
        <v>12</v>
      </c>
      <c r="F93" t="s">
        <v>13</v>
      </c>
      <c r="G93" t="s">
        <v>23</v>
      </c>
      <c r="H93">
        <v>142.71</v>
      </c>
      <c r="I93">
        <v>3029.49</v>
      </c>
      <c r="J93" t="s">
        <v>27</v>
      </c>
    </row>
    <row r="94" spans="1:10" x14ac:dyDescent="0.35">
      <c r="A94" t="s">
        <v>116</v>
      </c>
      <c r="B94" t="s">
        <v>17</v>
      </c>
      <c r="C94">
        <v>64</v>
      </c>
      <c r="D94">
        <v>68</v>
      </c>
      <c r="E94" t="s">
        <v>21</v>
      </c>
      <c r="F94" t="s">
        <v>29</v>
      </c>
      <c r="G94" t="s">
        <v>23</v>
      </c>
      <c r="H94">
        <v>119.56</v>
      </c>
      <c r="I94">
        <v>8410.98</v>
      </c>
      <c r="J94" t="s">
        <v>15</v>
      </c>
    </row>
    <row r="95" spans="1:10" x14ac:dyDescent="0.35">
      <c r="A95" t="s">
        <v>117</v>
      </c>
      <c r="B95" t="s">
        <v>17</v>
      </c>
      <c r="C95">
        <v>40</v>
      </c>
      <c r="D95">
        <v>20</v>
      </c>
      <c r="E95" t="s">
        <v>12</v>
      </c>
      <c r="F95" t="s">
        <v>29</v>
      </c>
      <c r="G95" t="s">
        <v>14</v>
      </c>
      <c r="H95">
        <v>20.7</v>
      </c>
      <c r="I95">
        <v>400.53</v>
      </c>
      <c r="J95" t="s">
        <v>27</v>
      </c>
    </row>
    <row r="96" spans="1:10" x14ac:dyDescent="0.35">
      <c r="A96" t="s">
        <v>118</v>
      </c>
      <c r="B96" t="s">
        <v>17</v>
      </c>
      <c r="C96">
        <v>32</v>
      </c>
      <c r="D96">
        <v>68</v>
      </c>
      <c r="E96" t="s">
        <v>12</v>
      </c>
      <c r="F96" t="s">
        <v>29</v>
      </c>
      <c r="G96" t="s">
        <v>14</v>
      </c>
      <c r="H96">
        <v>20.18</v>
      </c>
      <c r="I96">
        <v>1284.31</v>
      </c>
      <c r="J96" t="s">
        <v>15</v>
      </c>
    </row>
    <row r="97" spans="1:10" x14ac:dyDescent="0.35">
      <c r="A97" t="s">
        <v>119</v>
      </c>
      <c r="B97" t="s">
        <v>17</v>
      </c>
      <c r="C97">
        <v>54</v>
      </c>
      <c r="D97">
        <v>64</v>
      </c>
      <c r="E97" t="s">
        <v>18</v>
      </c>
      <c r="F97" t="s">
        <v>29</v>
      </c>
      <c r="G97" t="s">
        <v>23</v>
      </c>
      <c r="H97">
        <v>69.150000000000006</v>
      </c>
      <c r="I97">
        <v>4232.07</v>
      </c>
      <c r="J97" t="s">
        <v>15</v>
      </c>
    </row>
    <row r="98" spans="1:10" x14ac:dyDescent="0.35">
      <c r="A98" t="s">
        <v>120</v>
      </c>
      <c r="B98" t="s">
        <v>17</v>
      </c>
      <c r="C98">
        <v>38</v>
      </c>
      <c r="D98">
        <v>17</v>
      </c>
      <c r="E98" t="s">
        <v>21</v>
      </c>
      <c r="F98" t="s">
        <v>13</v>
      </c>
      <c r="G98" t="s">
        <v>14</v>
      </c>
      <c r="H98">
        <v>38.64</v>
      </c>
      <c r="I98">
        <v>651.30999999999995</v>
      </c>
      <c r="J98" t="s">
        <v>15</v>
      </c>
    </row>
    <row r="99" spans="1:10" x14ac:dyDescent="0.35">
      <c r="A99" t="s">
        <v>121</v>
      </c>
      <c r="B99" t="s">
        <v>17</v>
      </c>
      <c r="C99">
        <v>31</v>
      </c>
      <c r="D99">
        <v>12</v>
      </c>
      <c r="E99" t="s">
        <v>21</v>
      </c>
      <c r="F99" t="s">
        <v>22</v>
      </c>
      <c r="G99" t="s">
        <v>14</v>
      </c>
      <c r="H99">
        <v>22.39</v>
      </c>
      <c r="I99">
        <v>267.36</v>
      </c>
      <c r="J99" t="s">
        <v>27</v>
      </c>
    </row>
    <row r="100" spans="1:10" x14ac:dyDescent="0.35">
      <c r="A100" t="s">
        <v>122</v>
      </c>
      <c r="B100" t="s">
        <v>17</v>
      </c>
      <c r="C100">
        <v>19</v>
      </c>
      <c r="D100">
        <v>22</v>
      </c>
      <c r="E100" t="s">
        <v>21</v>
      </c>
      <c r="F100" t="s">
        <v>29</v>
      </c>
      <c r="G100" t="s">
        <v>19</v>
      </c>
      <c r="H100">
        <v>80.33</v>
      </c>
      <c r="I100">
        <v>1867.29</v>
      </c>
      <c r="J100" t="s">
        <v>15</v>
      </c>
    </row>
    <row r="101" spans="1:10" x14ac:dyDescent="0.35">
      <c r="A101" t="s">
        <v>123</v>
      </c>
      <c r="B101" t="s">
        <v>11</v>
      </c>
      <c r="C101">
        <v>28</v>
      </c>
      <c r="D101">
        <v>17</v>
      </c>
      <c r="E101" t="s">
        <v>21</v>
      </c>
      <c r="F101" t="s">
        <v>33</v>
      </c>
      <c r="G101" t="s">
        <v>19</v>
      </c>
      <c r="H101">
        <v>142.6</v>
      </c>
      <c r="I101">
        <v>2545.48</v>
      </c>
      <c r="J101" t="s">
        <v>15</v>
      </c>
    </row>
    <row r="102" spans="1:10" x14ac:dyDescent="0.35">
      <c r="A102" t="s">
        <v>124</v>
      </c>
      <c r="B102" t="s">
        <v>11</v>
      </c>
      <c r="C102">
        <v>68</v>
      </c>
      <c r="D102">
        <v>10</v>
      </c>
      <c r="E102" t="s">
        <v>12</v>
      </c>
      <c r="F102" t="s">
        <v>29</v>
      </c>
      <c r="G102" t="s">
        <v>23</v>
      </c>
      <c r="H102">
        <v>62.1</v>
      </c>
      <c r="I102">
        <v>615.64</v>
      </c>
      <c r="J102" t="s">
        <v>27</v>
      </c>
    </row>
    <row r="103" spans="1:10" x14ac:dyDescent="0.35">
      <c r="A103" t="s">
        <v>125</v>
      </c>
      <c r="B103" t="s">
        <v>17</v>
      </c>
      <c r="C103">
        <v>56</v>
      </c>
      <c r="D103">
        <v>65</v>
      </c>
      <c r="E103" t="s">
        <v>12</v>
      </c>
      <c r="F103" t="s">
        <v>22</v>
      </c>
      <c r="G103" t="s">
        <v>23</v>
      </c>
      <c r="H103">
        <v>105.95</v>
      </c>
      <c r="I103">
        <v>7362.85</v>
      </c>
      <c r="J103" t="s">
        <v>27</v>
      </c>
    </row>
    <row r="104" spans="1:10" x14ac:dyDescent="0.35">
      <c r="A104" t="s">
        <v>126</v>
      </c>
      <c r="B104" t="s">
        <v>17</v>
      </c>
      <c r="C104">
        <v>55</v>
      </c>
      <c r="D104">
        <v>22</v>
      </c>
      <c r="E104" t="s">
        <v>12</v>
      </c>
      <c r="F104" t="s">
        <v>22</v>
      </c>
      <c r="G104" t="s">
        <v>23</v>
      </c>
      <c r="H104">
        <v>104.79</v>
      </c>
      <c r="I104">
        <v>2127.5100000000002</v>
      </c>
      <c r="J104" t="s">
        <v>27</v>
      </c>
    </row>
    <row r="105" spans="1:10" x14ac:dyDescent="0.35">
      <c r="A105" t="s">
        <v>127</v>
      </c>
      <c r="B105" t="s">
        <v>17</v>
      </c>
      <c r="C105">
        <v>51</v>
      </c>
      <c r="D105">
        <v>50</v>
      </c>
      <c r="E105" t="s">
        <v>12</v>
      </c>
      <c r="F105" t="s">
        <v>13</v>
      </c>
      <c r="G105" t="s">
        <v>23</v>
      </c>
      <c r="H105">
        <v>52.64</v>
      </c>
      <c r="I105">
        <v>2503.2199999999998</v>
      </c>
      <c r="J105" t="s">
        <v>15</v>
      </c>
    </row>
    <row r="106" spans="1:10" x14ac:dyDescent="0.35">
      <c r="A106" t="s">
        <v>128</v>
      </c>
      <c r="B106" t="s">
        <v>17</v>
      </c>
      <c r="C106">
        <v>55</v>
      </c>
      <c r="D106">
        <v>14</v>
      </c>
      <c r="E106" t="s">
        <v>21</v>
      </c>
      <c r="F106" t="s">
        <v>29</v>
      </c>
      <c r="G106" t="s">
        <v>23</v>
      </c>
      <c r="H106">
        <v>104.56</v>
      </c>
      <c r="I106">
        <v>1559.86</v>
      </c>
      <c r="J106" t="s">
        <v>15</v>
      </c>
    </row>
    <row r="107" spans="1:10" x14ac:dyDescent="0.35">
      <c r="A107" t="s">
        <v>129</v>
      </c>
      <c r="B107" t="s">
        <v>17</v>
      </c>
      <c r="C107">
        <v>67</v>
      </c>
      <c r="D107">
        <v>64</v>
      </c>
      <c r="E107" t="s">
        <v>12</v>
      </c>
      <c r="F107" t="s">
        <v>22</v>
      </c>
      <c r="G107" t="s">
        <v>23</v>
      </c>
      <c r="H107">
        <v>47.6</v>
      </c>
      <c r="I107">
        <v>2972.06</v>
      </c>
      <c r="J107" t="s">
        <v>15</v>
      </c>
    </row>
    <row r="108" spans="1:10" x14ac:dyDescent="0.35">
      <c r="A108" t="s">
        <v>130</v>
      </c>
      <c r="B108" t="s">
        <v>17</v>
      </c>
      <c r="C108">
        <v>51</v>
      </c>
      <c r="D108">
        <v>47</v>
      </c>
      <c r="E108" t="s">
        <v>12</v>
      </c>
      <c r="F108" t="s">
        <v>13</v>
      </c>
      <c r="G108" t="s">
        <v>23</v>
      </c>
      <c r="H108">
        <v>35.86</v>
      </c>
      <c r="I108">
        <v>1847.62</v>
      </c>
      <c r="J108" t="s">
        <v>27</v>
      </c>
    </row>
    <row r="109" spans="1:10" x14ac:dyDescent="0.35">
      <c r="A109" t="s">
        <v>131</v>
      </c>
      <c r="B109" t="s">
        <v>17</v>
      </c>
      <c r="C109">
        <v>35</v>
      </c>
      <c r="D109">
        <v>29</v>
      </c>
      <c r="E109" t="s">
        <v>12</v>
      </c>
      <c r="F109" t="s">
        <v>33</v>
      </c>
      <c r="G109" t="s">
        <v>14</v>
      </c>
      <c r="H109">
        <v>111.18</v>
      </c>
      <c r="I109">
        <v>3202.46</v>
      </c>
      <c r="J109" t="s">
        <v>15</v>
      </c>
    </row>
    <row r="110" spans="1:10" x14ac:dyDescent="0.35">
      <c r="A110" t="s">
        <v>132</v>
      </c>
      <c r="B110" t="s">
        <v>17</v>
      </c>
      <c r="C110">
        <v>47</v>
      </c>
      <c r="D110">
        <v>36</v>
      </c>
      <c r="E110" t="s">
        <v>12</v>
      </c>
      <c r="F110" t="s">
        <v>13</v>
      </c>
      <c r="G110" t="s">
        <v>14</v>
      </c>
      <c r="H110">
        <v>34.75</v>
      </c>
      <c r="I110">
        <v>1324.04</v>
      </c>
      <c r="J110" t="s">
        <v>27</v>
      </c>
    </row>
    <row r="111" spans="1:10" x14ac:dyDescent="0.35">
      <c r="A111" t="s">
        <v>133</v>
      </c>
      <c r="B111" t="s">
        <v>11</v>
      </c>
      <c r="C111">
        <v>32</v>
      </c>
      <c r="D111">
        <v>52</v>
      </c>
      <c r="E111" t="s">
        <v>12</v>
      </c>
      <c r="F111" t="s">
        <v>33</v>
      </c>
      <c r="G111" t="s">
        <v>14</v>
      </c>
      <c r="H111">
        <v>149.6</v>
      </c>
      <c r="I111">
        <v>7627.21</v>
      </c>
      <c r="J111" t="s">
        <v>15</v>
      </c>
    </row>
    <row r="112" spans="1:10" x14ac:dyDescent="0.35">
      <c r="A112" t="s">
        <v>134</v>
      </c>
      <c r="B112" t="s">
        <v>17</v>
      </c>
      <c r="C112">
        <v>44</v>
      </c>
      <c r="D112">
        <v>7</v>
      </c>
      <c r="E112" t="s">
        <v>12</v>
      </c>
      <c r="F112" t="s">
        <v>29</v>
      </c>
      <c r="G112" t="s">
        <v>14</v>
      </c>
      <c r="H112">
        <v>43.85</v>
      </c>
      <c r="I112">
        <v>302.33999999999997</v>
      </c>
      <c r="J112" t="s">
        <v>27</v>
      </c>
    </row>
    <row r="113" spans="1:10" x14ac:dyDescent="0.35">
      <c r="A113" t="s">
        <v>135</v>
      </c>
      <c r="B113" t="s">
        <v>11</v>
      </c>
      <c r="C113">
        <v>68</v>
      </c>
      <c r="D113">
        <v>29</v>
      </c>
      <c r="E113" t="s">
        <v>12</v>
      </c>
      <c r="F113" t="s">
        <v>22</v>
      </c>
      <c r="G113" t="s">
        <v>23</v>
      </c>
      <c r="H113">
        <v>97.24</v>
      </c>
      <c r="I113">
        <v>2753.91</v>
      </c>
      <c r="J113" t="s">
        <v>15</v>
      </c>
    </row>
    <row r="114" spans="1:10" x14ac:dyDescent="0.35">
      <c r="A114" t="s">
        <v>136</v>
      </c>
      <c r="B114" t="s">
        <v>17</v>
      </c>
      <c r="C114">
        <v>51</v>
      </c>
      <c r="D114">
        <v>11</v>
      </c>
      <c r="E114" t="s">
        <v>12</v>
      </c>
      <c r="F114" t="s">
        <v>22</v>
      </c>
      <c r="G114" t="s">
        <v>23</v>
      </c>
      <c r="H114">
        <v>73.48</v>
      </c>
      <c r="I114">
        <v>843.69</v>
      </c>
      <c r="J114" t="s">
        <v>15</v>
      </c>
    </row>
    <row r="115" spans="1:10" x14ac:dyDescent="0.35">
      <c r="A115" t="s">
        <v>137</v>
      </c>
      <c r="B115" t="s">
        <v>17</v>
      </c>
      <c r="C115">
        <v>69</v>
      </c>
      <c r="D115">
        <v>33</v>
      </c>
      <c r="E115" t="s">
        <v>12</v>
      </c>
      <c r="F115" t="s">
        <v>22</v>
      </c>
      <c r="G115" t="s">
        <v>23</v>
      </c>
      <c r="H115">
        <v>36.43</v>
      </c>
      <c r="I115">
        <v>1213.6199999999999</v>
      </c>
      <c r="J115" t="s">
        <v>15</v>
      </c>
    </row>
    <row r="116" spans="1:10" x14ac:dyDescent="0.35">
      <c r="A116" t="s">
        <v>138</v>
      </c>
      <c r="B116" t="s">
        <v>11</v>
      </c>
      <c r="C116">
        <v>55</v>
      </c>
      <c r="D116">
        <v>6</v>
      </c>
      <c r="E116" t="s">
        <v>21</v>
      </c>
      <c r="F116" t="s">
        <v>29</v>
      </c>
      <c r="G116" t="s">
        <v>23</v>
      </c>
      <c r="H116">
        <v>23.62</v>
      </c>
      <c r="I116">
        <v>154.30000000000001</v>
      </c>
      <c r="J116" t="s">
        <v>15</v>
      </c>
    </row>
    <row r="117" spans="1:10" x14ac:dyDescent="0.35">
      <c r="A117" t="s">
        <v>139</v>
      </c>
      <c r="B117" t="s">
        <v>17</v>
      </c>
      <c r="C117">
        <v>50</v>
      </c>
      <c r="D117">
        <v>32</v>
      </c>
      <c r="E117" t="s">
        <v>12</v>
      </c>
      <c r="F117" t="s">
        <v>22</v>
      </c>
      <c r="G117" t="s">
        <v>23</v>
      </c>
      <c r="H117">
        <v>100.96</v>
      </c>
      <c r="I117">
        <v>3069.76</v>
      </c>
      <c r="J117" t="s">
        <v>15</v>
      </c>
    </row>
    <row r="118" spans="1:10" x14ac:dyDescent="0.35">
      <c r="A118" t="s">
        <v>140</v>
      </c>
      <c r="B118" t="s">
        <v>11</v>
      </c>
      <c r="C118">
        <v>41</v>
      </c>
      <c r="D118">
        <v>51</v>
      </c>
      <c r="E118" t="s">
        <v>12</v>
      </c>
      <c r="F118" t="s">
        <v>13</v>
      </c>
      <c r="G118" t="s">
        <v>14</v>
      </c>
      <c r="H118">
        <v>124.88</v>
      </c>
      <c r="I118">
        <v>5860.09</v>
      </c>
      <c r="J118" t="s">
        <v>15</v>
      </c>
    </row>
    <row r="119" spans="1:10" x14ac:dyDescent="0.35">
      <c r="A119" t="s">
        <v>141</v>
      </c>
      <c r="B119" t="s">
        <v>17</v>
      </c>
      <c r="C119">
        <v>32</v>
      </c>
      <c r="D119">
        <v>58</v>
      </c>
      <c r="E119" t="s">
        <v>21</v>
      </c>
      <c r="F119" t="s">
        <v>22</v>
      </c>
      <c r="G119" t="s">
        <v>14</v>
      </c>
      <c r="H119">
        <v>129.46</v>
      </c>
      <c r="I119">
        <v>7348.39</v>
      </c>
      <c r="J119" t="s">
        <v>15</v>
      </c>
    </row>
    <row r="120" spans="1:10" x14ac:dyDescent="0.35">
      <c r="A120" t="s">
        <v>142</v>
      </c>
      <c r="B120" t="s">
        <v>17</v>
      </c>
      <c r="C120">
        <v>47</v>
      </c>
      <c r="D120">
        <v>26</v>
      </c>
      <c r="E120" t="s">
        <v>12</v>
      </c>
      <c r="F120" t="s">
        <v>29</v>
      </c>
      <c r="G120" t="s">
        <v>14</v>
      </c>
      <c r="H120">
        <v>82.75</v>
      </c>
      <c r="I120">
        <v>2201.7199999999998</v>
      </c>
      <c r="J120" t="s">
        <v>27</v>
      </c>
    </row>
    <row r="121" spans="1:10" x14ac:dyDescent="0.35">
      <c r="A121" t="s">
        <v>143</v>
      </c>
      <c r="B121" t="s">
        <v>11</v>
      </c>
      <c r="C121">
        <v>59</v>
      </c>
      <c r="D121">
        <v>46</v>
      </c>
      <c r="E121" t="s">
        <v>18</v>
      </c>
      <c r="F121" t="s">
        <v>33</v>
      </c>
      <c r="G121" t="s">
        <v>23</v>
      </c>
      <c r="H121">
        <v>121.07</v>
      </c>
      <c r="I121">
        <v>5971.09</v>
      </c>
      <c r="J121" t="s">
        <v>15</v>
      </c>
    </row>
    <row r="122" spans="1:10" x14ac:dyDescent="0.35">
      <c r="A122" t="s">
        <v>144</v>
      </c>
      <c r="B122" t="s">
        <v>17</v>
      </c>
      <c r="C122">
        <v>68</v>
      </c>
      <c r="D122">
        <v>29</v>
      </c>
      <c r="E122" t="s">
        <v>12</v>
      </c>
      <c r="F122" t="s">
        <v>29</v>
      </c>
      <c r="G122" t="s">
        <v>23</v>
      </c>
      <c r="H122">
        <v>107.47</v>
      </c>
      <c r="I122">
        <v>3020.76</v>
      </c>
      <c r="J122" t="s">
        <v>15</v>
      </c>
    </row>
    <row r="123" spans="1:10" x14ac:dyDescent="0.35">
      <c r="A123" t="s">
        <v>145</v>
      </c>
      <c r="B123" t="s">
        <v>11</v>
      </c>
      <c r="C123">
        <v>34</v>
      </c>
      <c r="D123">
        <v>4</v>
      </c>
      <c r="E123" t="s">
        <v>12</v>
      </c>
      <c r="F123" t="s">
        <v>33</v>
      </c>
      <c r="G123" t="s">
        <v>14</v>
      </c>
      <c r="H123">
        <v>114.15</v>
      </c>
      <c r="I123">
        <v>470.64</v>
      </c>
      <c r="J123" t="s">
        <v>27</v>
      </c>
    </row>
    <row r="124" spans="1:10" x14ac:dyDescent="0.35">
      <c r="A124" t="s">
        <v>146</v>
      </c>
      <c r="B124" t="s">
        <v>17</v>
      </c>
      <c r="C124">
        <v>22</v>
      </c>
      <c r="D124">
        <v>13</v>
      </c>
      <c r="E124" t="s">
        <v>21</v>
      </c>
      <c r="F124" t="s">
        <v>33</v>
      </c>
      <c r="G124" t="s">
        <v>19</v>
      </c>
      <c r="H124">
        <v>84.04</v>
      </c>
      <c r="I124">
        <v>1059.79</v>
      </c>
      <c r="J124" t="s">
        <v>15</v>
      </c>
    </row>
    <row r="125" spans="1:10" x14ac:dyDescent="0.35">
      <c r="A125" t="s">
        <v>147</v>
      </c>
      <c r="B125" t="s">
        <v>11</v>
      </c>
      <c r="C125">
        <v>46</v>
      </c>
      <c r="D125">
        <v>39</v>
      </c>
      <c r="E125" t="s">
        <v>12</v>
      </c>
      <c r="F125" t="s">
        <v>33</v>
      </c>
      <c r="G125" t="s">
        <v>14</v>
      </c>
      <c r="H125">
        <v>102.34</v>
      </c>
      <c r="I125">
        <v>4084.83</v>
      </c>
      <c r="J125" t="s">
        <v>27</v>
      </c>
    </row>
    <row r="126" spans="1:10" x14ac:dyDescent="0.35">
      <c r="A126" t="s">
        <v>148</v>
      </c>
      <c r="B126" t="s">
        <v>11</v>
      </c>
      <c r="C126">
        <v>21</v>
      </c>
      <c r="D126">
        <v>15</v>
      </c>
      <c r="E126" t="s">
        <v>21</v>
      </c>
      <c r="F126" t="s">
        <v>13</v>
      </c>
      <c r="G126" t="s">
        <v>19</v>
      </c>
      <c r="H126">
        <v>124.72</v>
      </c>
      <c r="I126">
        <v>2014.78</v>
      </c>
      <c r="J126" t="s">
        <v>15</v>
      </c>
    </row>
    <row r="127" spans="1:10" x14ac:dyDescent="0.35">
      <c r="A127" t="s">
        <v>149</v>
      </c>
      <c r="B127" t="s">
        <v>17</v>
      </c>
      <c r="C127">
        <v>27</v>
      </c>
      <c r="D127">
        <v>29</v>
      </c>
      <c r="E127" t="s">
        <v>12</v>
      </c>
      <c r="F127" t="s">
        <v>13</v>
      </c>
      <c r="G127" t="s">
        <v>19</v>
      </c>
      <c r="H127">
        <v>71.72</v>
      </c>
      <c r="I127">
        <v>1968.13</v>
      </c>
      <c r="J127" t="s">
        <v>27</v>
      </c>
    </row>
    <row r="128" spans="1:10" x14ac:dyDescent="0.35">
      <c r="A128" t="s">
        <v>150</v>
      </c>
      <c r="B128" t="s">
        <v>17</v>
      </c>
      <c r="C128">
        <v>34</v>
      </c>
      <c r="D128">
        <v>29</v>
      </c>
      <c r="E128" t="s">
        <v>18</v>
      </c>
      <c r="F128" t="s">
        <v>33</v>
      </c>
      <c r="G128" t="s">
        <v>14</v>
      </c>
      <c r="H128">
        <v>124.78</v>
      </c>
      <c r="I128">
        <v>3549.32</v>
      </c>
      <c r="J128" t="s">
        <v>27</v>
      </c>
    </row>
    <row r="129" spans="1:10" x14ac:dyDescent="0.35">
      <c r="A129" t="s">
        <v>151</v>
      </c>
      <c r="B129" t="s">
        <v>11</v>
      </c>
      <c r="C129">
        <v>27</v>
      </c>
      <c r="D129">
        <v>32</v>
      </c>
      <c r="E129" t="s">
        <v>12</v>
      </c>
      <c r="F129" t="s">
        <v>29</v>
      </c>
      <c r="G129" t="s">
        <v>19</v>
      </c>
      <c r="H129">
        <v>96.96</v>
      </c>
      <c r="I129">
        <v>3408.81</v>
      </c>
      <c r="J129" t="s">
        <v>27</v>
      </c>
    </row>
    <row r="130" spans="1:10" x14ac:dyDescent="0.35">
      <c r="A130" t="s">
        <v>152</v>
      </c>
      <c r="B130" t="s">
        <v>17</v>
      </c>
      <c r="C130">
        <v>34</v>
      </c>
      <c r="D130">
        <v>2</v>
      </c>
      <c r="E130" t="s">
        <v>12</v>
      </c>
      <c r="F130" t="s">
        <v>13</v>
      </c>
      <c r="G130" t="s">
        <v>14</v>
      </c>
      <c r="H130">
        <v>41.57</v>
      </c>
      <c r="I130">
        <v>89.27</v>
      </c>
      <c r="J130" t="s">
        <v>15</v>
      </c>
    </row>
    <row r="131" spans="1:10" x14ac:dyDescent="0.35">
      <c r="A131" t="s">
        <v>153</v>
      </c>
      <c r="B131" t="s">
        <v>17</v>
      </c>
      <c r="C131">
        <v>37</v>
      </c>
      <c r="D131">
        <v>47</v>
      </c>
      <c r="E131" t="s">
        <v>21</v>
      </c>
      <c r="F131" t="s">
        <v>22</v>
      </c>
      <c r="G131" t="s">
        <v>14</v>
      </c>
      <c r="H131">
        <v>23.21</v>
      </c>
      <c r="I131">
        <v>1104.97</v>
      </c>
      <c r="J131" t="s">
        <v>15</v>
      </c>
    </row>
    <row r="132" spans="1:10" x14ac:dyDescent="0.35">
      <c r="A132" t="s">
        <v>154</v>
      </c>
      <c r="B132" t="s">
        <v>17</v>
      </c>
      <c r="C132">
        <v>41</v>
      </c>
      <c r="D132">
        <v>22</v>
      </c>
      <c r="E132" t="s">
        <v>12</v>
      </c>
      <c r="F132" t="s">
        <v>22</v>
      </c>
      <c r="G132" t="s">
        <v>14</v>
      </c>
      <c r="H132">
        <v>67.16</v>
      </c>
      <c r="I132">
        <v>1482.43</v>
      </c>
      <c r="J132" t="s">
        <v>15</v>
      </c>
    </row>
    <row r="133" spans="1:10" x14ac:dyDescent="0.35">
      <c r="A133" t="s">
        <v>155</v>
      </c>
      <c r="B133" t="s">
        <v>11</v>
      </c>
      <c r="C133">
        <v>22</v>
      </c>
      <c r="D133">
        <v>27</v>
      </c>
      <c r="E133" t="s">
        <v>12</v>
      </c>
      <c r="F133" t="s">
        <v>29</v>
      </c>
      <c r="G133" t="s">
        <v>19</v>
      </c>
      <c r="H133">
        <v>91.07</v>
      </c>
      <c r="I133">
        <v>2352.96</v>
      </c>
      <c r="J133" t="s">
        <v>27</v>
      </c>
    </row>
    <row r="134" spans="1:10" x14ac:dyDescent="0.35">
      <c r="A134" t="s">
        <v>156</v>
      </c>
      <c r="B134" t="s">
        <v>11</v>
      </c>
      <c r="C134">
        <v>51</v>
      </c>
      <c r="D134">
        <v>67</v>
      </c>
      <c r="E134" t="s">
        <v>21</v>
      </c>
      <c r="F134" t="s">
        <v>22</v>
      </c>
      <c r="G134" t="s">
        <v>23</v>
      </c>
      <c r="H134">
        <v>129.18</v>
      </c>
      <c r="I134">
        <v>8684.85</v>
      </c>
      <c r="J134" t="s">
        <v>27</v>
      </c>
    </row>
    <row r="135" spans="1:10" x14ac:dyDescent="0.35">
      <c r="A135" t="s">
        <v>157</v>
      </c>
      <c r="B135" t="s">
        <v>11</v>
      </c>
      <c r="C135">
        <v>23</v>
      </c>
      <c r="D135">
        <v>56</v>
      </c>
      <c r="E135" t="s">
        <v>18</v>
      </c>
      <c r="F135" t="s">
        <v>33</v>
      </c>
      <c r="G135" t="s">
        <v>19</v>
      </c>
      <c r="H135">
        <v>36.57</v>
      </c>
      <c r="I135">
        <v>2190.5300000000002</v>
      </c>
      <c r="J135" t="s">
        <v>15</v>
      </c>
    </row>
    <row r="136" spans="1:10" x14ac:dyDescent="0.35">
      <c r="A136" t="s">
        <v>158</v>
      </c>
      <c r="B136" t="s">
        <v>11</v>
      </c>
      <c r="C136">
        <v>70</v>
      </c>
      <c r="D136">
        <v>21</v>
      </c>
      <c r="E136" t="s">
        <v>12</v>
      </c>
      <c r="F136" t="s">
        <v>29</v>
      </c>
      <c r="G136" t="s">
        <v>23</v>
      </c>
      <c r="H136">
        <v>124.03</v>
      </c>
      <c r="I136">
        <v>2701.09</v>
      </c>
      <c r="J136" t="s">
        <v>15</v>
      </c>
    </row>
    <row r="137" spans="1:10" x14ac:dyDescent="0.35">
      <c r="A137" t="s">
        <v>159</v>
      </c>
      <c r="B137" t="s">
        <v>11</v>
      </c>
      <c r="C137">
        <v>19</v>
      </c>
      <c r="D137">
        <v>47</v>
      </c>
      <c r="E137" t="s">
        <v>21</v>
      </c>
      <c r="F137" t="s">
        <v>33</v>
      </c>
      <c r="G137" t="s">
        <v>19</v>
      </c>
      <c r="H137">
        <v>132.19</v>
      </c>
      <c r="I137">
        <v>5952.04</v>
      </c>
      <c r="J137" t="s">
        <v>15</v>
      </c>
    </row>
    <row r="138" spans="1:10" x14ac:dyDescent="0.35">
      <c r="A138" t="s">
        <v>160</v>
      </c>
      <c r="B138" t="s">
        <v>11</v>
      </c>
      <c r="C138">
        <v>30</v>
      </c>
      <c r="D138">
        <v>59</v>
      </c>
      <c r="E138" t="s">
        <v>18</v>
      </c>
      <c r="F138" t="s">
        <v>29</v>
      </c>
      <c r="G138" t="s">
        <v>14</v>
      </c>
      <c r="H138">
        <v>39.590000000000003</v>
      </c>
      <c r="I138">
        <v>2196.35</v>
      </c>
      <c r="J138" t="s">
        <v>27</v>
      </c>
    </row>
    <row r="139" spans="1:10" x14ac:dyDescent="0.35">
      <c r="A139" t="s">
        <v>161</v>
      </c>
      <c r="B139" t="s">
        <v>11</v>
      </c>
      <c r="C139">
        <v>60</v>
      </c>
      <c r="D139">
        <v>6</v>
      </c>
      <c r="E139" t="s">
        <v>18</v>
      </c>
      <c r="F139" t="s">
        <v>13</v>
      </c>
      <c r="G139" t="s">
        <v>23</v>
      </c>
      <c r="H139">
        <v>130.71</v>
      </c>
      <c r="I139">
        <v>747.43</v>
      </c>
      <c r="J139" t="s">
        <v>15</v>
      </c>
    </row>
    <row r="140" spans="1:10" x14ac:dyDescent="0.35">
      <c r="A140" t="s">
        <v>162</v>
      </c>
      <c r="B140" t="s">
        <v>11</v>
      </c>
      <c r="C140">
        <v>60</v>
      </c>
      <c r="D140">
        <v>19</v>
      </c>
      <c r="E140" t="s">
        <v>12</v>
      </c>
      <c r="F140" t="s">
        <v>29</v>
      </c>
      <c r="G140" t="s">
        <v>23</v>
      </c>
      <c r="H140">
        <v>148.88999999999999</v>
      </c>
      <c r="I140">
        <v>2642.07</v>
      </c>
      <c r="J140" t="s">
        <v>15</v>
      </c>
    </row>
    <row r="141" spans="1:10" x14ac:dyDescent="0.35">
      <c r="A141" t="s">
        <v>163</v>
      </c>
      <c r="B141" t="s">
        <v>11</v>
      </c>
      <c r="C141">
        <v>65</v>
      </c>
      <c r="D141">
        <v>57</v>
      </c>
      <c r="E141" t="s">
        <v>21</v>
      </c>
      <c r="F141" t="s">
        <v>29</v>
      </c>
      <c r="G141" t="s">
        <v>23</v>
      </c>
      <c r="H141">
        <v>114.49</v>
      </c>
      <c r="I141">
        <v>5998.17</v>
      </c>
      <c r="J141" t="s">
        <v>27</v>
      </c>
    </row>
    <row r="142" spans="1:10" x14ac:dyDescent="0.35">
      <c r="A142" t="s">
        <v>164</v>
      </c>
      <c r="B142" t="s">
        <v>17</v>
      </c>
      <c r="C142">
        <v>28</v>
      </c>
      <c r="D142">
        <v>69</v>
      </c>
      <c r="E142" t="s">
        <v>12</v>
      </c>
      <c r="F142" t="s">
        <v>33</v>
      </c>
      <c r="G142" t="s">
        <v>19</v>
      </c>
      <c r="H142">
        <v>122.02</v>
      </c>
      <c r="I142">
        <v>8283.2199999999993</v>
      </c>
      <c r="J142" t="s">
        <v>27</v>
      </c>
    </row>
    <row r="143" spans="1:10" x14ac:dyDescent="0.35">
      <c r="A143" t="s">
        <v>165</v>
      </c>
      <c r="B143" t="s">
        <v>11</v>
      </c>
      <c r="C143">
        <v>68</v>
      </c>
      <c r="D143">
        <v>3</v>
      </c>
      <c r="E143" t="s">
        <v>18</v>
      </c>
      <c r="F143" t="s">
        <v>13</v>
      </c>
      <c r="G143" t="s">
        <v>23</v>
      </c>
      <c r="H143">
        <v>149.27000000000001</v>
      </c>
      <c r="I143">
        <v>413.18</v>
      </c>
      <c r="J143" t="s">
        <v>15</v>
      </c>
    </row>
    <row r="144" spans="1:10" x14ac:dyDescent="0.35">
      <c r="A144" t="s">
        <v>166</v>
      </c>
      <c r="B144" t="s">
        <v>17</v>
      </c>
      <c r="C144">
        <v>64</v>
      </c>
      <c r="D144">
        <v>1</v>
      </c>
      <c r="E144" t="s">
        <v>12</v>
      </c>
      <c r="F144" t="s">
        <v>13</v>
      </c>
      <c r="G144" t="s">
        <v>23</v>
      </c>
      <c r="H144">
        <v>98.71</v>
      </c>
      <c r="I144">
        <v>92.23</v>
      </c>
      <c r="J144" t="s">
        <v>15</v>
      </c>
    </row>
    <row r="145" spans="1:10" x14ac:dyDescent="0.35">
      <c r="A145" t="s">
        <v>167</v>
      </c>
      <c r="B145" t="s">
        <v>17</v>
      </c>
      <c r="C145">
        <v>40</v>
      </c>
      <c r="D145">
        <v>58</v>
      </c>
      <c r="E145" t="s">
        <v>12</v>
      </c>
      <c r="F145" t="s">
        <v>29</v>
      </c>
      <c r="G145" t="s">
        <v>14</v>
      </c>
      <c r="H145">
        <v>60.03</v>
      </c>
      <c r="I145">
        <v>3514.69</v>
      </c>
      <c r="J145" t="s">
        <v>15</v>
      </c>
    </row>
    <row r="146" spans="1:10" x14ac:dyDescent="0.35">
      <c r="A146" t="s">
        <v>168</v>
      </c>
      <c r="B146" t="s">
        <v>17</v>
      </c>
      <c r="C146">
        <v>33</v>
      </c>
      <c r="D146">
        <v>38</v>
      </c>
      <c r="E146" t="s">
        <v>21</v>
      </c>
      <c r="F146" t="s">
        <v>13</v>
      </c>
      <c r="G146" t="s">
        <v>14</v>
      </c>
      <c r="H146">
        <v>128.88</v>
      </c>
      <c r="I146">
        <v>4568.92</v>
      </c>
      <c r="J146" t="s">
        <v>15</v>
      </c>
    </row>
    <row r="147" spans="1:10" x14ac:dyDescent="0.35">
      <c r="A147" t="s">
        <v>169</v>
      </c>
      <c r="B147" t="s">
        <v>11</v>
      </c>
      <c r="C147">
        <v>48</v>
      </c>
      <c r="D147">
        <v>15</v>
      </c>
      <c r="E147" t="s">
        <v>12</v>
      </c>
      <c r="F147" t="s">
        <v>13</v>
      </c>
      <c r="G147" t="s">
        <v>14</v>
      </c>
      <c r="H147">
        <v>99.88</v>
      </c>
      <c r="I147">
        <v>1367.52</v>
      </c>
      <c r="J147" t="s">
        <v>15</v>
      </c>
    </row>
    <row r="148" spans="1:10" x14ac:dyDescent="0.35">
      <c r="A148" t="s">
        <v>170</v>
      </c>
      <c r="B148" t="s">
        <v>11</v>
      </c>
      <c r="C148">
        <v>28</v>
      </c>
      <c r="D148">
        <v>34</v>
      </c>
      <c r="E148" t="s">
        <v>18</v>
      </c>
      <c r="F148" t="s">
        <v>13</v>
      </c>
      <c r="G148" t="s">
        <v>19</v>
      </c>
      <c r="H148">
        <v>95.56</v>
      </c>
      <c r="I148">
        <v>3130.38</v>
      </c>
      <c r="J148" t="s">
        <v>15</v>
      </c>
    </row>
    <row r="149" spans="1:10" x14ac:dyDescent="0.35">
      <c r="A149" t="s">
        <v>171</v>
      </c>
      <c r="B149" t="s">
        <v>11</v>
      </c>
      <c r="C149">
        <v>33</v>
      </c>
      <c r="D149">
        <v>61</v>
      </c>
      <c r="E149" t="s">
        <v>18</v>
      </c>
      <c r="F149" t="s">
        <v>29</v>
      </c>
      <c r="G149" t="s">
        <v>14</v>
      </c>
      <c r="H149">
        <v>52.97</v>
      </c>
      <c r="I149">
        <v>3050.43</v>
      </c>
      <c r="J149" t="s">
        <v>15</v>
      </c>
    </row>
    <row r="150" spans="1:10" x14ac:dyDescent="0.35">
      <c r="A150" t="s">
        <v>172</v>
      </c>
      <c r="B150" t="s">
        <v>11</v>
      </c>
      <c r="C150">
        <v>25</v>
      </c>
      <c r="D150">
        <v>35</v>
      </c>
      <c r="E150" t="s">
        <v>21</v>
      </c>
      <c r="F150" t="s">
        <v>33</v>
      </c>
      <c r="G150" t="s">
        <v>19</v>
      </c>
      <c r="H150">
        <v>118.32</v>
      </c>
      <c r="I150">
        <v>4153.88</v>
      </c>
      <c r="J150" t="s">
        <v>15</v>
      </c>
    </row>
    <row r="151" spans="1:10" x14ac:dyDescent="0.35">
      <c r="A151" t="s">
        <v>173</v>
      </c>
      <c r="B151" t="s">
        <v>17</v>
      </c>
      <c r="C151">
        <v>21</v>
      </c>
      <c r="D151">
        <v>64</v>
      </c>
      <c r="E151" t="s">
        <v>12</v>
      </c>
      <c r="F151" t="s">
        <v>13</v>
      </c>
      <c r="G151" t="s">
        <v>19</v>
      </c>
      <c r="H151">
        <v>30.62</v>
      </c>
      <c r="I151">
        <v>1803.83</v>
      </c>
      <c r="J151" t="s">
        <v>27</v>
      </c>
    </row>
    <row r="152" spans="1:10" x14ac:dyDescent="0.35">
      <c r="A152" t="s">
        <v>174</v>
      </c>
      <c r="B152" t="s">
        <v>11</v>
      </c>
      <c r="C152">
        <v>57</v>
      </c>
      <c r="D152">
        <v>25</v>
      </c>
      <c r="E152" t="s">
        <v>21</v>
      </c>
      <c r="F152" t="s">
        <v>13</v>
      </c>
      <c r="G152" t="s">
        <v>23</v>
      </c>
      <c r="H152">
        <v>140.16</v>
      </c>
      <c r="I152">
        <v>3680.44</v>
      </c>
      <c r="J152" t="s">
        <v>15</v>
      </c>
    </row>
    <row r="153" spans="1:10" x14ac:dyDescent="0.35">
      <c r="A153" t="s">
        <v>175</v>
      </c>
      <c r="B153" t="s">
        <v>11</v>
      </c>
      <c r="C153">
        <v>21</v>
      </c>
      <c r="D153">
        <v>24</v>
      </c>
      <c r="E153" t="s">
        <v>12</v>
      </c>
      <c r="F153" t="s">
        <v>29</v>
      </c>
      <c r="G153" t="s">
        <v>19</v>
      </c>
      <c r="H153">
        <v>62.36</v>
      </c>
      <c r="I153">
        <v>1618.24</v>
      </c>
      <c r="J153" t="s">
        <v>27</v>
      </c>
    </row>
    <row r="154" spans="1:10" x14ac:dyDescent="0.35">
      <c r="A154" t="s">
        <v>176</v>
      </c>
      <c r="B154" t="s">
        <v>11</v>
      </c>
      <c r="C154">
        <v>42</v>
      </c>
      <c r="D154">
        <v>12</v>
      </c>
      <c r="E154" t="s">
        <v>12</v>
      </c>
      <c r="F154" t="s">
        <v>22</v>
      </c>
      <c r="G154" t="s">
        <v>14</v>
      </c>
      <c r="H154">
        <v>36.61</v>
      </c>
      <c r="I154">
        <v>460.71</v>
      </c>
      <c r="J154" t="s">
        <v>27</v>
      </c>
    </row>
    <row r="155" spans="1:10" x14ac:dyDescent="0.35">
      <c r="A155" t="s">
        <v>177</v>
      </c>
      <c r="B155" t="s">
        <v>11</v>
      </c>
      <c r="C155">
        <v>20</v>
      </c>
      <c r="D155">
        <v>18</v>
      </c>
      <c r="E155" t="s">
        <v>18</v>
      </c>
      <c r="F155" t="s">
        <v>13</v>
      </c>
      <c r="G155" t="s">
        <v>19</v>
      </c>
      <c r="H155">
        <v>77.510000000000005</v>
      </c>
      <c r="I155">
        <v>1404.34</v>
      </c>
      <c r="J155" t="s">
        <v>15</v>
      </c>
    </row>
    <row r="156" spans="1:10" x14ac:dyDescent="0.35">
      <c r="A156" t="s">
        <v>178</v>
      </c>
      <c r="B156" t="s">
        <v>11</v>
      </c>
      <c r="C156">
        <v>49</v>
      </c>
      <c r="D156">
        <v>15</v>
      </c>
      <c r="E156" t="s">
        <v>12</v>
      </c>
      <c r="F156" t="s">
        <v>13</v>
      </c>
      <c r="G156" t="s">
        <v>14</v>
      </c>
      <c r="H156">
        <v>25.52</v>
      </c>
      <c r="I156">
        <v>410.41</v>
      </c>
      <c r="J156" t="s">
        <v>15</v>
      </c>
    </row>
    <row r="157" spans="1:10" x14ac:dyDescent="0.35">
      <c r="A157" t="s">
        <v>179</v>
      </c>
      <c r="B157" t="s">
        <v>17</v>
      </c>
      <c r="C157">
        <v>20</v>
      </c>
      <c r="D157">
        <v>27</v>
      </c>
      <c r="E157" t="s">
        <v>12</v>
      </c>
      <c r="F157" t="s">
        <v>29</v>
      </c>
      <c r="G157" t="s">
        <v>19</v>
      </c>
      <c r="H157">
        <v>109</v>
      </c>
      <c r="I157">
        <v>3057.73</v>
      </c>
      <c r="J157" t="s">
        <v>15</v>
      </c>
    </row>
    <row r="158" spans="1:10" x14ac:dyDescent="0.35">
      <c r="A158" t="s">
        <v>180</v>
      </c>
      <c r="B158" t="s">
        <v>11</v>
      </c>
      <c r="C158">
        <v>44</v>
      </c>
      <c r="D158">
        <v>72</v>
      </c>
      <c r="E158" t="s">
        <v>18</v>
      </c>
      <c r="F158" t="s">
        <v>33</v>
      </c>
      <c r="G158" t="s">
        <v>14</v>
      </c>
      <c r="H158">
        <v>137.35</v>
      </c>
      <c r="I158">
        <v>8921.15</v>
      </c>
      <c r="J158" t="s">
        <v>27</v>
      </c>
    </row>
    <row r="159" spans="1:10" x14ac:dyDescent="0.35">
      <c r="A159" t="s">
        <v>181</v>
      </c>
      <c r="B159" t="s">
        <v>17</v>
      </c>
      <c r="C159">
        <v>46</v>
      </c>
      <c r="D159">
        <v>60</v>
      </c>
      <c r="E159" t="s">
        <v>12</v>
      </c>
      <c r="F159" t="s">
        <v>29</v>
      </c>
      <c r="G159" t="s">
        <v>14</v>
      </c>
      <c r="H159">
        <v>128.84</v>
      </c>
      <c r="I159">
        <v>7566.65</v>
      </c>
      <c r="J159" t="s">
        <v>15</v>
      </c>
    </row>
    <row r="160" spans="1:10" x14ac:dyDescent="0.35">
      <c r="A160" t="s">
        <v>182</v>
      </c>
      <c r="B160" t="s">
        <v>11</v>
      </c>
      <c r="C160">
        <v>49</v>
      </c>
      <c r="D160">
        <v>46</v>
      </c>
      <c r="E160" t="s">
        <v>12</v>
      </c>
      <c r="F160" t="s">
        <v>22</v>
      </c>
      <c r="G160" t="s">
        <v>14</v>
      </c>
      <c r="H160">
        <v>36.56</v>
      </c>
      <c r="I160">
        <v>1799.8</v>
      </c>
      <c r="J160" t="s">
        <v>15</v>
      </c>
    </row>
    <row r="161" spans="1:10" x14ac:dyDescent="0.35">
      <c r="A161" t="s">
        <v>183</v>
      </c>
      <c r="B161" t="s">
        <v>17</v>
      </c>
      <c r="C161">
        <v>67</v>
      </c>
      <c r="D161">
        <v>17</v>
      </c>
      <c r="E161" t="s">
        <v>18</v>
      </c>
      <c r="F161" t="s">
        <v>13</v>
      </c>
      <c r="G161" t="s">
        <v>23</v>
      </c>
      <c r="H161">
        <v>36.42</v>
      </c>
      <c r="I161">
        <v>600.04999999999995</v>
      </c>
      <c r="J161" t="s">
        <v>15</v>
      </c>
    </row>
    <row r="162" spans="1:10" x14ac:dyDescent="0.35">
      <c r="A162" t="s">
        <v>184</v>
      </c>
      <c r="B162" t="s">
        <v>11</v>
      </c>
      <c r="C162">
        <v>68</v>
      </c>
      <c r="D162">
        <v>53</v>
      </c>
      <c r="E162" t="s">
        <v>12</v>
      </c>
      <c r="F162" t="s">
        <v>29</v>
      </c>
      <c r="G162" t="s">
        <v>23</v>
      </c>
      <c r="H162">
        <v>125.75</v>
      </c>
      <c r="I162">
        <v>6045.22</v>
      </c>
      <c r="J162" t="s">
        <v>15</v>
      </c>
    </row>
    <row r="163" spans="1:10" x14ac:dyDescent="0.35">
      <c r="A163" t="s">
        <v>185</v>
      </c>
      <c r="B163" t="s">
        <v>11</v>
      </c>
      <c r="C163">
        <v>36</v>
      </c>
      <c r="D163">
        <v>8</v>
      </c>
      <c r="E163" t="s">
        <v>21</v>
      </c>
      <c r="F163" t="s">
        <v>22</v>
      </c>
      <c r="G163" t="s">
        <v>14</v>
      </c>
      <c r="H163">
        <v>140.15</v>
      </c>
      <c r="I163">
        <v>1176.4000000000001</v>
      </c>
      <c r="J163" t="s">
        <v>15</v>
      </c>
    </row>
    <row r="164" spans="1:10" x14ac:dyDescent="0.35">
      <c r="A164" t="s">
        <v>186</v>
      </c>
      <c r="B164" t="s">
        <v>17</v>
      </c>
      <c r="C164">
        <v>38</v>
      </c>
      <c r="D164">
        <v>27</v>
      </c>
      <c r="E164" t="s">
        <v>18</v>
      </c>
      <c r="F164" t="s">
        <v>29</v>
      </c>
      <c r="G164" t="s">
        <v>14</v>
      </c>
      <c r="H164">
        <v>79.89</v>
      </c>
      <c r="I164">
        <v>2287.33</v>
      </c>
      <c r="J164" t="s">
        <v>27</v>
      </c>
    </row>
    <row r="165" spans="1:10" x14ac:dyDescent="0.35">
      <c r="A165" t="s">
        <v>187</v>
      </c>
      <c r="B165" t="s">
        <v>17</v>
      </c>
      <c r="C165">
        <v>22</v>
      </c>
      <c r="D165">
        <v>46</v>
      </c>
      <c r="E165" t="s">
        <v>18</v>
      </c>
      <c r="F165" t="s">
        <v>33</v>
      </c>
      <c r="G165" t="s">
        <v>19</v>
      </c>
      <c r="H165">
        <v>84.87</v>
      </c>
      <c r="I165">
        <v>3639.01</v>
      </c>
      <c r="J165" t="s">
        <v>15</v>
      </c>
    </row>
    <row r="166" spans="1:10" x14ac:dyDescent="0.35">
      <c r="A166" t="s">
        <v>188</v>
      </c>
      <c r="B166" t="s">
        <v>17</v>
      </c>
      <c r="C166">
        <v>35</v>
      </c>
      <c r="D166">
        <v>50</v>
      </c>
      <c r="E166" t="s">
        <v>21</v>
      </c>
      <c r="F166" t="s">
        <v>33</v>
      </c>
      <c r="G166" t="s">
        <v>14</v>
      </c>
      <c r="H166">
        <v>61.37</v>
      </c>
      <c r="I166">
        <v>3091.42</v>
      </c>
      <c r="J166" t="s">
        <v>27</v>
      </c>
    </row>
    <row r="167" spans="1:10" x14ac:dyDescent="0.35">
      <c r="A167" t="s">
        <v>189</v>
      </c>
      <c r="B167" t="s">
        <v>11</v>
      </c>
      <c r="C167">
        <v>45</v>
      </c>
      <c r="D167">
        <v>71</v>
      </c>
      <c r="E167" t="s">
        <v>12</v>
      </c>
      <c r="F167" t="s">
        <v>33</v>
      </c>
      <c r="G167" t="s">
        <v>14</v>
      </c>
      <c r="H167">
        <v>136.25</v>
      </c>
      <c r="I167">
        <v>9077.76</v>
      </c>
      <c r="J167" t="s">
        <v>27</v>
      </c>
    </row>
    <row r="168" spans="1:10" x14ac:dyDescent="0.35">
      <c r="A168" t="s">
        <v>190</v>
      </c>
      <c r="B168" t="s">
        <v>17</v>
      </c>
      <c r="C168">
        <v>59</v>
      </c>
      <c r="D168">
        <v>3</v>
      </c>
      <c r="E168" t="s">
        <v>12</v>
      </c>
      <c r="F168" t="s">
        <v>29</v>
      </c>
      <c r="G168" t="s">
        <v>23</v>
      </c>
      <c r="H168">
        <v>103.84</v>
      </c>
      <c r="I168">
        <v>325.18</v>
      </c>
      <c r="J168" t="s">
        <v>27</v>
      </c>
    </row>
    <row r="169" spans="1:10" x14ac:dyDescent="0.35">
      <c r="A169" t="s">
        <v>191</v>
      </c>
      <c r="B169" t="s">
        <v>11</v>
      </c>
      <c r="C169">
        <v>39</v>
      </c>
      <c r="D169">
        <v>64</v>
      </c>
      <c r="E169" t="s">
        <v>18</v>
      </c>
      <c r="F169" t="s">
        <v>22</v>
      </c>
      <c r="G169" t="s">
        <v>14</v>
      </c>
      <c r="H169">
        <v>57.47</v>
      </c>
      <c r="I169">
        <v>3510.03</v>
      </c>
      <c r="J169" t="s">
        <v>15</v>
      </c>
    </row>
    <row r="170" spans="1:10" x14ac:dyDescent="0.35">
      <c r="A170" t="s">
        <v>192</v>
      </c>
      <c r="B170" t="s">
        <v>11</v>
      </c>
      <c r="C170">
        <v>38</v>
      </c>
      <c r="D170">
        <v>44</v>
      </c>
      <c r="E170" t="s">
        <v>18</v>
      </c>
      <c r="F170" t="s">
        <v>13</v>
      </c>
      <c r="G170" t="s">
        <v>14</v>
      </c>
      <c r="H170">
        <v>58.84</v>
      </c>
      <c r="I170">
        <v>2493.8000000000002</v>
      </c>
      <c r="J170" t="s">
        <v>15</v>
      </c>
    </row>
    <row r="171" spans="1:10" x14ac:dyDescent="0.35">
      <c r="A171" t="s">
        <v>193</v>
      </c>
      <c r="B171" t="s">
        <v>17</v>
      </c>
      <c r="C171">
        <v>23</v>
      </c>
      <c r="D171">
        <v>53</v>
      </c>
      <c r="E171" t="s">
        <v>12</v>
      </c>
      <c r="F171" t="s">
        <v>33</v>
      </c>
      <c r="G171" t="s">
        <v>19</v>
      </c>
      <c r="H171">
        <v>135.86000000000001</v>
      </c>
      <c r="I171">
        <v>7697.38</v>
      </c>
      <c r="J171" t="s">
        <v>15</v>
      </c>
    </row>
    <row r="172" spans="1:10" x14ac:dyDescent="0.35">
      <c r="A172" t="s">
        <v>194</v>
      </c>
      <c r="B172" t="s">
        <v>17</v>
      </c>
      <c r="C172">
        <v>18</v>
      </c>
      <c r="D172">
        <v>24</v>
      </c>
      <c r="E172" t="s">
        <v>12</v>
      </c>
      <c r="F172" t="s">
        <v>22</v>
      </c>
      <c r="G172" t="s">
        <v>19</v>
      </c>
      <c r="H172">
        <v>21.77</v>
      </c>
      <c r="I172">
        <v>520.01</v>
      </c>
      <c r="J172" t="s">
        <v>27</v>
      </c>
    </row>
    <row r="173" spans="1:10" x14ac:dyDescent="0.35">
      <c r="A173" t="s">
        <v>195</v>
      </c>
      <c r="B173" t="s">
        <v>11</v>
      </c>
      <c r="C173">
        <v>22</v>
      </c>
      <c r="D173">
        <v>60</v>
      </c>
      <c r="E173" t="s">
        <v>12</v>
      </c>
      <c r="F173" t="s">
        <v>33</v>
      </c>
      <c r="G173" t="s">
        <v>19</v>
      </c>
      <c r="H173">
        <v>61.95</v>
      </c>
      <c r="I173">
        <v>3843.2</v>
      </c>
      <c r="J173" t="s">
        <v>15</v>
      </c>
    </row>
    <row r="174" spans="1:10" x14ac:dyDescent="0.35">
      <c r="A174" t="s">
        <v>196</v>
      </c>
      <c r="B174" t="s">
        <v>11</v>
      </c>
      <c r="C174">
        <v>58</v>
      </c>
      <c r="D174">
        <v>3</v>
      </c>
      <c r="E174" t="s">
        <v>12</v>
      </c>
      <c r="F174" t="s">
        <v>13</v>
      </c>
      <c r="G174" t="s">
        <v>23</v>
      </c>
      <c r="H174">
        <v>92.07</v>
      </c>
      <c r="I174">
        <v>270.82</v>
      </c>
      <c r="J174" t="s">
        <v>15</v>
      </c>
    </row>
    <row r="175" spans="1:10" x14ac:dyDescent="0.35">
      <c r="A175" t="s">
        <v>197</v>
      </c>
      <c r="B175" t="s">
        <v>17</v>
      </c>
      <c r="C175">
        <v>29</v>
      </c>
      <c r="D175">
        <v>20</v>
      </c>
      <c r="E175" t="s">
        <v>21</v>
      </c>
      <c r="F175" t="s">
        <v>13</v>
      </c>
      <c r="G175" t="s">
        <v>19</v>
      </c>
      <c r="H175">
        <v>39.270000000000003</v>
      </c>
      <c r="I175">
        <v>753.67</v>
      </c>
      <c r="J175" t="s">
        <v>15</v>
      </c>
    </row>
    <row r="176" spans="1:10" x14ac:dyDescent="0.35">
      <c r="A176" t="s">
        <v>198</v>
      </c>
      <c r="B176" t="s">
        <v>17</v>
      </c>
      <c r="C176">
        <v>43</v>
      </c>
      <c r="D176">
        <v>46</v>
      </c>
      <c r="E176" t="s">
        <v>12</v>
      </c>
      <c r="F176" t="s">
        <v>29</v>
      </c>
      <c r="G176" t="s">
        <v>14</v>
      </c>
      <c r="H176">
        <v>31.97</v>
      </c>
      <c r="I176">
        <v>1507.53</v>
      </c>
      <c r="J176" t="s">
        <v>27</v>
      </c>
    </row>
    <row r="177" spans="1:10" x14ac:dyDescent="0.35">
      <c r="A177" t="s">
        <v>199</v>
      </c>
      <c r="B177" t="s">
        <v>17</v>
      </c>
      <c r="C177">
        <v>63</v>
      </c>
      <c r="D177">
        <v>15</v>
      </c>
      <c r="E177" t="s">
        <v>18</v>
      </c>
      <c r="F177" t="s">
        <v>22</v>
      </c>
      <c r="G177" t="s">
        <v>23</v>
      </c>
      <c r="H177">
        <v>125.99</v>
      </c>
      <c r="I177">
        <v>1759.4</v>
      </c>
      <c r="J177" t="s">
        <v>15</v>
      </c>
    </row>
    <row r="178" spans="1:10" x14ac:dyDescent="0.35">
      <c r="A178" t="s">
        <v>200</v>
      </c>
      <c r="B178" t="s">
        <v>11</v>
      </c>
      <c r="C178">
        <v>51</v>
      </c>
      <c r="D178">
        <v>25</v>
      </c>
      <c r="E178" t="s">
        <v>21</v>
      </c>
      <c r="F178" t="s">
        <v>13</v>
      </c>
      <c r="G178" t="s">
        <v>23</v>
      </c>
      <c r="H178">
        <v>136.27000000000001</v>
      </c>
      <c r="I178">
        <v>3320.22</v>
      </c>
      <c r="J178" t="s">
        <v>15</v>
      </c>
    </row>
    <row r="179" spans="1:10" x14ac:dyDescent="0.35">
      <c r="A179" t="s">
        <v>201</v>
      </c>
      <c r="B179" t="s">
        <v>11</v>
      </c>
      <c r="C179">
        <v>66</v>
      </c>
      <c r="D179">
        <v>71</v>
      </c>
      <c r="E179" t="s">
        <v>12</v>
      </c>
      <c r="F179" t="s">
        <v>13</v>
      </c>
      <c r="G179" t="s">
        <v>23</v>
      </c>
      <c r="H179">
        <v>127.07</v>
      </c>
      <c r="I179">
        <v>8496.9599999999991</v>
      </c>
      <c r="J179" t="s">
        <v>15</v>
      </c>
    </row>
    <row r="180" spans="1:10" x14ac:dyDescent="0.35">
      <c r="A180" t="s">
        <v>202</v>
      </c>
      <c r="B180" t="s">
        <v>11</v>
      </c>
      <c r="C180">
        <v>31</v>
      </c>
      <c r="D180">
        <v>17</v>
      </c>
      <c r="E180" t="s">
        <v>21</v>
      </c>
      <c r="F180" t="s">
        <v>22</v>
      </c>
      <c r="G180" t="s">
        <v>14</v>
      </c>
      <c r="H180">
        <v>136.84</v>
      </c>
      <c r="I180">
        <v>2417.37</v>
      </c>
      <c r="J180" t="s">
        <v>15</v>
      </c>
    </row>
    <row r="181" spans="1:10" x14ac:dyDescent="0.35">
      <c r="A181" t="s">
        <v>203</v>
      </c>
      <c r="B181" t="s">
        <v>11</v>
      </c>
      <c r="C181">
        <v>43</v>
      </c>
      <c r="D181">
        <v>9</v>
      </c>
      <c r="E181" t="s">
        <v>12</v>
      </c>
      <c r="F181" t="s">
        <v>13</v>
      </c>
      <c r="G181" t="s">
        <v>14</v>
      </c>
      <c r="H181">
        <v>91.9</v>
      </c>
      <c r="I181">
        <v>900.58</v>
      </c>
      <c r="J181" t="s">
        <v>15</v>
      </c>
    </row>
    <row r="182" spans="1:10" x14ac:dyDescent="0.35">
      <c r="A182" t="s">
        <v>204</v>
      </c>
      <c r="B182" t="s">
        <v>11</v>
      </c>
      <c r="C182">
        <v>62</v>
      </c>
      <c r="D182">
        <v>38</v>
      </c>
      <c r="E182" t="s">
        <v>21</v>
      </c>
      <c r="F182" t="s">
        <v>29</v>
      </c>
      <c r="G182" t="s">
        <v>23</v>
      </c>
      <c r="H182">
        <v>125.59</v>
      </c>
      <c r="I182">
        <v>5245.38</v>
      </c>
      <c r="J182" t="s">
        <v>27</v>
      </c>
    </row>
    <row r="183" spans="1:10" x14ac:dyDescent="0.35">
      <c r="A183" t="s">
        <v>205</v>
      </c>
      <c r="B183" t="s">
        <v>11</v>
      </c>
      <c r="C183">
        <v>44</v>
      </c>
      <c r="D183">
        <v>48</v>
      </c>
      <c r="E183" t="s">
        <v>21</v>
      </c>
      <c r="F183" t="s">
        <v>13</v>
      </c>
      <c r="G183" t="s">
        <v>14</v>
      </c>
      <c r="H183">
        <v>69.930000000000007</v>
      </c>
      <c r="I183">
        <v>3323.26</v>
      </c>
      <c r="J183" t="s">
        <v>15</v>
      </c>
    </row>
    <row r="184" spans="1:10" x14ac:dyDescent="0.35">
      <c r="A184" t="s">
        <v>206</v>
      </c>
      <c r="B184" t="s">
        <v>17</v>
      </c>
      <c r="C184">
        <v>26</v>
      </c>
      <c r="D184">
        <v>60</v>
      </c>
      <c r="E184" t="s">
        <v>18</v>
      </c>
      <c r="F184" t="s">
        <v>13</v>
      </c>
      <c r="G184" t="s">
        <v>19</v>
      </c>
      <c r="H184">
        <v>106.61</v>
      </c>
      <c r="I184">
        <v>6080.01</v>
      </c>
      <c r="J184" t="s">
        <v>15</v>
      </c>
    </row>
    <row r="185" spans="1:10" x14ac:dyDescent="0.35">
      <c r="A185" t="s">
        <v>207</v>
      </c>
      <c r="B185" t="s">
        <v>11</v>
      </c>
      <c r="C185">
        <v>43</v>
      </c>
      <c r="D185">
        <v>63</v>
      </c>
      <c r="E185" t="s">
        <v>18</v>
      </c>
      <c r="F185" t="s">
        <v>13</v>
      </c>
      <c r="G185" t="s">
        <v>14</v>
      </c>
      <c r="H185">
        <v>148.55000000000001</v>
      </c>
      <c r="I185">
        <v>9251.64</v>
      </c>
      <c r="J185" t="s">
        <v>27</v>
      </c>
    </row>
    <row r="186" spans="1:10" x14ac:dyDescent="0.35">
      <c r="A186" t="s">
        <v>208</v>
      </c>
      <c r="B186" t="s">
        <v>11</v>
      </c>
      <c r="C186">
        <v>64</v>
      </c>
      <c r="D186">
        <v>2</v>
      </c>
      <c r="E186" t="s">
        <v>12</v>
      </c>
      <c r="F186" t="s">
        <v>29</v>
      </c>
      <c r="G186" t="s">
        <v>23</v>
      </c>
      <c r="H186">
        <v>49.34</v>
      </c>
      <c r="I186">
        <v>105.53</v>
      </c>
      <c r="J186" t="s">
        <v>27</v>
      </c>
    </row>
    <row r="187" spans="1:10" x14ac:dyDescent="0.35">
      <c r="A187" t="s">
        <v>209</v>
      </c>
      <c r="B187" t="s">
        <v>11</v>
      </c>
      <c r="C187">
        <v>39</v>
      </c>
      <c r="D187">
        <v>72</v>
      </c>
      <c r="E187" t="s">
        <v>12</v>
      </c>
      <c r="F187" t="s">
        <v>29</v>
      </c>
      <c r="G187" t="s">
        <v>14</v>
      </c>
      <c r="H187">
        <v>70.69</v>
      </c>
      <c r="I187">
        <v>4790.41</v>
      </c>
      <c r="J187" t="s">
        <v>27</v>
      </c>
    </row>
    <row r="188" spans="1:10" x14ac:dyDescent="0.35">
      <c r="A188" t="s">
        <v>210</v>
      </c>
      <c r="B188" t="s">
        <v>17</v>
      </c>
      <c r="C188">
        <v>64</v>
      </c>
      <c r="D188">
        <v>11</v>
      </c>
      <c r="E188" t="s">
        <v>21</v>
      </c>
      <c r="F188" t="s">
        <v>29</v>
      </c>
      <c r="G188" t="s">
        <v>23</v>
      </c>
      <c r="H188">
        <v>82.41</v>
      </c>
      <c r="I188">
        <v>988.48</v>
      </c>
      <c r="J188" t="s">
        <v>15</v>
      </c>
    </row>
    <row r="189" spans="1:10" x14ac:dyDescent="0.35">
      <c r="A189" t="s">
        <v>211</v>
      </c>
      <c r="B189" t="s">
        <v>11</v>
      </c>
      <c r="C189">
        <v>47</v>
      </c>
      <c r="D189">
        <v>64</v>
      </c>
      <c r="E189" t="s">
        <v>12</v>
      </c>
      <c r="F189" t="s">
        <v>22</v>
      </c>
      <c r="G189" t="s">
        <v>14</v>
      </c>
      <c r="H189">
        <v>37.94</v>
      </c>
      <c r="I189">
        <v>2351.36</v>
      </c>
      <c r="J189" t="s">
        <v>15</v>
      </c>
    </row>
    <row r="190" spans="1:10" x14ac:dyDescent="0.35">
      <c r="A190" t="s">
        <v>212</v>
      </c>
      <c r="B190" t="s">
        <v>11</v>
      </c>
      <c r="C190">
        <v>60</v>
      </c>
      <c r="D190">
        <v>72</v>
      </c>
      <c r="E190" t="s">
        <v>12</v>
      </c>
      <c r="F190" t="s">
        <v>29</v>
      </c>
      <c r="G190" t="s">
        <v>23</v>
      </c>
      <c r="H190">
        <v>30.54</v>
      </c>
      <c r="I190">
        <v>2412.52</v>
      </c>
      <c r="J190" t="s">
        <v>27</v>
      </c>
    </row>
    <row r="191" spans="1:10" x14ac:dyDescent="0.35">
      <c r="A191" t="s">
        <v>213</v>
      </c>
      <c r="B191" t="s">
        <v>17</v>
      </c>
      <c r="C191">
        <v>65</v>
      </c>
      <c r="D191">
        <v>21</v>
      </c>
      <c r="E191" t="s">
        <v>12</v>
      </c>
      <c r="F191" t="s">
        <v>13</v>
      </c>
      <c r="G191" t="s">
        <v>23</v>
      </c>
      <c r="H191">
        <v>127.86</v>
      </c>
      <c r="I191">
        <v>2866.9</v>
      </c>
      <c r="J191" t="s">
        <v>15</v>
      </c>
    </row>
    <row r="192" spans="1:10" x14ac:dyDescent="0.35">
      <c r="A192" t="s">
        <v>214</v>
      </c>
      <c r="B192" t="s">
        <v>11</v>
      </c>
      <c r="C192">
        <v>34</v>
      </c>
      <c r="D192">
        <v>18</v>
      </c>
      <c r="E192" t="s">
        <v>21</v>
      </c>
      <c r="F192" t="s">
        <v>33</v>
      </c>
      <c r="G192" t="s">
        <v>14</v>
      </c>
      <c r="H192">
        <v>146.97999999999999</v>
      </c>
      <c r="I192">
        <v>2808.91</v>
      </c>
      <c r="J192" t="s">
        <v>15</v>
      </c>
    </row>
    <row r="193" spans="1:10" x14ac:dyDescent="0.35">
      <c r="A193" t="s">
        <v>215</v>
      </c>
      <c r="B193" t="s">
        <v>11</v>
      </c>
      <c r="C193">
        <v>43</v>
      </c>
      <c r="D193">
        <v>64</v>
      </c>
      <c r="E193" t="s">
        <v>12</v>
      </c>
      <c r="F193" t="s">
        <v>29</v>
      </c>
      <c r="G193" t="s">
        <v>14</v>
      </c>
      <c r="H193">
        <v>72.61</v>
      </c>
      <c r="I193">
        <v>4477.8</v>
      </c>
      <c r="J193" t="s">
        <v>15</v>
      </c>
    </row>
    <row r="194" spans="1:10" x14ac:dyDescent="0.35">
      <c r="A194" t="s">
        <v>216</v>
      </c>
      <c r="B194" t="s">
        <v>11</v>
      </c>
      <c r="C194">
        <v>53</v>
      </c>
      <c r="D194">
        <v>38</v>
      </c>
      <c r="E194" t="s">
        <v>21</v>
      </c>
      <c r="F194" t="s">
        <v>13</v>
      </c>
      <c r="G194" t="s">
        <v>23</v>
      </c>
      <c r="H194">
        <v>31.39</v>
      </c>
      <c r="I194">
        <v>1075.6300000000001</v>
      </c>
      <c r="J194" t="s">
        <v>15</v>
      </c>
    </row>
    <row r="195" spans="1:10" x14ac:dyDescent="0.35">
      <c r="A195" t="s">
        <v>217</v>
      </c>
      <c r="B195" t="s">
        <v>11</v>
      </c>
      <c r="C195">
        <v>18</v>
      </c>
      <c r="D195">
        <v>32</v>
      </c>
      <c r="E195" t="s">
        <v>18</v>
      </c>
      <c r="F195" t="s">
        <v>22</v>
      </c>
      <c r="G195" t="s">
        <v>19</v>
      </c>
      <c r="H195">
        <v>28.56</v>
      </c>
      <c r="I195">
        <v>892.38</v>
      </c>
      <c r="J195" t="s">
        <v>15</v>
      </c>
    </row>
    <row r="196" spans="1:10" x14ac:dyDescent="0.35">
      <c r="A196" t="s">
        <v>218</v>
      </c>
      <c r="B196" t="s">
        <v>11</v>
      </c>
      <c r="C196">
        <v>25</v>
      </c>
      <c r="D196">
        <v>11</v>
      </c>
      <c r="E196" t="s">
        <v>12</v>
      </c>
      <c r="F196" t="s">
        <v>33</v>
      </c>
      <c r="G196" t="s">
        <v>19</v>
      </c>
      <c r="H196">
        <v>135.87</v>
      </c>
      <c r="I196">
        <v>1435.33</v>
      </c>
      <c r="J196" t="s">
        <v>27</v>
      </c>
    </row>
    <row r="197" spans="1:10" x14ac:dyDescent="0.35">
      <c r="A197" t="s">
        <v>219</v>
      </c>
      <c r="B197" t="s">
        <v>17</v>
      </c>
      <c r="C197">
        <v>66</v>
      </c>
      <c r="D197">
        <v>45</v>
      </c>
      <c r="E197" t="s">
        <v>12</v>
      </c>
      <c r="F197" t="s">
        <v>22</v>
      </c>
      <c r="G197" t="s">
        <v>23</v>
      </c>
      <c r="H197">
        <v>80.3</v>
      </c>
      <c r="I197">
        <v>3279.18</v>
      </c>
      <c r="J197" t="s">
        <v>15</v>
      </c>
    </row>
    <row r="198" spans="1:10" x14ac:dyDescent="0.35">
      <c r="A198" t="s">
        <v>220</v>
      </c>
      <c r="B198" t="s">
        <v>17</v>
      </c>
      <c r="C198">
        <v>52</v>
      </c>
      <c r="D198">
        <v>33</v>
      </c>
      <c r="E198" t="s">
        <v>12</v>
      </c>
      <c r="F198" t="s">
        <v>22</v>
      </c>
      <c r="G198" t="s">
        <v>23</v>
      </c>
      <c r="H198">
        <v>61.6</v>
      </c>
      <c r="I198">
        <v>2034.98</v>
      </c>
      <c r="J198" t="s">
        <v>15</v>
      </c>
    </row>
    <row r="199" spans="1:10" x14ac:dyDescent="0.35">
      <c r="A199" t="s">
        <v>221</v>
      </c>
      <c r="B199" t="s">
        <v>17</v>
      </c>
      <c r="C199">
        <v>69</v>
      </c>
      <c r="D199">
        <v>41</v>
      </c>
      <c r="E199" t="s">
        <v>18</v>
      </c>
      <c r="F199" t="s">
        <v>33</v>
      </c>
      <c r="G199" t="s">
        <v>23</v>
      </c>
      <c r="H199">
        <v>81.94</v>
      </c>
      <c r="I199">
        <v>3294.39</v>
      </c>
      <c r="J199" t="s">
        <v>15</v>
      </c>
    </row>
    <row r="200" spans="1:10" x14ac:dyDescent="0.35">
      <c r="A200" t="s">
        <v>222</v>
      </c>
      <c r="B200" t="s">
        <v>11</v>
      </c>
      <c r="C200">
        <v>32</v>
      </c>
      <c r="D200">
        <v>8</v>
      </c>
      <c r="E200" t="s">
        <v>12</v>
      </c>
      <c r="F200" t="s">
        <v>13</v>
      </c>
      <c r="G200" t="s">
        <v>14</v>
      </c>
      <c r="H200">
        <v>61.38</v>
      </c>
      <c r="I200">
        <v>504.25</v>
      </c>
      <c r="J200" t="s">
        <v>15</v>
      </c>
    </row>
    <row r="201" spans="1:10" x14ac:dyDescent="0.35">
      <c r="A201" t="s">
        <v>223</v>
      </c>
      <c r="B201" t="s">
        <v>11</v>
      </c>
      <c r="C201">
        <v>64</v>
      </c>
      <c r="D201">
        <v>11</v>
      </c>
      <c r="E201" t="s">
        <v>12</v>
      </c>
      <c r="F201" t="s">
        <v>33</v>
      </c>
      <c r="G201" t="s">
        <v>23</v>
      </c>
      <c r="H201">
        <v>83.57</v>
      </c>
      <c r="I201">
        <v>941.55</v>
      </c>
      <c r="J201" t="s">
        <v>15</v>
      </c>
    </row>
    <row r="202" spans="1:10" x14ac:dyDescent="0.35">
      <c r="A202" t="s">
        <v>224</v>
      </c>
      <c r="B202" t="s">
        <v>11</v>
      </c>
      <c r="C202">
        <v>39</v>
      </c>
      <c r="D202">
        <v>51</v>
      </c>
      <c r="E202" t="s">
        <v>12</v>
      </c>
      <c r="F202" t="s">
        <v>29</v>
      </c>
      <c r="G202" t="s">
        <v>14</v>
      </c>
      <c r="H202">
        <v>131.74</v>
      </c>
      <c r="I202">
        <v>6209.12</v>
      </c>
      <c r="J202" t="s">
        <v>15</v>
      </c>
    </row>
    <row r="203" spans="1:10" x14ac:dyDescent="0.35">
      <c r="A203" t="s">
        <v>225</v>
      </c>
      <c r="B203" t="s">
        <v>17</v>
      </c>
      <c r="C203">
        <v>31</v>
      </c>
      <c r="D203">
        <v>41</v>
      </c>
      <c r="E203" t="s">
        <v>21</v>
      </c>
      <c r="F203" t="s">
        <v>33</v>
      </c>
      <c r="G203" t="s">
        <v>14</v>
      </c>
      <c r="H203">
        <v>97</v>
      </c>
      <c r="I203">
        <v>4356.38</v>
      </c>
      <c r="J203" t="s">
        <v>15</v>
      </c>
    </row>
    <row r="204" spans="1:10" x14ac:dyDescent="0.35">
      <c r="A204" t="s">
        <v>226</v>
      </c>
      <c r="B204" t="s">
        <v>11</v>
      </c>
      <c r="C204">
        <v>43</v>
      </c>
      <c r="D204">
        <v>17</v>
      </c>
      <c r="E204" t="s">
        <v>12</v>
      </c>
      <c r="F204" t="s">
        <v>13</v>
      </c>
      <c r="G204" t="s">
        <v>14</v>
      </c>
      <c r="H204">
        <v>110.3</v>
      </c>
      <c r="I204">
        <v>1757.69</v>
      </c>
      <c r="J204" t="s">
        <v>15</v>
      </c>
    </row>
    <row r="205" spans="1:10" x14ac:dyDescent="0.35">
      <c r="A205" t="s">
        <v>227</v>
      </c>
      <c r="B205" t="s">
        <v>11</v>
      </c>
      <c r="C205">
        <v>45</v>
      </c>
      <c r="D205">
        <v>46</v>
      </c>
      <c r="E205" t="s">
        <v>21</v>
      </c>
      <c r="F205" t="s">
        <v>13</v>
      </c>
      <c r="G205" t="s">
        <v>14</v>
      </c>
      <c r="H205">
        <v>67.41</v>
      </c>
      <c r="I205">
        <v>3066.92</v>
      </c>
      <c r="J205" t="s">
        <v>15</v>
      </c>
    </row>
    <row r="206" spans="1:10" x14ac:dyDescent="0.35">
      <c r="A206" t="s">
        <v>228</v>
      </c>
      <c r="B206" t="s">
        <v>17</v>
      </c>
      <c r="C206">
        <v>40</v>
      </c>
      <c r="D206">
        <v>32</v>
      </c>
      <c r="E206" t="s">
        <v>18</v>
      </c>
      <c r="F206" t="s">
        <v>29</v>
      </c>
      <c r="G206" t="s">
        <v>14</v>
      </c>
      <c r="H206">
        <v>116.01</v>
      </c>
      <c r="I206">
        <v>3703.5</v>
      </c>
      <c r="J206" t="s">
        <v>27</v>
      </c>
    </row>
    <row r="207" spans="1:10" x14ac:dyDescent="0.35">
      <c r="A207" t="s">
        <v>229</v>
      </c>
      <c r="B207" t="s">
        <v>11</v>
      </c>
      <c r="C207">
        <v>31</v>
      </c>
      <c r="D207">
        <v>54</v>
      </c>
      <c r="E207" t="s">
        <v>12</v>
      </c>
      <c r="F207" t="s">
        <v>22</v>
      </c>
      <c r="G207" t="s">
        <v>14</v>
      </c>
      <c r="H207">
        <v>106.66</v>
      </c>
      <c r="I207">
        <v>6120.27</v>
      </c>
      <c r="J207" t="s">
        <v>15</v>
      </c>
    </row>
    <row r="208" spans="1:10" x14ac:dyDescent="0.35">
      <c r="A208" t="s">
        <v>230</v>
      </c>
      <c r="B208" t="s">
        <v>17</v>
      </c>
      <c r="C208">
        <v>41</v>
      </c>
      <c r="D208">
        <v>20</v>
      </c>
      <c r="E208" t="s">
        <v>18</v>
      </c>
      <c r="F208" t="s">
        <v>29</v>
      </c>
      <c r="G208" t="s">
        <v>14</v>
      </c>
      <c r="H208">
        <v>35.54</v>
      </c>
      <c r="I208">
        <v>653.83000000000004</v>
      </c>
      <c r="J208" t="s">
        <v>27</v>
      </c>
    </row>
    <row r="209" spans="1:10" x14ac:dyDescent="0.35">
      <c r="A209" t="s">
        <v>231</v>
      </c>
      <c r="B209" t="s">
        <v>17</v>
      </c>
      <c r="C209">
        <v>19</v>
      </c>
      <c r="D209">
        <v>33</v>
      </c>
      <c r="E209" t="s">
        <v>12</v>
      </c>
      <c r="F209" t="s">
        <v>33</v>
      </c>
      <c r="G209" t="s">
        <v>19</v>
      </c>
      <c r="H209">
        <v>94.44</v>
      </c>
      <c r="I209">
        <v>3072.04</v>
      </c>
      <c r="J209" t="s">
        <v>15</v>
      </c>
    </row>
    <row r="210" spans="1:10" x14ac:dyDescent="0.35">
      <c r="A210" t="s">
        <v>232</v>
      </c>
      <c r="B210" t="s">
        <v>17</v>
      </c>
      <c r="C210">
        <v>62</v>
      </c>
      <c r="D210">
        <v>40</v>
      </c>
      <c r="E210" t="s">
        <v>18</v>
      </c>
      <c r="F210" t="s">
        <v>33</v>
      </c>
      <c r="G210" t="s">
        <v>23</v>
      </c>
      <c r="H210">
        <v>53.38</v>
      </c>
      <c r="I210">
        <v>2190.08</v>
      </c>
      <c r="J210" t="s">
        <v>27</v>
      </c>
    </row>
    <row r="211" spans="1:10" x14ac:dyDescent="0.35">
      <c r="A211" t="s">
        <v>233</v>
      </c>
      <c r="B211" t="s">
        <v>11</v>
      </c>
      <c r="C211">
        <v>43</v>
      </c>
      <c r="D211">
        <v>32</v>
      </c>
      <c r="E211" t="s">
        <v>21</v>
      </c>
      <c r="F211" t="s">
        <v>29</v>
      </c>
      <c r="G211" t="s">
        <v>14</v>
      </c>
      <c r="H211">
        <v>124.53</v>
      </c>
      <c r="I211">
        <v>3757.94</v>
      </c>
      <c r="J211" t="s">
        <v>27</v>
      </c>
    </row>
    <row r="212" spans="1:10" x14ac:dyDescent="0.35">
      <c r="A212" t="s">
        <v>234</v>
      </c>
      <c r="B212" t="s">
        <v>11</v>
      </c>
      <c r="C212">
        <v>31</v>
      </c>
      <c r="D212">
        <v>2</v>
      </c>
      <c r="E212" t="s">
        <v>18</v>
      </c>
      <c r="F212" t="s">
        <v>33</v>
      </c>
      <c r="G212" t="s">
        <v>14</v>
      </c>
      <c r="H212">
        <v>75.37</v>
      </c>
      <c r="I212">
        <v>154.58000000000001</v>
      </c>
      <c r="J212" t="s">
        <v>27</v>
      </c>
    </row>
    <row r="213" spans="1:10" x14ac:dyDescent="0.35">
      <c r="A213" t="s">
        <v>235</v>
      </c>
      <c r="B213" t="s">
        <v>11</v>
      </c>
      <c r="C213">
        <v>68</v>
      </c>
      <c r="D213">
        <v>33</v>
      </c>
      <c r="E213" t="s">
        <v>12</v>
      </c>
      <c r="F213" t="s">
        <v>22</v>
      </c>
      <c r="G213" t="s">
        <v>23</v>
      </c>
      <c r="H213">
        <v>149.31</v>
      </c>
      <c r="I213">
        <v>5344.73</v>
      </c>
      <c r="J213" t="s">
        <v>15</v>
      </c>
    </row>
    <row r="214" spans="1:10" x14ac:dyDescent="0.35">
      <c r="A214" t="s">
        <v>236</v>
      </c>
      <c r="B214" t="s">
        <v>11</v>
      </c>
      <c r="C214">
        <v>24</v>
      </c>
      <c r="D214">
        <v>30</v>
      </c>
      <c r="E214" t="s">
        <v>12</v>
      </c>
      <c r="F214" t="s">
        <v>22</v>
      </c>
      <c r="G214" t="s">
        <v>19</v>
      </c>
      <c r="H214">
        <v>32.03</v>
      </c>
      <c r="I214">
        <v>1056.51</v>
      </c>
      <c r="J214" t="s">
        <v>27</v>
      </c>
    </row>
    <row r="215" spans="1:10" x14ac:dyDescent="0.35">
      <c r="A215" t="s">
        <v>237</v>
      </c>
      <c r="B215" t="s">
        <v>11</v>
      </c>
      <c r="C215">
        <v>20</v>
      </c>
      <c r="D215">
        <v>33</v>
      </c>
      <c r="E215" t="s">
        <v>12</v>
      </c>
      <c r="F215" t="s">
        <v>13</v>
      </c>
      <c r="G215" t="s">
        <v>19</v>
      </c>
      <c r="H215">
        <v>121.45</v>
      </c>
      <c r="I215">
        <v>3633.08</v>
      </c>
      <c r="J215" t="s">
        <v>15</v>
      </c>
    </row>
    <row r="216" spans="1:10" x14ac:dyDescent="0.35">
      <c r="A216" t="s">
        <v>238</v>
      </c>
      <c r="B216" t="s">
        <v>11</v>
      </c>
      <c r="C216">
        <v>64</v>
      </c>
      <c r="D216">
        <v>26</v>
      </c>
      <c r="E216" t="s">
        <v>12</v>
      </c>
      <c r="F216" t="s">
        <v>29</v>
      </c>
      <c r="G216" t="s">
        <v>23</v>
      </c>
      <c r="H216">
        <v>107.58</v>
      </c>
      <c r="I216">
        <v>2649.16</v>
      </c>
      <c r="J216" t="s">
        <v>27</v>
      </c>
    </row>
    <row r="217" spans="1:10" x14ac:dyDescent="0.35">
      <c r="A217" t="s">
        <v>239</v>
      </c>
      <c r="B217" t="s">
        <v>11</v>
      </c>
      <c r="C217">
        <v>40</v>
      </c>
      <c r="D217">
        <v>22</v>
      </c>
      <c r="E217" t="s">
        <v>12</v>
      </c>
      <c r="F217" t="s">
        <v>29</v>
      </c>
      <c r="G217" t="s">
        <v>14</v>
      </c>
      <c r="H217">
        <v>119.77</v>
      </c>
      <c r="I217">
        <v>2534.9699999999998</v>
      </c>
      <c r="J217" t="s">
        <v>15</v>
      </c>
    </row>
    <row r="218" spans="1:10" x14ac:dyDescent="0.35">
      <c r="A218" t="s">
        <v>240</v>
      </c>
      <c r="B218" t="s">
        <v>17</v>
      </c>
      <c r="C218">
        <v>63</v>
      </c>
      <c r="D218">
        <v>66</v>
      </c>
      <c r="E218" t="s">
        <v>12</v>
      </c>
      <c r="F218" t="s">
        <v>29</v>
      </c>
      <c r="G218" t="s">
        <v>23</v>
      </c>
      <c r="H218">
        <v>59.98</v>
      </c>
      <c r="I218">
        <v>3878.81</v>
      </c>
      <c r="J218" t="s">
        <v>27</v>
      </c>
    </row>
    <row r="219" spans="1:10" x14ac:dyDescent="0.35">
      <c r="A219" t="s">
        <v>241</v>
      </c>
      <c r="B219" t="s">
        <v>11</v>
      </c>
      <c r="C219">
        <v>60</v>
      </c>
      <c r="D219">
        <v>38</v>
      </c>
      <c r="E219" t="s">
        <v>12</v>
      </c>
      <c r="F219" t="s">
        <v>33</v>
      </c>
      <c r="G219" t="s">
        <v>23</v>
      </c>
      <c r="H219">
        <v>83.97</v>
      </c>
      <c r="I219">
        <v>3026.38</v>
      </c>
      <c r="J219" t="s">
        <v>15</v>
      </c>
    </row>
    <row r="220" spans="1:10" x14ac:dyDescent="0.35">
      <c r="A220" t="s">
        <v>242</v>
      </c>
      <c r="B220" t="s">
        <v>17</v>
      </c>
      <c r="C220">
        <v>64</v>
      </c>
      <c r="D220">
        <v>46</v>
      </c>
      <c r="E220" t="s">
        <v>12</v>
      </c>
      <c r="F220" t="s">
        <v>29</v>
      </c>
      <c r="G220" t="s">
        <v>23</v>
      </c>
      <c r="H220">
        <v>123.55</v>
      </c>
      <c r="I220">
        <v>5346.27</v>
      </c>
      <c r="J220" t="s">
        <v>15</v>
      </c>
    </row>
    <row r="221" spans="1:10" x14ac:dyDescent="0.35">
      <c r="A221" t="s">
        <v>243</v>
      </c>
      <c r="B221" t="s">
        <v>11</v>
      </c>
      <c r="C221">
        <v>62</v>
      </c>
      <c r="D221">
        <v>15</v>
      </c>
      <c r="E221" t="s">
        <v>18</v>
      </c>
      <c r="F221" t="s">
        <v>33</v>
      </c>
      <c r="G221" t="s">
        <v>23</v>
      </c>
      <c r="H221">
        <v>50.23</v>
      </c>
      <c r="I221">
        <v>821.95</v>
      </c>
      <c r="J221" t="s">
        <v>27</v>
      </c>
    </row>
    <row r="222" spans="1:10" x14ac:dyDescent="0.35">
      <c r="A222" t="s">
        <v>244</v>
      </c>
      <c r="B222" t="s">
        <v>11</v>
      </c>
      <c r="C222">
        <v>35</v>
      </c>
      <c r="D222">
        <v>44</v>
      </c>
      <c r="E222" t="s">
        <v>12</v>
      </c>
      <c r="F222" t="s">
        <v>29</v>
      </c>
      <c r="G222" t="s">
        <v>14</v>
      </c>
      <c r="H222">
        <v>49.38</v>
      </c>
      <c r="I222">
        <v>2354.59</v>
      </c>
      <c r="J222" t="s">
        <v>15</v>
      </c>
    </row>
    <row r="223" spans="1:10" x14ac:dyDescent="0.35">
      <c r="A223" t="s">
        <v>245</v>
      </c>
      <c r="B223" t="s">
        <v>11</v>
      </c>
      <c r="C223">
        <v>55</v>
      </c>
      <c r="D223">
        <v>49</v>
      </c>
      <c r="E223" t="s">
        <v>12</v>
      </c>
      <c r="F223" t="s">
        <v>13</v>
      </c>
      <c r="G223" t="s">
        <v>23</v>
      </c>
      <c r="H223">
        <v>91.64</v>
      </c>
      <c r="I223">
        <v>4083.53</v>
      </c>
      <c r="J223" t="s">
        <v>15</v>
      </c>
    </row>
    <row r="224" spans="1:10" x14ac:dyDescent="0.35">
      <c r="A224" t="s">
        <v>246</v>
      </c>
      <c r="B224" t="s">
        <v>17</v>
      </c>
      <c r="C224">
        <v>52</v>
      </c>
      <c r="D224">
        <v>61</v>
      </c>
      <c r="E224" t="s">
        <v>12</v>
      </c>
      <c r="F224" t="s">
        <v>22</v>
      </c>
      <c r="G224" t="s">
        <v>23</v>
      </c>
      <c r="H224">
        <v>88.06</v>
      </c>
      <c r="I224">
        <v>5198.49</v>
      </c>
      <c r="J224" t="s">
        <v>27</v>
      </c>
    </row>
    <row r="225" spans="1:10" x14ac:dyDescent="0.35">
      <c r="A225" t="s">
        <v>247</v>
      </c>
      <c r="B225" t="s">
        <v>17</v>
      </c>
      <c r="C225">
        <v>68</v>
      </c>
      <c r="D225">
        <v>67</v>
      </c>
      <c r="E225" t="s">
        <v>12</v>
      </c>
      <c r="F225" t="s">
        <v>33</v>
      </c>
      <c r="G225" t="s">
        <v>23</v>
      </c>
      <c r="H225">
        <v>56.69</v>
      </c>
      <c r="I225">
        <v>3726.18</v>
      </c>
      <c r="J225" t="s">
        <v>15</v>
      </c>
    </row>
    <row r="226" spans="1:10" x14ac:dyDescent="0.35">
      <c r="A226" t="s">
        <v>248</v>
      </c>
      <c r="B226" t="s">
        <v>17</v>
      </c>
      <c r="C226">
        <v>32</v>
      </c>
      <c r="D226">
        <v>6</v>
      </c>
      <c r="E226" t="s">
        <v>18</v>
      </c>
      <c r="F226" t="s">
        <v>29</v>
      </c>
      <c r="G226" t="s">
        <v>14</v>
      </c>
      <c r="H226">
        <v>58.75</v>
      </c>
      <c r="I226">
        <v>334.1</v>
      </c>
      <c r="J226" t="s">
        <v>15</v>
      </c>
    </row>
    <row r="227" spans="1:10" x14ac:dyDescent="0.35">
      <c r="A227" t="s">
        <v>249</v>
      </c>
      <c r="B227" t="s">
        <v>17</v>
      </c>
      <c r="C227">
        <v>42</v>
      </c>
      <c r="D227">
        <v>9</v>
      </c>
      <c r="E227" t="s">
        <v>12</v>
      </c>
      <c r="F227" t="s">
        <v>13</v>
      </c>
      <c r="G227" t="s">
        <v>14</v>
      </c>
      <c r="H227">
        <v>56.12</v>
      </c>
      <c r="I227">
        <v>518.1</v>
      </c>
      <c r="J227" t="s">
        <v>15</v>
      </c>
    </row>
    <row r="228" spans="1:10" x14ac:dyDescent="0.35">
      <c r="A228" t="s">
        <v>250</v>
      </c>
      <c r="B228" t="s">
        <v>11</v>
      </c>
      <c r="C228">
        <v>54</v>
      </c>
      <c r="D228">
        <v>6</v>
      </c>
      <c r="E228" t="s">
        <v>21</v>
      </c>
      <c r="F228" t="s">
        <v>13</v>
      </c>
      <c r="G228" t="s">
        <v>23</v>
      </c>
      <c r="H228">
        <v>120.3</v>
      </c>
      <c r="I228">
        <v>742.07</v>
      </c>
      <c r="J228" t="s">
        <v>27</v>
      </c>
    </row>
    <row r="229" spans="1:10" x14ac:dyDescent="0.35">
      <c r="A229" t="s">
        <v>251</v>
      </c>
      <c r="B229" t="s">
        <v>17</v>
      </c>
      <c r="C229">
        <v>45</v>
      </c>
      <c r="D229">
        <v>32</v>
      </c>
      <c r="E229" t="s">
        <v>18</v>
      </c>
      <c r="F229" t="s">
        <v>29</v>
      </c>
      <c r="G229" t="s">
        <v>14</v>
      </c>
      <c r="H229">
        <v>104.75</v>
      </c>
      <c r="I229">
        <v>3586.98</v>
      </c>
      <c r="J229" t="s">
        <v>15</v>
      </c>
    </row>
    <row r="230" spans="1:10" x14ac:dyDescent="0.35">
      <c r="A230" t="s">
        <v>252</v>
      </c>
      <c r="B230" t="s">
        <v>11</v>
      </c>
      <c r="C230">
        <v>27</v>
      </c>
      <c r="D230">
        <v>41</v>
      </c>
      <c r="E230" t="s">
        <v>18</v>
      </c>
      <c r="F230" t="s">
        <v>29</v>
      </c>
      <c r="G230" t="s">
        <v>19</v>
      </c>
      <c r="H230">
        <v>128.21</v>
      </c>
      <c r="I230">
        <v>5509.84</v>
      </c>
      <c r="J230" t="s">
        <v>15</v>
      </c>
    </row>
    <row r="231" spans="1:10" x14ac:dyDescent="0.35">
      <c r="A231" t="s">
        <v>253</v>
      </c>
      <c r="B231" t="s">
        <v>11</v>
      </c>
      <c r="C231">
        <v>56</v>
      </c>
      <c r="D231">
        <v>8</v>
      </c>
      <c r="E231" t="s">
        <v>21</v>
      </c>
      <c r="F231" t="s">
        <v>13</v>
      </c>
      <c r="G231" t="s">
        <v>23</v>
      </c>
      <c r="H231">
        <v>146.81</v>
      </c>
      <c r="I231">
        <v>1184.48</v>
      </c>
      <c r="J231" t="s">
        <v>15</v>
      </c>
    </row>
    <row r="232" spans="1:10" x14ac:dyDescent="0.35">
      <c r="A232" t="s">
        <v>254</v>
      </c>
      <c r="B232" t="s">
        <v>17</v>
      </c>
      <c r="C232">
        <v>34</v>
      </c>
      <c r="D232">
        <v>72</v>
      </c>
      <c r="E232" t="s">
        <v>18</v>
      </c>
      <c r="F232" t="s">
        <v>13</v>
      </c>
      <c r="G232" t="s">
        <v>14</v>
      </c>
      <c r="H232">
        <v>81.64</v>
      </c>
      <c r="I232">
        <v>6058.64</v>
      </c>
      <c r="J232" t="s">
        <v>15</v>
      </c>
    </row>
    <row r="233" spans="1:10" x14ac:dyDescent="0.35">
      <c r="A233" t="s">
        <v>255</v>
      </c>
      <c r="B233" t="s">
        <v>17</v>
      </c>
      <c r="C233">
        <v>56</v>
      </c>
      <c r="D233">
        <v>50</v>
      </c>
      <c r="E233" t="s">
        <v>18</v>
      </c>
      <c r="F233" t="s">
        <v>22</v>
      </c>
      <c r="G233" t="s">
        <v>23</v>
      </c>
      <c r="H233">
        <v>28.67</v>
      </c>
      <c r="I233">
        <v>1368.7</v>
      </c>
      <c r="J233" t="s">
        <v>15</v>
      </c>
    </row>
    <row r="234" spans="1:10" x14ac:dyDescent="0.35">
      <c r="A234" t="s">
        <v>256</v>
      </c>
      <c r="B234" t="s">
        <v>17</v>
      </c>
      <c r="C234">
        <v>39</v>
      </c>
      <c r="D234">
        <v>62</v>
      </c>
      <c r="E234" t="s">
        <v>21</v>
      </c>
      <c r="F234" t="s">
        <v>13</v>
      </c>
      <c r="G234" t="s">
        <v>14</v>
      </c>
      <c r="H234">
        <v>26.25</v>
      </c>
      <c r="I234">
        <v>1657.79</v>
      </c>
      <c r="J234" t="s">
        <v>15</v>
      </c>
    </row>
    <row r="235" spans="1:10" x14ac:dyDescent="0.35">
      <c r="A235" t="s">
        <v>257</v>
      </c>
      <c r="B235" t="s">
        <v>17</v>
      </c>
      <c r="C235">
        <v>43</v>
      </c>
      <c r="D235">
        <v>62</v>
      </c>
      <c r="E235" t="s">
        <v>21</v>
      </c>
      <c r="F235" t="s">
        <v>13</v>
      </c>
      <c r="G235" t="s">
        <v>14</v>
      </c>
      <c r="H235">
        <v>58.44</v>
      </c>
      <c r="I235">
        <v>3615.47</v>
      </c>
      <c r="J235" t="s">
        <v>15</v>
      </c>
    </row>
    <row r="236" spans="1:10" x14ac:dyDescent="0.35">
      <c r="A236" t="s">
        <v>258</v>
      </c>
      <c r="B236" t="s">
        <v>17</v>
      </c>
      <c r="C236">
        <v>61</v>
      </c>
      <c r="D236">
        <v>7</v>
      </c>
      <c r="E236" t="s">
        <v>21</v>
      </c>
      <c r="F236" t="s">
        <v>13</v>
      </c>
      <c r="G236" t="s">
        <v>23</v>
      </c>
      <c r="H236">
        <v>141.22999999999999</v>
      </c>
      <c r="I236">
        <v>916.11</v>
      </c>
      <c r="J236" t="s">
        <v>27</v>
      </c>
    </row>
    <row r="237" spans="1:10" x14ac:dyDescent="0.35">
      <c r="A237" t="s">
        <v>259</v>
      </c>
      <c r="B237" t="s">
        <v>17</v>
      </c>
      <c r="C237">
        <v>42</v>
      </c>
      <c r="D237">
        <v>4</v>
      </c>
      <c r="E237" t="s">
        <v>12</v>
      </c>
      <c r="F237" t="s">
        <v>22</v>
      </c>
      <c r="G237" t="s">
        <v>14</v>
      </c>
      <c r="H237">
        <v>88.02</v>
      </c>
      <c r="I237">
        <v>333.95</v>
      </c>
      <c r="J237" t="s">
        <v>15</v>
      </c>
    </row>
    <row r="238" spans="1:10" x14ac:dyDescent="0.35">
      <c r="A238" t="s">
        <v>260</v>
      </c>
      <c r="B238" t="s">
        <v>17</v>
      </c>
      <c r="C238">
        <v>34</v>
      </c>
      <c r="D238">
        <v>6</v>
      </c>
      <c r="E238" t="s">
        <v>21</v>
      </c>
      <c r="F238" t="s">
        <v>33</v>
      </c>
      <c r="G238" t="s">
        <v>14</v>
      </c>
      <c r="H238">
        <v>55.33</v>
      </c>
      <c r="I238">
        <v>318.14999999999998</v>
      </c>
      <c r="J238" t="s">
        <v>15</v>
      </c>
    </row>
    <row r="239" spans="1:10" x14ac:dyDescent="0.35">
      <c r="A239" t="s">
        <v>261</v>
      </c>
      <c r="B239" t="s">
        <v>17</v>
      </c>
      <c r="C239">
        <v>30</v>
      </c>
      <c r="D239">
        <v>58</v>
      </c>
      <c r="E239" t="s">
        <v>12</v>
      </c>
      <c r="F239" t="s">
        <v>13</v>
      </c>
      <c r="G239" t="s">
        <v>14</v>
      </c>
      <c r="H239">
        <v>71.89</v>
      </c>
      <c r="I239">
        <v>4523.46</v>
      </c>
      <c r="J239" t="s">
        <v>27</v>
      </c>
    </row>
    <row r="240" spans="1:10" x14ac:dyDescent="0.35">
      <c r="A240" t="s">
        <v>262</v>
      </c>
      <c r="B240" t="s">
        <v>11</v>
      </c>
      <c r="C240">
        <v>37</v>
      </c>
      <c r="D240">
        <v>22</v>
      </c>
      <c r="E240" t="s">
        <v>12</v>
      </c>
      <c r="F240" t="s">
        <v>22</v>
      </c>
      <c r="G240" t="s">
        <v>14</v>
      </c>
      <c r="H240">
        <v>97.82</v>
      </c>
      <c r="I240">
        <v>2036</v>
      </c>
      <c r="J240" t="s">
        <v>15</v>
      </c>
    </row>
    <row r="241" spans="1:10" x14ac:dyDescent="0.35">
      <c r="A241" t="s">
        <v>263</v>
      </c>
      <c r="B241" t="s">
        <v>17</v>
      </c>
      <c r="C241">
        <v>42</v>
      </c>
      <c r="D241">
        <v>26</v>
      </c>
      <c r="E241" t="s">
        <v>12</v>
      </c>
      <c r="F241" t="s">
        <v>29</v>
      </c>
      <c r="G241" t="s">
        <v>14</v>
      </c>
      <c r="H241">
        <v>104.88</v>
      </c>
      <c r="I241">
        <v>2611.94</v>
      </c>
      <c r="J241" t="s">
        <v>27</v>
      </c>
    </row>
    <row r="242" spans="1:10" x14ac:dyDescent="0.35">
      <c r="A242" t="s">
        <v>264</v>
      </c>
      <c r="B242" t="s">
        <v>17</v>
      </c>
      <c r="C242">
        <v>21</v>
      </c>
      <c r="D242">
        <v>3</v>
      </c>
      <c r="E242" t="s">
        <v>12</v>
      </c>
      <c r="F242" t="s">
        <v>13</v>
      </c>
      <c r="G242" t="s">
        <v>19</v>
      </c>
      <c r="H242">
        <v>40.01</v>
      </c>
      <c r="I242">
        <v>116.89</v>
      </c>
      <c r="J242" t="s">
        <v>27</v>
      </c>
    </row>
    <row r="243" spans="1:10" x14ac:dyDescent="0.35">
      <c r="A243" t="s">
        <v>265</v>
      </c>
      <c r="B243" t="s">
        <v>11</v>
      </c>
      <c r="C243">
        <v>27</v>
      </c>
      <c r="D243">
        <v>41</v>
      </c>
      <c r="E243" t="s">
        <v>12</v>
      </c>
      <c r="F243" t="s">
        <v>29</v>
      </c>
      <c r="G243" t="s">
        <v>19</v>
      </c>
      <c r="H243">
        <v>147.01</v>
      </c>
      <c r="I243">
        <v>6224.8</v>
      </c>
      <c r="J243" t="s">
        <v>15</v>
      </c>
    </row>
    <row r="244" spans="1:10" x14ac:dyDescent="0.35">
      <c r="A244" t="s">
        <v>266</v>
      </c>
      <c r="B244" t="s">
        <v>17</v>
      </c>
      <c r="C244">
        <v>20</v>
      </c>
      <c r="D244">
        <v>60</v>
      </c>
      <c r="E244" t="s">
        <v>12</v>
      </c>
      <c r="F244" t="s">
        <v>13</v>
      </c>
      <c r="G244" t="s">
        <v>19</v>
      </c>
      <c r="H244">
        <v>90.82</v>
      </c>
      <c r="I244">
        <v>5033.1400000000003</v>
      </c>
      <c r="J244" t="s">
        <v>15</v>
      </c>
    </row>
    <row r="245" spans="1:10" x14ac:dyDescent="0.35">
      <c r="A245" t="s">
        <v>267</v>
      </c>
      <c r="B245" t="s">
        <v>11</v>
      </c>
      <c r="C245">
        <v>58</v>
      </c>
      <c r="D245">
        <v>14</v>
      </c>
      <c r="E245" t="s">
        <v>21</v>
      </c>
      <c r="F245" t="s">
        <v>22</v>
      </c>
      <c r="G245" t="s">
        <v>23</v>
      </c>
      <c r="H245">
        <v>37.64</v>
      </c>
      <c r="I245">
        <v>574.79999999999995</v>
      </c>
      <c r="J245" t="s">
        <v>27</v>
      </c>
    </row>
    <row r="246" spans="1:10" x14ac:dyDescent="0.35">
      <c r="A246" t="s">
        <v>268</v>
      </c>
      <c r="B246" t="s">
        <v>11</v>
      </c>
      <c r="C246">
        <v>62</v>
      </c>
      <c r="D246">
        <v>12</v>
      </c>
      <c r="E246" t="s">
        <v>12</v>
      </c>
      <c r="F246" t="s">
        <v>33</v>
      </c>
      <c r="G246" t="s">
        <v>23</v>
      </c>
      <c r="H246">
        <v>136.16999999999999</v>
      </c>
      <c r="I246">
        <v>1753.51</v>
      </c>
      <c r="J246" t="s">
        <v>27</v>
      </c>
    </row>
    <row r="247" spans="1:10" x14ac:dyDescent="0.35">
      <c r="A247" t="s">
        <v>269</v>
      </c>
      <c r="B247" t="s">
        <v>17</v>
      </c>
      <c r="C247">
        <v>35</v>
      </c>
      <c r="D247">
        <v>12</v>
      </c>
      <c r="E247" t="s">
        <v>18</v>
      </c>
      <c r="F247" t="s">
        <v>29</v>
      </c>
      <c r="G247" t="s">
        <v>14</v>
      </c>
      <c r="H247">
        <v>29.7</v>
      </c>
      <c r="I247">
        <v>361.9</v>
      </c>
      <c r="J247" t="s">
        <v>15</v>
      </c>
    </row>
    <row r="248" spans="1:10" x14ac:dyDescent="0.35">
      <c r="A248" t="s">
        <v>270</v>
      </c>
      <c r="B248" t="s">
        <v>11</v>
      </c>
      <c r="C248">
        <v>64</v>
      </c>
      <c r="D248">
        <v>13</v>
      </c>
      <c r="E248" t="s">
        <v>12</v>
      </c>
      <c r="F248" t="s">
        <v>22</v>
      </c>
      <c r="G248" t="s">
        <v>23</v>
      </c>
      <c r="H248">
        <v>138.01</v>
      </c>
      <c r="I248">
        <v>1856.58</v>
      </c>
      <c r="J248" t="s">
        <v>27</v>
      </c>
    </row>
    <row r="249" spans="1:10" x14ac:dyDescent="0.35">
      <c r="A249" t="s">
        <v>271</v>
      </c>
      <c r="B249" t="s">
        <v>11</v>
      </c>
      <c r="C249">
        <v>53</v>
      </c>
      <c r="D249">
        <v>25</v>
      </c>
      <c r="E249" t="s">
        <v>12</v>
      </c>
      <c r="F249" t="s">
        <v>13</v>
      </c>
      <c r="G249" t="s">
        <v>23</v>
      </c>
      <c r="H249">
        <v>149.55000000000001</v>
      </c>
      <c r="I249">
        <v>3377.33</v>
      </c>
      <c r="J249" t="s">
        <v>15</v>
      </c>
    </row>
    <row r="250" spans="1:10" x14ac:dyDescent="0.35">
      <c r="A250" t="s">
        <v>272</v>
      </c>
      <c r="B250" t="s">
        <v>11</v>
      </c>
      <c r="C250">
        <v>64</v>
      </c>
      <c r="D250">
        <v>45</v>
      </c>
      <c r="E250" t="s">
        <v>21</v>
      </c>
      <c r="F250" t="s">
        <v>29</v>
      </c>
      <c r="G250" t="s">
        <v>23</v>
      </c>
      <c r="H250">
        <v>111.06</v>
      </c>
      <c r="I250">
        <v>4836.72</v>
      </c>
      <c r="J250" t="s">
        <v>15</v>
      </c>
    </row>
    <row r="251" spans="1:10" x14ac:dyDescent="0.35">
      <c r="A251" t="s">
        <v>273</v>
      </c>
      <c r="B251" t="s">
        <v>11</v>
      </c>
      <c r="C251">
        <v>39</v>
      </c>
      <c r="D251">
        <v>19</v>
      </c>
      <c r="E251" t="s">
        <v>21</v>
      </c>
      <c r="F251" t="s">
        <v>29</v>
      </c>
      <c r="G251" t="s">
        <v>14</v>
      </c>
      <c r="H251">
        <v>120.16</v>
      </c>
      <c r="I251">
        <v>2418.04</v>
      </c>
      <c r="J251" t="s">
        <v>15</v>
      </c>
    </row>
    <row r="252" spans="1:10" x14ac:dyDescent="0.35">
      <c r="A252" t="s">
        <v>274</v>
      </c>
      <c r="B252" t="s">
        <v>17</v>
      </c>
      <c r="C252">
        <v>51</v>
      </c>
      <c r="D252">
        <v>55</v>
      </c>
      <c r="E252" t="s">
        <v>12</v>
      </c>
      <c r="F252" t="s">
        <v>29</v>
      </c>
      <c r="G252" t="s">
        <v>23</v>
      </c>
      <c r="H252">
        <v>63.85</v>
      </c>
      <c r="I252">
        <v>3215</v>
      </c>
      <c r="J252" t="s">
        <v>27</v>
      </c>
    </row>
    <row r="253" spans="1:10" x14ac:dyDescent="0.35">
      <c r="A253" t="s">
        <v>275</v>
      </c>
      <c r="B253" t="s">
        <v>11</v>
      </c>
      <c r="C253">
        <v>64</v>
      </c>
      <c r="D253">
        <v>45</v>
      </c>
      <c r="E253" t="s">
        <v>18</v>
      </c>
      <c r="F253" t="s">
        <v>29</v>
      </c>
      <c r="G253" t="s">
        <v>23</v>
      </c>
      <c r="H253">
        <v>142.4</v>
      </c>
      <c r="I253">
        <v>6129.01</v>
      </c>
      <c r="J253" t="s">
        <v>15</v>
      </c>
    </row>
    <row r="254" spans="1:10" x14ac:dyDescent="0.35">
      <c r="A254" t="s">
        <v>276</v>
      </c>
      <c r="B254" t="s">
        <v>17</v>
      </c>
      <c r="C254">
        <v>25</v>
      </c>
      <c r="D254">
        <v>8</v>
      </c>
      <c r="E254" t="s">
        <v>18</v>
      </c>
      <c r="F254" t="s">
        <v>29</v>
      </c>
      <c r="G254" t="s">
        <v>19</v>
      </c>
      <c r="H254">
        <v>88.86</v>
      </c>
      <c r="I254">
        <v>723.01</v>
      </c>
      <c r="J254" t="s">
        <v>15</v>
      </c>
    </row>
    <row r="255" spans="1:10" x14ac:dyDescent="0.35">
      <c r="A255" t="s">
        <v>277</v>
      </c>
      <c r="B255" t="s">
        <v>11</v>
      </c>
      <c r="C255">
        <v>57</v>
      </c>
      <c r="D255">
        <v>53</v>
      </c>
      <c r="E255" t="s">
        <v>12</v>
      </c>
      <c r="F255" t="s">
        <v>29</v>
      </c>
      <c r="G255" t="s">
        <v>23</v>
      </c>
      <c r="H255">
        <v>115.21</v>
      </c>
      <c r="I255">
        <v>5808.66</v>
      </c>
      <c r="J255" t="s">
        <v>15</v>
      </c>
    </row>
    <row r="256" spans="1:10" x14ac:dyDescent="0.35">
      <c r="A256" t="s">
        <v>278</v>
      </c>
      <c r="B256" t="s">
        <v>11</v>
      </c>
      <c r="C256">
        <v>66</v>
      </c>
      <c r="D256">
        <v>55</v>
      </c>
      <c r="E256" t="s">
        <v>12</v>
      </c>
      <c r="F256" t="s">
        <v>29</v>
      </c>
      <c r="G256" t="s">
        <v>23</v>
      </c>
      <c r="H256">
        <v>140.13</v>
      </c>
      <c r="I256">
        <v>8376.1</v>
      </c>
      <c r="J256" t="s">
        <v>27</v>
      </c>
    </row>
    <row r="257" spans="1:10" x14ac:dyDescent="0.35">
      <c r="A257" t="s">
        <v>279</v>
      </c>
      <c r="B257" t="s">
        <v>11</v>
      </c>
      <c r="C257">
        <v>61</v>
      </c>
      <c r="D257">
        <v>32</v>
      </c>
      <c r="E257" t="s">
        <v>18</v>
      </c>
      <c r="F257" t="s">
        <v>22</v>
      </c>
      <c r="G257" t="s">
        <v>23</v>
      </c>
      <c r="H257">
        <v>146.77000000000001</v>
      </c>
      <c r="I257">
        <v>4350.08</v>
      </c>
      <c r="J257" t="s">
        <v>15</v>
      </c>
    </row>
    <row r="258" spans="1:10" x14ac:dyDescent="0.35">
      <c r="A258" t="s">
        <v>280</v>
      </c>
      <c r="B258" t="s">
        <v>11</v>
      </c>
      <c r="C258">
        <v>36</v>
      </c>
      <c r="D258">
        <v>51</v>
      </c>
      <c r="E258" t="s">
        <v>21</v>
      </c>
      <c r="F258" t="s">
        <v>13</v>
      </c>
      <c r="G258" t="s">
        <v>14</v>
      </c>
      <c r="H258">
        <v>128.32</v>
      </c>
      <c r="I258">
        <v>6933.57</v>
      </c>
      <c r="J258" t="s">
        <v>15</v>
      </c>
    </row>
    <row r="259" spans="1:10" x14ac:dyDescent="0.35">
      <c r="A259" t="s">
        <v>281</v>
      </c>
      <c r="B259" t="s">
        <v>17</v>
      </c>
      <c r="C259">
        <v>59</v>
      </c>
      <c r="D259">
        <v>44</v>
      </c>
      <c r="E259" t="s">
        <v>12</v>
      </c>
      <c r="F259" t="s">
        <v>33</v>
      </c>
      <c r="G259" t="s">
        <v>23</v>
      </c>
      <c r="H259">
        <v>59.39</v>
      </c>
      <c r="I259">
        <v>2617.31</v>
      </c>
      <c r="J259" t="s">
        <v>15</v>
      </c>
    </row>
    <row r="260" spans="1:10" x14ac:dyDescent="0.35">
      <c r="A260" t="s">
        <v>282</v>
      </c>
      <c r="B260" t="s">
        <v>17</v>
      </c>
      <c r="C260">
        <v>58</v>
      </c>
      <c r="D260">
        <v>70</v>
      </c>
      <c r="E260" t="s">
        <v>18</v>
      </c>
      <c r="F260" t="s">
        <v>13</v>
      </c>
      <c r="G260" t="s">
        <v>23</v>
      </c>
      <c r="H260">
        <v>145.65</v>
      </c>
      <c r="I260">
        <v>10705.95</v>
      </c>
      <c r="J260" t="s">
        <v>15</v>
      </c>
    </row>
    <row r="261" spans="1:10" x14ac:dyDescent="0.35">
      <c r="A261" t="s">
        <v>283</v>
      </c>
      <c r="B261" t="s">
        <v>11</v>
      </c>
      <c r="C261">
        <v>54</v>
      </c>
      <c r="D261">
        <v>18</v>
      </c>
      <c r="E261" t="s">
        <v>12</v>
      </c>
      <c r="F261" t="s">
        <v>22</v>
      </c>
      <c r="G261" t="s">
        <v>23</v>
      </c>
      <c r="H261">
        <v>101.66</v>
      </c>
      <c r="I261">
        <v>1760.61</v>
      </c>
      <c r="J261" t="s">
        <v>27</v>
      </c>
    </row>
    <row r="262" spans="1:10" x14ac:dyDescent="0.35">
      <c r="A262" t="s">
        <v>284</v>
      </c>
      <c r="B262" t="s">
        <v>11</v>
      </c>
      <c r="C262">
        <v>23</v>
      </c>
      <c r="D262">
        <v>22</v>
      </c>
      <c r="E262" t="s">
        <v>12</v>
      </c>
      <c r="F262" t="s">
        <v>33</v>
      </c>
      <c r="G262" t="s">
        <v>19</v>
      </c>
      <c r="H262">
        <v>140.97999999999999</v>
      </c>
      <c r="I262">
        <v>3110.55</v>
      </c>
      <c r="J262" t="s">
        <v>27</v>
      </c>
    </row>
    <row r="263" spans="1:10" x14ac:dyDescent="0.35">
      <c r="A263" t="s">
        <v>285</v>
      </c>
      <c r="B263" t="s">
        <v>17</v>
      </c>
      <c r="C263">
        <v>69</v>
      </c>
      <c r="D263">
        <v>37</v>
      </c>
      <c r="E263" t="s">
        <v>12</v>
      </c>
      <c r="F263" t="s">
        <v>22</v>
      </c>
      <c r="G263" t="s">
        <v>23</v>
      </c>
      <c r="H263">
        <v>107.89</v>
      </c>
      <c r="I263">
        <v>4276.82</v>
      </c>
      <c r="J263" t="s">
        <v>15</v>
      </c>
    </row>
    <row r="264" spans="1:10" x14ac:dyDescent="0.35">
      <c r="A264" t="s">
        <v>286</v>
      </c>
      <c r="B264" t="s">
        <v>11</v>
      </c>
      <c r="C264">
        <v>43</v>
      </c>
      <c r="D264">
        <v>56</v>
      </c>
      <c r="E264" t="s">
        <v>21</v>
      </c>
      <c r="F264" t="s">
        <v>13</v>
      </c>
      <c r="G264" t="s">
        <v>14</v>
      </c>
      <c r="H264">
        <v>59.94</v>
      </c>
      <c r="I264">
        <v>3334.4</v>
      </c>
      <c r="J264" t="s">
        <v>15</v>
      </c>
    </row>
    <row r="265" spans="1:10" x14ac:dyDescent="0.35">
      <c r="A265" t="s">
        <v>287</v>
      </c>
      <c r="B265" t="s">
        <v>11</v>
      </c>
      <c r="C265">
        <v>51</v>
      </c>
      <c r="D265">
        <v>59</v>
      </c>
      <c r="E265" t="s">
        <v>21</v>
      </c>
      <c r="F265" t="s">
        <v>22</v>
      </c>
      <c r="G265" t="s">
        <v>23</v>
      </c>
      <c r="H265">
        <v>68.099999999999994</v>
      </c>
      <c r="I265">
        <v>3905.17</v>
      </c>
      <c r="J265" t="s">
        <v>15</v>
      </c>
    </row>
    <row r="266" spans="1:10" x14ac:dyDescent="0.35">
      <c r="A266" t="s">
        <v>288</v>
      </c>
      <c r="B266" t="s">
        <v>11</v>
      </c>
      <c r="C266">
        <v>62</v>
      </c>
      <c r="D266">
        <v>3</v>
      </c>
      <c r="E266" t="s">
        <v>21</v>
      </c>
      <c r="F266" t="s">
        <v>29</v>
      </c>
      <c r="G266" t="s">
        <v>23</v>
      </c>
      <c r="H266">
        <v>91.56</v>
      </c>
      <c r="I266">
        <v>276.67</v>
      </c>
      <c r="J266" t="s">
        <v>27</v>
      </c>
    </row>
    <row r="267" spans="1:10" x14ac:dyDescent="0.35">
      <c r="A267" t="s">
        <v>289</v>
      </c>
      <c r="B267" t="s">
        <v>17</v>
      </c>
      <c r="C267">
        <v>23</v>
      </c>
      <c r="D267">
        <v>28</v>
      </c>
      <c r="E267" t="s">
        <v>12</v>
      </c>
      <c r="F267" t="s">
        <v>29</v>
      </c>
      <c r="G267" t="s">
        <v>19</v>
      </c>
      <c r="H267">
        <v>122.7</v>
      </c>
      <c r="I267">
        <v>3584.95</v>
      </c>
      <c r="J267" t="s">
        <v>27</v>
      </c>
    </row>
    <row r="268" spans="1:10" x14ac:dyDescent="0.35">
      <c r="A268" t="s">
        <v>290</v>
      </c>
      <c r="B268" t="s">
        <v>17</v>
      </c>
      <c r="C268">
        <v>54</v>
      </c>
      <c r="D268">
        <v>35</v>
      </c>
      <c r="E268" t="s">
        <v>12</v>
      </c>
      <c r="F268" t="s">
        <v>13</v>
      </c>
      <c r="G268" t="s">
        <v>23</v>
      </c>
      <c r="H268">
        <v>61.34</v>
      </c>
      <c r="I268">
        <v>2122.67</v>
      </c>
      <c r="J268" t="s">
        <v>27</v>
      </c>
    </row>
    <row r="269" spans="1:10" x14ac:dyDescent="0.35">
      <c r="A269" t="s">
        <v>291</v>
      </c>
      <c r="B269" t="s">
        <v>17</v>
      </c>
      <c r="C269">
        <v>50</v>
      </c>
      <c r="D269">
        <v>61</v>
      </c>
      <c r="E269" t="s">
        <v>12</v>
      </c>
      <c r="F269" t="s">
        <v>13</v>
      </c>
      <c r="G269" t="s">
        <v>23</v>
      </c>
      <c r="H269">
        <v>95.37</v>
      </c>
      <c r="I269">
        <v>6328.21</v>
      </c>
      <c r="J269" t="s">
        <v>27</v>
      </c>
    </row>
    <row r="270" spans="1:10" x14ac:dyDescent="0.35">
      <c r="A270" t="s">
        <v>292</v>
      </c>
      <c r="B270" t="s">
        <v>11</v>
      </c>
      <c r="C270">
        <v>70</v>
      </c>
      <c r="D270">
        <v>54</v>
      </c>
      <c r="E270" t="s">
        <v>21</v>
      </c>
      <c r="F270" t="s">
        <v>29</v>
      </c>
      <c r="G270" t="s">
        <v>23</v>
      </c>
      <c r="H270">
        <v>64.930000000000007</v>
      </c>
      <c r="I270">
        <v>3362.43</v>
      </c>
      <c r="J270" t="s">
        <v>15</v>
      </c>
    </row>
    <row r="271" spans="1:10" x14ac:dyDescent="0.35">
      <c r="A271" t="s">
        <v>293</v>
      </c>
      <c r="B271" t="s">
        <v>11</v>
      </c>
      <c r="C271">
        <v>39</v>
      </c>
      <c r="D271">
        <v>63</v>
      </c>
      <c r="E271" t="s">
        <v>12</v>
      </c>
      <c r="F271" t="s">
        <v>33</v>
      </c>
      <c r="G271" t="s">
        <v>14</v>
      </c>
      <c r="H271">
        <v>126.05</v>
      </c>
      <c r="I271">
        <v>7902.18</v>
      </c>
      <c r="J271" t="s">
        <v>15</v>
      </c>
    </row>
    <row r="272" spans="1:10" x14ac:dyDescent="0.35">
      <c r="A272" t="s">
        <v>294</v>
      </c>
      <c r="B272" t="s">
        <v>17</v>
      </c>
      <c r="C272">
        <v>38</v>
      </c>
      <c r="D272">
        <v>7</v>
      </c>
      <c r="E272" t="s">
        <v>12</v>
      </c>
      <c r="F272" t="s">
        <v>22</v>
      </c>
      <c r="G272" t="s">
        <v>14</v>
      </c>
      <c r="H272">
        <v>80.67</v>
      </c>
      <c r="I272">
        <v>593.71</v>
      </c>
      <c r="J272" t="s">
        <v>27</v>
      </c>
    </row>
    <row r="273" spans="1:10" x14ac:dyDescent="0.35">
      <c r="A273" t="s">
        <v>295</v>
      </c>
      <c r="B273" t="s">
        <v>17</v>
      </c>
      <c r="C273">
        <v>23</v>
      </c>
      <c r="D273">
        <v>49</v>
      </c>
      <c r="E273" t="s">
        <v>18</v>
      </c>
      <c r="F273" t="s">
        <v>13</v>
      </c>
      <c r="G273" t="s">
        <v>19</v>
      </c>
      <c r="H273">
        <v>29.97</v>
      </c>
      <c r="I273">
        <v>1524.08</v>
      </c>
      <c r="J273" t="s">
        <v>15</v>
      </c>
    </row>
    <row r="274" spans="1:10" x14ac:dyDescent="0.35">
      <c r="A274" t="s">
        <v>296</v>
      </c>
      <c r="B274" t="s">
        <v>17</v>
      </c>
      <c r="C274">
        <v>23</v>
      </c>
      <c r="D274">
        <v>31</v>
      </c>
      <c r="E274" t="s">
        <v>12</v>
      </c>
      <c r="F274" t="s">
        <v>33</v>
      </c>
      <c r="G274" t="s">
        <v>19</v>
      </c>
      <c r="H274">
        <v>41.59</v>
      </c>
      <c r="I274">
        <v>1383.06</v>
      </c>
      <c r="J274" t="s">
        <v>27</v>
      </c>
    </row>
    <row r="275" spans="1:10" x14ac:dyDescent="0.35">
      <c r="A275" t="s">
        <v>297</v>
      </c>
      <c r="B275" t="s">
        <v>17</v>
      </c>
      <c r="C275">
        <v>65</v>
      </c>
      <c r="D275">
        <v>58</v>
      </c>
      <c r="E275" t="s">
        <v>18</v>
      </c>
      <c r="F275" t="s">
        <v>13</v>
      </c>
      <c r="G275" t="s">
        <v>23</v>
      </c>
      <c r="H275">
        <v>27.94</v>
      </c>
      <c r="I275">
        <v>1781.54</v>
      </c>
      <c r="J275" t="s">
        <v>15</v>
      </c>
    </row>
    <row r="276" spans="1:10" x14ac:dyDescent="0.35">
      <c r="A276" t="s">
        <v>298</v>
      </c>
      <c r="B276" t="s">
        <v>11</v>
      </c>
      <c r="C276">
        <v>21</v>
      </c>
      <c r="D276">
        <v>61</v>
      </c>
      <c r="E276" t="s">
        <v>12</v>
      </c>
      <c r="F276" t="s">
        <v>33</v>
      </c>
      <c r="G276" t="s">
        <v>19</v>
      </c>
      <c r="H276">
        <v>84.91</v>
      </c>
      <c r="I276">
        <v>5103.74</v>
      </c>
      <c r="J276" t="s">
        <v>27</v>
      </c>
    </row>
    <row r="277" spans="1:10" x14ac:dyDescent="0.35">
      <c r="A277" t="s">
        <v>299</v>
      </c>
      <c r="B277" t="s">
        <v>17</v>
      </c>
      <c r="C277">
        <v>47</v>
      </c>
      <c r="D277">
        <v>24</v>
      </c>
      <c r="E277" t="s">
        <v>21</v>
      </c>
      <c r="F277" t="s">
        <v>13</v>
      </c>
      <c r="G277" t="s">
        <v>14</v>
      </c>
      <c r="H277">
        <v>33.82</v>
      </c>
      <c r="I277">
        <v>748.56</v>
      </c>
      <c r="J277" t="s">
        <v>15</v>
      </c>
    </row>
    <row r="278" spans="1:10" x14ac:dyDescent="0.35">
      <c r="A278" t="s">
        <v>300</v>
      </c>
      <c r="B278" t="s">
        <v>11</v>
      </c>
      <c r="C278">
        <v>28</v>
      </c>
      <c r="D278">
        <v>20</v>
      </c>
      <c r="E278" t="s">
        <v>12</v>
      </c>
      <c r="F278" t="s">
        <v>29</v>
      </c>
      <c r="G278" t="s">
        <v>19</v>
      </c>
      <c r="H278">
        <v>34.840000000000003</v>
      </c>
      <c r="I278">
        <v>631.36</v>
      </c>
      <c r="J278" t="s">
        <v>15</v>
      </c>
    </row>
    <row r="279" spans="1:10" x14ac:dyDescent="0.35">
      <c r="A279" t="s">
        <v>301</v>
      </c>
      <c r="B279" t="s">
        <v>17</v>
      </c>
      <c r="C279">
        <v>47</v>
      </c>
      <c r="D279">
        <v>37</v>
      </c>
      <c r="E279" t="s">
        <v>18</v>
      </c>
      <c r="F279" t="s">
        <v>22</v>
      </c>
      <c r="G279" t="s">
        <v>14</v>
      </c>
      <c r="H279">
        <v>142.34</v>
      </c>
      <c r="I279">
        <v>5505.55</v>
      </c>
      <c r="J279" t="s">
        <v>15</v>
      </c>
    </row>
    <row r="280" spans="1:10" x14ac:dyDescent="0.35">
      <c r="A280" t="s">
        <v>302</v>
      </c>
      <c r="B280" t="s">
        <v>11</v>
      </c>
      <c r="C280">
        <v>48</v>
      </c>
      <c r="D280">
        <v>4</v>
      </c>
      <c r="E280" t="s">
        <v>12</v>
      </c>
      <c r="F280" t="s">
        <v>22</v>
      </c>
      <c r="G280" t="s">
        <v>14</v>
      </c>
      <c r="H280">
        <v>133.44999999999999</v>
      </c>
      <c r="I280">
        <v>573.73</v>
      </c>
      <c r="J280" t="s">
        <v>15</v>
      </c>
    </row>
    <row r="281" spans="1:10" x14ac:dyDescent="0.35">
      <c r="A281" t="s">
        <v>303</v>
      </c>
      <c r="B281" t="s">
        <v>17</v>
      </c>
      <c r="C281">
        <v>41</v>
      </c>
      <c r="D281">
        <v>20</v>
      </c>
      <c r="E281" t="s">
        <v>12</v>
      </c>
      <c r="F281" t="s">
        <v>22</v>
      </c>
      <c r="G281" t="s">
        <v>14</v>
      </c>
      <c r="H281">
        <v>78.77</v>
      </c>
      <c r="I281">
        <v>1487.4</v>
      </c>
      <c r="J281" t="s">
        <v>15</v>
      </c>
    </row>
    <row r="282" spans="1:10" x14ac:dyDescent="0.35">
      <c r="A282" t="s">
        <v>304</v>
      </c>
      <c r="B282" t="s">
        <v>17</v>
      </c>
      <c r="C282">
        <v>26</v>
      </c>
      <c r="D282">
        <v>60</v>
      </c>
      <c r="E282" t="s">
        <v>12</v>
      </c>
      <c r="F282" t="s">
        <v>33</v>
      </c>
      <c r="G282" t="s">
        <v>19</v>
      </c>
      <c r="H282">
        <v>148.15</v>
      </c>
      <c r="I282">
        <v>8281.7900000000009</v>
      </c>
      <c r="J282" t="s">
        <v>15</v>
      </c>
    </row>
    <row r="283" spans="1:10" x14ac:dyDescent="0.35">
      <c r="A283" t="s">
        <v>305</v>
      </c>
      <c r="B283" t="s">
        <v>17</v>
      </c>
      <c r="C283">
        <v>20</v>
      </c>
      <c r="D283">
        <v>24</v>
      </c>
      <c r="E283" t="s">
        <v>12</v>
      </c>
      <c r="F283" t="s">
        <v>22</v>
      </c>
      <c r="G283" t="s">
        <v>19</v>
      </c>
      <c r="H283">
        <v>20.02</v>
      </c>
      <c r="I283">
        <v>438.41</v>
      </c>
      <c r="J283" t="s">
        <v>27</v>
      </c>
    </row>
    <row r="284" spans="1:10" x14ac:dyDescent="0.35">
      <c r="A284" t="s">
        <v>306</v>
      </c>
      <c r="B284" t="s">
        <v>17</v>
      </c>
      <c r="C284">
        <v>68</v>
      </c>
      <c r="D284">
        <v>50</v>
      </c>
      <c r="E284" t="s">
        <v>12</v>
      </c>
      <c r="F284" t="s">
        <v>22</v>
      </c>
      <c r="G284" t="s">
        <v>23</v>
      </c>
      <c r="H284">
        <v>99.82</v>
      </c>
      <c r="I284">
        <v>5313.12</v>
      </c>
      <c r="J284" t="s">
        <v>15</v>
      </c>
    </row>
    <row r="285" spans="1:10" x14ac:dyDescent="0.35">
      <c r="A285" t="s">
        <v>307</v>
      </c>
      <c r="B285" t="s">
        <v>11</v>
      </c>
      <c r="C285">
        <v>48</v>
      </c>
      <c r="D285">
        <v>49</v>
      </c>
      <c r="E285" t="s">
        <v>18</v>
      </c>
      <c r="F285" t="s">
        <v>33</v>
      </c>
      <c r="G285" t="s">
        <v>14</v>
      </c>
      <c r="H285">
        <v>83.07</v>
      </c>
      <c r="I285">
        <v>4721.76</v>
      </c>
      <c r="J285" t="s">
        <v>15</v>
      </c>
    </row>
    <row r="286" spans="1:10" x14ac:dyDescent="0.35">
      <c r="A286" t="s">
        <v>308</v>
      </c>
      <c r="B286" t="s">
        <v>17</v>
      </c>
      <c r="C286">
        <v>57</v>
      </c>
      <c r="D286">
        <v>51</v>
      </c>
      <c r="E286" t="s">
        <v>12</v>
      </c>
      <c r="F286" t="s">
        <v>22</v>
      </c>
      <c r="G286" t="s">
        <v>23</v>
      </c>
      <c r="H286">
        <v>79.47</v>
      </c>
      <c r="I286">
        <v>3973.29</v>
      </c>
      <c r="J286" t="s">
        <v>27</v>
      </c>
    </row>
    <row r="287" spans="1:10" x14ac:dyDescent="0.35">
      <c r="A287" t="s">
        <v>309</v>
      </c>
      <c r="B287" t="s">
        <v>11</v>
      </c>
      <c r="C287">
        <v>54</v>
      </c>
      <c r="D287">
        <v>36</v>
      </c>
      <c r="E287" t="s">
        <v>21</v>
      </c>
      <c r="F287" t="s">
        <v>13</v>
      </c>
      <c r="G287" t="s">
        <v>23</v>
      </c>
      <c r="H287">
        <v>71.599999999999994</v>
      </c>
      <c r="I287">
        <v>2579.02</v>
      </c>
      <c r="J287" t="s">
        <v>15</v>
      </c>
    </row>
    <row r="288" spans="1:10" x14ac:dyDescent="0.35">
      <c r="A288" t="s">
        <v>310</v>
      </c>
      <c r="B288" t="s">
        <v>11</v>
      </c>
      <c r="C288">
        <v>53</v>
      </c>
      <c r="D288">
        <v>66</v>
      </c>
      <c r="E288" t="s">
        <v>21</v>
      </c>
      <c r="F288" t="s">
        <v>33</v>
      </c>
      <c r="G288" t="s">
        <v>23</v>
      </c>
      <c r="H288">
        <v>79.2</v>
      </c>
      <c r="I288">
        <v>5582.08</v>
      </c>
      <c r="J288" t="s">
        <v>15</v>
      </c>
    </row>
    <row r="289" spans="1:10" x14ac:dyDescent="0.35">
      <c r="A289" t="s">
        <v>311</v>
      </c>
      <c r="B289" t="s">
        <v>11</v>
      </c>
      <c r="C289">
        <v>41</v>
      </c>
      <c r="D289">
        <v>34</v>
      </c>
      <c r="E289" t="s">
        <v>21</v>
      </c>
      <c r="F289" t="s">
        <v>29</v>
      </c>
      <c r="G289" t="s">
        <v>14</v>
      </c>
      <c r="H289">
        <v>73.94</v>
      </c>
      <c r="I289">
        <v>2589.8000000000002</v>
      </c>
      <c r="J289" t="s">
        <v>15</v>
      </c>
    </row>
    <row r="290" spans="1:10" x14ac:dyDescent="0.35">
      <c r="A290" t="s">
        <v>312</v>
      </c>
      <c r="B290" t="s">
        <v>11</v>
      </c>
      <c r="C290">
        <v>48</v>
      </c>
      <c r="D290">
        <v>36</v>
      </c>
      <c r="E290" t="s">
        <v>12</v>
      </c>
      <c r="F290" t="s">
        <v>22</v>
      </c>
      <c r="G290" t="s">
        <v>14</v>
      </c>
      <c r="H290">
        <v>114.96</v>
      </c>
      <c r="I290">
        <v>4233.8</v>
      </c>
      <c r="J290" t="s">
        <v>15</v>
      </c>
    </row>
    <row r="291" spans="1:10" x14ac:dyDescent="0.35">
      <c r="A291" t="s">
        <v>313</v>
      </c>
      <c r="B291" t="s">
        <v>17</v>
      </c>
      <c r="C291">
        <v>23</v>
      </c>
      <c r="D291">
        <v>6</v>
      </c>
      <c r="E291" t="s">
        <v>12</v>
      </c>
      <c r="F291" t="s">
        <v>33</v>
      </c>
      <c r="G291" t="s">
        <v>19</v>
      </c>
      <c r="H291">
        <v>37.6</v>
      </c>
      <c r="I291">
        <v>210.97</v>
      </c>
      <c r="J291" t="s">
        <v>15</v>
      </c>
    </row>
    <row r="292" spans="1:10" x14ac:dyDescent="0.35">
      <c r="A292" t="s">
        <v>314</v>
      </c>
      <c r="B292" t="s">
        <v>11</v>
      </c>
      <c r="C292">
        <v>19</v>
      </c>
      <c r="D292">
        <v>39</v>
      </c>
      <c r="E292" t="s">
        <v>21</v>
      </c>
      <c r="F292" t="s">
        <v>22</v>
      </c>
      <c r="G292" t="s">
        <v>19</v>
      </c>
      <c r="H292">
        <v>45.69</v>
      </c>
      <c r="I292">
        <v>1786.61</v>
      </c>
      <c r="J292" t="s">
        <v>15</v>
      </c>
    </row>
    <row r="293" spans="1:10" x14ac:dyDescent="0.35">
      <c r="A293" t="s">
        <v>315</v>
      </c>
      <c r="B293" t="s">
        <v>11</v>
      </c>
      <c r="C293">
        <v>37</v>
      </c>
      <c r="D293">
        <v>42</v>
      </c>
      <c r="E293" t="s">
        <v>18</v>
      </c>
      <c r="F293" t="s">
        <v>22</v>
      </c>
      <c r="G293" t="s">
        <v>14</v>
      </c>
      <c r="H293">
        <v>43.47</v>
      </c>
      <c r="I293">
        <v>1904.39</v>
      </c>
      <c r="J293" t="s">
        <v>15</v>
      </c>
    </row>
    <row r="294" spans="1:10" x14ac:dyDescent="0.35">
      <c r="A294" t="s">
        <v>316</v>
      </c>
      <c r="B294" t="s">
        <v>11</v>
      </c>
      <c r="C294">
        <v>45</v>
      </c>
      <c r="D294">
        <v>58</v>
      </c>
      <c r="E294" t="s">
        <v>12</v>
      </c>
      <c r="F294" t="s">
        <v>22</v>
      </c>
      <c r="G294" t="s">
        <v>14</v>
      </c>
      <c r="H294">
        <v>54.12</v>
      </c>
      <c r="I294">
        <v>3436.07</v>
      </c>
      <c r="J294" t="s">
        <v>15</v>
      </c>
    </row>
    <row r="295" spans="1:10" x14ac:dyDescent="0.35">
      <c r="A295" t="s">
        <v>317</v>
      </c>
      <c r="B295" t="s">
        <v>17</v>
      </c>
      <c r="C295">
        <v>28</v>
      </c>
      <c r="D295">
        <v>12</v>
      </c>
      <c r="E295" t="s">
        <v>12</v>
      </c>
      <c r="F295" t="s">
        <v>13</v>
      </c>
      <c r="G295" t="s">
        <v>19</v>
      </c>
      <c r="H295">
        <v>88.28</v>
      </c>
      <c r="I295">
        <v>996.1</v>
      </c>
      <c r="J295" t="s">
        <v>15</v>
      </c>
    </row>
    <row r="296" spans="1:10" x14ac:dyDescent="0.35">
      <c r="A296" t="s">
        <v>318</v>
      </c>
      <c r="B296" t="s">
        <v>17</v>
      </c>
      <c r="C296">
        <v>21</v>
      </c>
      <c r="D296">
        <v>3</v>
      </c>
      <c r="E296" t="s">
        <v>12</v>
      </c>
      <c r="F296" t="s">
        <v>33</v>
      </c>
      <c r="G296" t="s">
        <v>19</v>
      </c>
      <c r="H296">
        <v>34.46</v>
      </c>
      <c r="I296">
        <v>93.24</v>
      </c>
      <c r="J296" t="s">
        <v>15</v>
      </c>
    </row>
    <row r="297" spans="1:10" x14ac:dyDescent="0.35">
      <c r="A297" t="s">
        <v>319</v>
      </c>
      <c r="B297" t="s">
        <v>17</v>
      </c>
      <c r="C297">
        <v>32</v>
      </c>
      <c r="D297">
        <v>18</v>
      </c>
      <c r="E297" t="s">
        <v>18</v>
      </c>
      <c r="F297" t="s">
        <v>29</v>
      </c>
      <c r="G297" t="s">
        <v>14</v>
      </c>
      <c r="H297">
        <v>132.86000000000001</v>
      </c>
      <c r="I297">
        <v>2188.35</v>
      </c>
      <c r="J297" t="s">
        <v>15</v>
      </c>
    </row>
    <row r="298" spans="1:10" x14ac:dyDescent="0.35">
      <c r="A298" t="s">
        <v>320</v>
      </c>
      <c r="B298" t="s">
        <v>17</v>
      </c>
      <c r="C298">
        <v>23</v>
      </c>
      <c r="D298">
        <v>40</v>
      </c>
      <c r="E298" t="s">
        <v>12</v>
      </c>
      <c r="F298" t="s">
        <v>29</v>
      </c>
      <c r="G298" t="s">
        <v>19</v>
      </c>
      <c r="H298">
        <v>58.66</v>
      </c>
      <c r="I298">
        <v>2288.14</v>
      </c>
      <c r="J298" t="s">
        <v>15</v>
      </c>
    </row>
    <row r="299" spans="1:10" x14ac:dyDescent="0.35">
      <c r="A299" t="s">
        <v>321</v>
      </c>
      <c r="B299" t="s">
        <v>11</v>
      </c>
      <c r="C299">
        <v>66</v>
      </c>
      <c r="D299">
        <v>21</v>
      </c>
      <c r="E299" t="s">
        <v>12</v>
      </c>
      <c r="F299" t="s">
        <v>29</v>
      </c>
      <c r="G299" t="s">
        <v>23</v>
      </c>
      <c r="H299">
        <v>41.13</v>
      </c>
      <c r="I299">
        <v>919.1</v>
      </c>
      <c r="J299" t="s">
        <v>15</v>
      </c>
    </row>
    <row r="300" spans="1:10" x14ac:dyDescent="0.35">
      <c r="A300" t="s">
        <v>322</v>
      </c>
      <c r="B300" t="s">
        <v>11</v>
      </c>
      <c r="C300">
        <v>47</v>
      </c>
      <c r="D300">
        <v>15</v>
      </c>
      <c r="E300" t="s">
        <v>18</v>
      </c>
      <c r="F300" t="s">
        <v>13</v>
      </c>
      <c r="G300" t="s">
        <v>14</v>
      </c>
      <c r="H300">
        <v>107.83</v>
      </c>
      <c r="I300">
        <v>1458.02</v>
      </c>
      <c r="J300" t="s">
        <v>15</v>
      </c>
    </row>
    <row r="301" spans="1:10" x14ac:dyDescent="0.35">
      <c r="A301" t="s">
        <v>323</v>
      </c>
      <c r="B301" t="s">
        <v>17</v>
      </c>
      <c r="C301">
        <v>55</v>
      </c>
      <c r="D301">
        <v>26</v>
      </c>
      <c r="E301" t="s">
        <v>12</v>
      </c>
      <c r="F301" t="s">
        <v>13</v>
      </c>
      <c r="G301" t="s">
        <v>23</v>
      </c>
      <c r="H301">
        <v>24.95</v>
      </c>
      <c r="I301">
        <v>643.09</v>
      </c>
      <c r="J301" t="s">
        <v>15</v>
      </c>
    </row>
    <row r="302" spans="1:10" x14ac:dyDescent="0.35">
      <c r="A302" t="s">
        <v>324</v>
      </c>
      <c r="B302" t="s">
        <v>11</v>
      </c>
      <c r="C302">
        <v>68</v>
      </c>
      <c r="D302">
        <v>8</v>
      </c>
      <c r="E302" t="s">
        <v>12</v>
      </c>
      <c r="F302" t="s">
        <v>33</v>
      </c>
      <c r="G302" t="s">
        <v>23</v>
      </c>
      <c r="H302">
        <v>100.6</v>
      </c>
      <c r="I302">
        <v>777.31</v>
      </c>
      <c r="J302" t="s">
        <v>27</v>
      </c>
    </row>
    <row r="303" spans="1:10" x14ac:dyDescent="0.35">
      <c r="A303" t="s">
        <v>325</v>
      </c>
      <c r="B303" t="s">
        <v>11</v>
      </c>
      <c r="C303">
        <v>19</v>
      </c>
      <c r="D303">
        <v>42</v>
      </c>
      <c r="E303" t="s">
        <v>21</v>
      </c>
      <c r="F303" t="s">
        <v>13</v>
      </c>
      <c r="G303" t="s">
        <v>19</v>
      </c>
      <c r="H303">
        <v>110.77</v>
      </c>
      <c r="I303">
        <v>4235.9399999999996</v>
      </c>
      <c r="J303" t="s">
        <v>27</v>
      </c>
    </row>
    <row r="304" spans="1:10" x14ac:dyDescent="0.35">
      <c r="A304" t="s">
        <v>326</v>
      </c>
      <c r="B304" t="s">
        <v>11</v>
      </c>
      <c r="C304">
        <v>32</v>
      </c>
      <c r="D304">
        <v>44</v>
      </c>
      <c r="E304" t="s">
        <v>18</v>
      </c>
      <c r="F304" t="s">
        <v>13</v>
      </c>
      <c r="G304" t="s">
        <v>14</v>
      </c>
      <c r="H304">
        <v>47.94</v>
      </c>
      <c r="I304">
        <v>2088.37</v>
      </c>
      <c r="J304" t="s">
        <v>15</v>
      </c>
    </row>
    <row r="305" spans="1:10" x14ac:dyDescent="0.35">
      <c r="A305" t="s">
        <v>327</v>
      </c>
      <c r="B305" t="s">
        <v>17</v>
      </c>
      <c r="C305">
        <v>28</v>
      </c>
      <c r="D305">
        <v>14</v>
      </c>
      <c r="E305" t="s">
        <v>12</v>
      </c>
      <c r="F305" t="s">
        <v>29</v>
      </c>
      <c r="G305" t="s">
        <v>19</v>
      </c>
      <c r="H305">
        <v>25.46</v>
      </c>
      <c r="I305">
        <v>338.96</v>
      </c>
      <c r="J305" t="s">
        <v>15</v>
      </c>
    </row>
    <row r="306" spans="1:10" x14ac:dyDescent="0.35">
      <c r="A306" t="s">
        <v>328</v>
      </c>
      <c r="B306" t="s">
        <v>17</v>
      </c>
      <c r="C306">
        <v>25</v>
      </c>
      <c r="D306">
        <v>2</v>
      </c>
      <c r="E306" t="s">
        <v>12</v>
      </c>
      <c r="F306" t="s">
        <v>13</v>
      </c>
      <c r="G306" t="s">
        <v>19</v>
      </c>
      <c r="H306">
        <v>67.27</v>
      </c>
      <c r="I306">
        <v>130.55000000000001</v>
      </c>
      <c r="J306" t="s">
        <v>27</v>
      </c>
    </row>
    <row r="307" spans="1:10" x14ac:dyDescent="0.35">
      <c r="A307" t="s">
        <v>329</v>
      </c>
      <c r="B307" t="s">
        <v>11</v>
      </c>
      <c r="C307">
        <v>43</v>
      </c>
      <c r="D307">
        <v>37</v>
      </c>
      <c r="E307" t="s">
        <v>12</v>
      </c>
      <c r="F307" t="s">
        <v>22</v>
      </c>
      <c r="G307" t="s">
        <v>14</v>
      </c>
      <c r="H307">
        <v>32.82</v>
      </c>
      <c r="I307">
        <v>1264.28</v>
      </c>
      <c r="J307" t="s">
        <v>27</v>
      </c>
    </row>
    <row r="308" spans="1:10" x14ac:dyDescent="0.35">
      <c r="A308" t="s">
        <v>330</v>
      </c>
      <c r="B308" t="s">
        <v>17</v>
      </c>
      <c r="C308">
        <v>68</v>
      </c>
      <c r="D308">
        <v>69</v>
      </c>
      <c r="E308" t="s">
        <v>12</v>
      </c>
      <c r="F308" t="s">
        <v>29</v>
      </c>
      <c r="G308" t="s">
        <v>23</v>
      </c>
      <c r="H308">
        <v>35.14</v>
      </c>
      <c r="I308">
        <v>2435.11</v>
      </c>
      <c r="J308" t="s">
        <v>15</v>
      </c>
    </row>
    <row r="309" spans="1:10" x14ac:dyDescent="0.35">
      <c r="A309" t="s">
        <v>331</v>
      </c>
      <c r="B309" t="s">
        <v>17</v>
      </c>
      <c r="C309">
        <v>62</v>
      </c>
      <c r="D309">
        <v>38</v>
      </c>
      <c r="E309" t="s">
        <v>21</v>
      </c>
      <c r="F309" t="s">
        <v>29</v>
      </c>
      <c r="G309" t="s">
        <v>23</v>
      </c>
      <c r="H309">
        <v>53.05</v>
      </c>
      <c r="I309">
        <v>1864.57</v>
      </c>
      <c r="J309" t="s">
        <v>27</v>
      </c>
    </row>
    <row r="310" spans="1:10" x14ac:dyDescent="0.35">
      <c r="A310" t="s">
        <v>332</v>
      </c>
      <c r="B310" t="s">
        <v>17</v>
      </c>
      <c r="C310">
        <v>61</v>
      </c>
      <c r="D310">
        <v>41</v>
      </c>
      <c r="E310" t="s">
        <v>12</v>
      </c>
      <c r="F310" t="s">
        <v>29</v>
      </c>
      <c r="G310" t="s">
        <v>23</v>
      </c>
      <c r="H310">
        <v>58.41</v>
      </c>
      <c r="I310">
        <v>2615.81</v>
      </c>
      <c r="J310" t="s">
        <v>27</v>
      </c>
    </row>
    <row r="311" spans="1:10" x14ac:dyDescent="0.35">
      <c r="A311" t="s">
        <v>333</v>
      </c>
      <c r="B311" t="s">
        <v>17</v>
      </c>
      <c r="C311">
        <v>22</v>
      </c>
      <c r="D311">
        <v>62</v>
      </c>
      <c r="E311" t="s">
        <v>12</v>
      </c>
      <c r="F311" t="s">
        <v>29</v>
      </c>
      <c r="G311" t="s">
        <v>19</v>
      </c>
      <c r="H311">
        <v>88.9</v>
      </c>
      <c r="I311">
        <v>5661.62</v>
      </c>
      <c r="J311" t="s">
        <v>15</v>
      </c>
    </row>
    <row r="312" spans="1:10" x14ac:dyDescent="0.35">
      <c r="A312" t="s">
        <v>334</v>
      </c>
      <c r="B312" t="s">
        <v>17</v>
      </c>
      <c r="C312">
        <v>23</v>
      </c>
      <c r="D312">
        <v>60</v>
      </c>
      <c r="E312" t="s">
        <v>12</v>
      </c>
      <c r="F312" t="s">
        <v>13</v>
      </c>
      <c r="G312" t="s">
        <v>19</v>
      </c>
      <c r="H312">
        <v>108.19</v>
      </c>
      <c r="I312">
        <v>6836.57</v>
      </c>
      <c r="J312" t="s">
        <v>15</v>
      </c>
    </row>
    <row r="313" spans="1:10" x14ac:dyDescent="0.35">
      <c r="A313" t="s">
        <v>335</v>
      </c>
      <c r="B313" t="s">
        <v>11</v>
      </c>
      <c r="C313">
        <v>43</v>
      </c>
      <c r="D313">
        <v>14</v>
      </c>
      <c r="E313" t="s">
        <v>21</v>
      </c>
      <c r="F313" t="s">
        <v>29</v>
      </c>
      <c r="G313" t="s">
        <v>14</v>
      </c>
      <c r="H313">
        <v>97.06</v>
      </c>
      <c r="I313">
        <v>1244.48</v>
      </c>
      <c r="J313" t="s">
        <v>15</v>
      </c>
    </row>
    <row r="314" spans="1:10" x14ac:dyDescent="0.35">
      <c r="A314" t="s">
        <v>336</v>
      </c>
      <c r="B314" t="s">
        <v>17</v>
      </c>
      <c r="C314">
        <v>21</v>
      </c>
      <c r="D314">
        <v>2</v>
      </c>
      <c r="E314" t="s">
        <v>12</v>
      </c>
      <c r="F314" t="s">
        <v>22</v>
      </c>
      <c r="G314" t="s">
        <v>19</v>
      </c>
      <c r="H314">
        <v>39.29</v>
      </c>
      <c r="I314">
        <v>71.459999999999994</v>
      </c>
      <c r="J314" t="s">
        <v>15</v>
      </c>
    </row>
    <row r="315" spans="1:10" x14ac:dyDescent="0.35">
      <c r="A315" t="s">
        <v>337</v>
      </c>
      <c r="B315" t="s">
        <v>11</v>
      </c>
      <c r="C315">
        <v>36</v>
      </c>
      <c r="D315">
        <v>70</v>
      </c>
      <c r="E315" t="s">
        <v>18</v>
      </c>
      <c r="F315" t="s">
        <v>33</v>
      </c>
      <c r="G315" t="s">
        <v>14</v>
      </c>
      <c r="H315">
        <v>42.37</v>
      </c>
      <c r="I315">
        <v>2680.85</v>
      </c>
      <c r="J315" t="s">
        <v>15</v>
      </c>
    </row>
    <row r="316" spans="1:10" x14ac:dyDescent="0.35">
      <c r="A316" t="s">
        <v>338</v>
      </c>
      <c r="B316" t="s">
        <v>11</v>
      </c>
      <c r="C316">
        <v>37</v>
      </c>
      <c r="D316">
        <v>17</v>
      </c>
      <c r="E316" t="s">
        <v>12</v>
      </c>
      <c r="F316" t="s">
        <v>13</v>
      </c>
      <c r="G316" t="s">
        <v>14</v>
      </c>
      <c r="H316">
        <v>134.24</v>
      </c>
      <c r="I316">
        <v>2140.04</v>
      </c>
      <c r="J316" t="s">
        <v>27</v>
      </c>
    </row>
    <row r="317" spans="1:10" x14ac:dyDescent="0.35">
      <c r="A317" t="s">
        <v>339</v>
      </c>
      <c r="B317" t="s">
        <v>17</v>
      </c>
      <c r="C317">
        <v>50</v>
      </c>
      <c r="D317">
        <v>28</v>
      </c>
      <c r="E317" t="s">
        <v>18</v>
      </c>
      <c r="F317" t="s">
        <v>33</v>
      </c>
      <c r="G317" t="s">
        <v>23</v>
      </c>
      <c r="H317">
        <v>92.59</v>
      </c>
      <c r="I317">
        <v>2548.14</v>
      </c>
      <c r="J317" t="s">
        <v>15</v>
      </c>
    </row>
    <row r="318" spans="1:10" x14ac:dyDescent="0.35">
      <c r="A318" t="s">
        <v>340</v>
      </c>
      <c r="B318" t="s">
        <v>11</v>
      </c>
      <c r="C318">
        <v>37</v>
      </c>
      <c r="D318">
        <v>66</v>
      </c>
      <c r="E318" t="s">
        <v>18</v>
      </c>
      <c r="F318" t="s">
        <v>13</v>
      </c>
      <c r="G318" t="s">
        <v>14</v>
      </c>
      <c r="H318">
        <v>133.09</v>
      </c>
      <c r="I318">
        <v>9549.59</v>
      </c>
      <c r="J318" t="s">
        <v>15</v>
      </c>
    </row>
    <row r="319" spans="1:10" x14ac:dyDescent="0.35">
      <c r="A319" t="s">
        <v>341</v>
      </c>
      <c r="B319" t="s">
        <v>11</v>
      </c>
      <c r="C319">
        <v>66</v>
      </c>
      <c r="D319">
        <v>35</v>
      </c>
      <c r="E319" t="s">
        <v>12</v>
      </c>
      <c r="F319" t="s">
        <v>13</v>
      </c>
      <c r="G319" t="s">
        <v>23</v>
      </c>
      <c r="H319">
        <v>68.3</v>
      </c>
      <c r="I319">
        <v>2369.9699999999998</v>
      </c>
      <c r="J319" t="s">
        <v>15</v>
      </c>
    </row>
    <row r="320" spans="1:10" x14ac:dyDescent="0.35">
      <c r="A320" t="s">
        <v>342</v>
      </c>
      <c r="B320" t="s">
        <v>11</v>
      </c>
      <c r="C320">
        <v>29</v>
      </c>
      <c r="D320">
        <v>5</v>
      </c>
      <c r="E320" t="s">
        <v>12</v>
      </c>
      <c r="F320" t="s">
        <v>33</v>
      </c>
      <c r="G320" t="s">
        <v>19</v>
      </c>
      <c r="H320">
        <v>99.87</v>
      </c>
      <c r="I320">
        <v>478.4</v>
      </c>
      <c r="J320" t="s">
        <v>27</v>
      </c>
    </row>
    <row r="321" spans="1:10" x14ac:dyDescent="0.35">
      <c r="A321" t="s">
        <v>343</v>
      </c>
      <c r="B321" t="s">
        <v>17</v>
      </c>
      <c r="C321">
        <v>64</v>
      </c>
      <c r="D321">
        <v>65</v>
      </c>
      <c r="E321" t="s">
        <v>12</v>
      </c>
      <c r="F321" t="s">
        <v>29</v>
      </c>
      <c r="G321" t="s">
        <v>23</v>
      </c>
      <c r="H321">
        <v>88.08</v>
      </c>
      <c r="I321">
        <v>5796.12</v>
      </c>
      <c r="J321" t="s">
        <v>15</v>
      </c>
    </row>
    <row r="322" spans="1:10" x14ac:dyDescent="0.35">
      <c r="A322" t="s">
        <v>344</v>
      </c>
      <c r="B322" t="s">
        <v>17</v>
      </c>
      <c r="C322">
        <v>18</v>
      </c>
      <c r="D322">
        <v>40</v>
      </c>
      <c r="E322" t="s">
        <v>12</v>
      </c>
      <c r="F322" t="s">
        <v>33</v>
      </c>
      <c r="G322" t="s">
        <v>19</v>
      </c>
      <c r="H322">
        <v>61.49</v>
      </c>
      <c r="I322">
        <v>2268.6999999999998</v>
      </c>
      <c r="J322" t="s">
        <v>27</v>
      </c>
    </row>
    <row r="323" spans="1:10" x14ac:dyDescent="0.35">
      <c r="A323" t="s">
        <v>345</v>
      </c>
      <c r="B323" t="s">
        <v>11</v>
      </c>
      <c r="C323">
        <v>43</v>
      </c>
      <c r="D323">
        <v>56</v>
      </c>
      <c r="E323" t="s">
        <v>12</v>
      </c>
      <c r="F323" t="s">
        <v>29</v>
      </c>
      <c r="G323" t="s">
        <v>14</v>
      </c>
      <c r="H323">
        <v>81.09</v>
      </c>
      <c r="I323">
        <v>4640.49</v>
      </c>
      <c r="J323" t="s">
        <v>15</v>
      </c>
    </row>
    <row r="324" spans="1:10" x14ac:dyDescent="0.35">
      <c r="A324" t="s">
        <v>346</v>
      </c>
      <c r="B324" t="s">
        <v>17</v>
      </c>
      <c r="C324">
        <v>31</v>
      </c>
      <c r="D324">
        <v>36</v>
      </c>
      <c r="E324" t="s">
        <v>12</v>
      </c>
      <c r="F324" t="s">
        <v>13</v>
      </c>
      <c r="G324" t="s">
        <v>14</v>
      </c>
      <c r="H324">
        <v>85.32</v>
      </c>
      <c r="I324">
        <v>3113.56</v>
      </c>
      <c r="J324" t="s">
        <v>27</v>
      </c>
    </row>
    <row r="325" spans="1:10" x14ac:dyDescent="0.35">
      <c r="A325" t="s">
        <v>347</v>
      </c>
      <c r="B325" t="s">
        <v>17</v>
      </c>
      <c r="C325">
        <v>55</v>
      </c>
      <c r="D325">
        <v>45</v>
      </c>
      <c r="E325" t="s">
        <v>12</v>
      </c>
      <c r="F325" t="s">
        <v>29</v>
      </c>
      <c r="G325" t="s">
        <v>23</v>
      </c>
      <c r="H325">
        <v>46.1</v>
      </c>
      <c r="I325">
        <v>2195.65</v>
      </c>
      <c r="J325" t="s">
        <v>15</v>
      </c>
    </row>
    <row r="326" spans="1:10" x14ac:dyDescent="0.35">
      <c r="A326" t="s">
        <v>348</v>
      </c>
      <c r="B326" t="s">
        <v>17</v>
      </c>
      <c r="C326">
        <v>54</v>
      </c>
      <c r="D326">
        <v>23</v>
      </c>
      <c r="E326" t="s">
        <v>18</v>
      </c>
      <c r="F326" t="s">
        <v>22</v>
      </c>
      <c r="G326" t="s">
        <v>23</v>
      </c>
      <c r="H326">
        <v>60.95</v>
      </c>
      <c r="I326">
        <v>1538.3</v>
      </c>
      <c r="J326" t="s">
        <v>15</v>
      </c>
    </row>
    <row r="327" spans="1:10" x14ac:dyDescent="0.35">
      <c r="A327" t="s">
        <v>349</v>
      </c>
      <c r="B327" t="s">
        <v>17</v>
      </c>
      <c r="C327">
        <v>28</v>
      </c>
      <c r="D327">
        <v>47</v>
      </c>
      <c r="E327" t="s">
        <v>12</v>
      </c>
      <c r="F327" t="s">
        <v>22</v>
      </c>
      <c r="G327" t="s">
        <v>19</v>
      </c>
      <c r="H327">
        <v>122.88</v>
      </c>
      <c r="I327">
        <v>5487.6</v>
      </c>
      <c r="J327" t="s">
        <v>27</v>
      </c>
    </row>
    <row r="328" spans="1:10" x14ac:dyDescent="0.35">
      <c r="A328" t="s">
        <v>350</v>
      </c>
      <c r="B328" t="s">
        <v>11</v>
      </c>
      <c r="C328">
        <v>53</v>
      </c>
      <c r="D328">
        <v>31</v>
      </c>
      <c r="E328" t="s">
        <v>18</v>
      </c>
      <c r="F328" t="s">
        <v>22</v>
      </c>
      <c r="G328" t="s">
        <v>23</v>
      </c>
      <c r="H328">
        <v>139.05000000000001</v>
      </c>
      <c r="I328">
        <v>4318.87</v>
      </c>
      <c r="J328" t="s">
        <v>15</v>
      </c>
    </row>
    <row r="329" spans="1:10" x14ac:dyDescent="0.35">
      <c r="A329" t="s">
        <v>351</v>
      </c>
      <c r="B329" t="s">
        <v>11</v>
      </c>
      <c r="C329">
        <v>30</v>
      </c>
      <c r="D329">
        <v>11</v>
      </c>
      <c r="E329" t="s">
        <v>12</v>
      </c>
      <c r="F329" t="s">
        <v>13</v>
      </c>
      <c r="G329" t="s">
        <v>14</v>
      </c>
      <c r="H329">
        <v>66.77</v>
      </c>
      <c r="I329">
        <v>794.53</v>
      </c>
      <c r="J329" t="s">
        <v>15</v>
      </c>
    </row>
    <row r="330" spans="1:10" x14ac:dyDescent="0.35">
      <c r="A330" t="s">
        <v>352</v>
      </c>
      <c r="B330" t="s">
        <v>17</v>
      </c>
      <c r="C330">
        <v>60</v>
      </c>
      <c r="D330">
        <v>10</v>
      </c>
      <c r="E330" t="s">
        <v>18</v>
      </c>
      <c r="F330" t="s">
        <v>13</v>
      </c>
      <c r="G330" t="s">
        <v>23</v>
      </c>
      <c r="H330">
        <v>59.91</v>
      </c>
      <c r="I330">
        <v>633.27</v>
      </c>
      <c r="J330" t="s">
        <v>15</v>
      </c>
    </row>
    <row r="331" spans="1:10" x14ac:dyDescent="0.35">
      <c r="A331" t="s">
        <v>353</v>
      </c>
      <c r="B331" t="s">
        <v>17</v>
      </c>
      <c r="C331">
        <v>20</v>
      </c>
      <c r="D331">
        <v>67</v>
      </c>
      <c r="E331" t="s">
        <v>21</v>
      </c>
      <c r="F331" t="s">
        <v>29</v>
      </c>
      <c r="G331" t="s">
        <v>19</v>
      </c>
      <c r="H331">
        <v>45.38</v>
      </c>
      <c r="I331">
        <v>3032.8</v>
      </c>
      <c r="J331" t="s">
        <v>15</v>
      </c>
    </row>
    <row r="332" spans="1:10" x14ac:dyDescent="0.35">
      <c r="A332" t="s">
        <v>354</v>
      </c>
      <c r="B332" t="s">
        <v>11</v>
      </c>
      <c r="C332">
        <v>50</v>
      </c>
      <c r="D332">
        <v>14</v>
      </c>
      <c r="E332" t="s">
        <v>12</v>
      </c>
      <c r="F332" t="s">
        <v>29</v>
      </c>
      <c r="G332" t="s">
        <v>23</v>
      </c>
      <c r="H332">
        <v>108.2</v>
      </c>
      <c r="I332">
        <v>1649.73</v>
      </c>
      <c r="J332" t="s">
        <v>15</v>
      </c>
    </row>
    <row r="333" spans="1:10" x14ac:dyDescent="0.35">
      <c r="A333" t="s">
        <v>355</v>
      </c>
      <c r="B333" t="s">
        <v>11</v>
      </c>
      <c r="C333">
        <v>23</v>
      </c>
      <c r="D333">
        <v>10</v>
      </c>
      <c r="E333" t="s">
        <v>21</v>
      </c>
      <c r="F333" t="s">
        <v>33</v>
      </c>
      <c r="G333" t="s">
        <v>19</v>
      </c>
      <c r="H333">
        <v>62</v>
      </c>
      <c r="I333">
        <v>565.1</v>
      </c>
      <c r="J333" t="s">
        <v>15</v>
      </c>
    </row>
    <row r="334" spans="1:10" x14ac:dyDescent="0.35">
      <c r="A334" t="s">
        <v>356</v>
      </c>
      <c r="B334" t="s">
        <v>17</v>
      </c>
      <c r="C334">
        <v>67</v>
      </c>
      <c r="D334">
        <v>1</v>
      </c>
      <c r="E334" t="s">
        <v>12</v>
      </c>
      <c r="F334" t="s">
        <v>13</v>
      </c>
      <c r="G334" t="s">
        <v>23</v>
      </c>
      <c r="H334">
        <v>148.41</v>
      </c>
      <c r="I334">
        <v>161.19999999999999</v>
      </c>
      <c r="J334" t="s">
        <v>27</v>
      </c>
    </row>
    <row r="335" spans="1:10" x14ac:dyDescent="0.35">
      <c r="A335" t="s">
        <v>357</v>
      </c>
      <c r="B335" t="s">
        <v>11</v>
      </c>
      <c r="C335">
        <v>27</v>
      </c>
      <c r="D335">
        <v>5</v>
      </c>
      <c r="E335" t="s">
        <v>12</v>
      </c>
      <c r="F335" t="s">
        <v>33</v>
      </c>
      <c r="G335" t="s">
        <v>19</v>
      </c>
      <c r="H335">
        <v>62.34</v>
      </c>
      <c r="I335">
        <v>283.68</v>
      </c>
      <c r="J335" t="s">
        <v>27</v>
      </c>
    </row>
    <row r="336" spans="1:10" x14ac:dyDescent="0.35">
      <c r="A336" t="s">
        <v>358</v>
      </c>
      <c r="B336" t="s">
        <v>17</v>
      </c>
      <c r="C336">
        <v>22</v>
      </c>
      <c r="D336">
        <v>20</v>
      </c>
      <c r="E336" t="s">
        <v>18</v>
      </c>
      <c r="F336" t="s">
        <v>33</v>
      </c>
      <c r="G336" t="s">
        <v>19</v>
      </c>
      <c r="H336">
        <v>71.239999999999995</v>
      </c>
      <c r="I336">
        <v>1438.28</v>
      </c>
      <c r="J336" t="s">
        <v>15</v>
      </c>
    </row>
    <row r="337" spans="1:10" x14ac:dyDescent="0.35">
      <c r="A337" t="s">
        <v>359</v>
      </c>
      <c r="B337" t="s">
        <v>17</v>
      </c>
      <c r="C337">
        <v>40</v>
      </c>
      <c r="D337">
        <v>8</v>
      </c>
      <c r="E337" t="s">
        <v>12</v>
      </c>
      <c r="F337" t="s">
        <v>13</v>
      </c>
      <c r="G337" t="s">
        <v>14</v>
      </c>
      <c r="H337">
        <v>98.43</v>
      </c>
      <c r="I337">
        <v>848.93</v>
      </c>
      <c r="J337" t="s">
        <v>15</v>
      </c>
    </row>
    <row r="338" spans="1:10" x14ac:dyDescent="0.35">
      <c r="A338" t="s">
        <v>360</v>
      </c>
      <c r="B338" t="s">
        <v>11</v>
      </c>
      <c r="C338">
        <v>27</v>
      </c>
      <c r="D338">
        <v>43</v>
      </c>
      <c r="E338" t="s">
        <v>12</v>
      </c>
      <c r="F338" t="s">
        <v>22</v>
      </c>
      <c r="G338" t="s">
        <v>19</v>
      </c>
      <c r="H338">
        <v>124.22</v>
      </c>
      <c r="I338">
        <v>5087.9799999999996</v>
      </c>
      <c r="J338" t="s">
        <v>15</v>
      </c>
    </row>
    <row r="339" spans="1:10" x14ac:dyDescent="0.35">
      <c r="A339" t="s">
        <v>361</v>
      </c>
      <c r="B339" t="s">
        <v>11</v>
      </c>
      <c r="C339">
        <v>61</v>
      </c>
      <c r="D339">
        <v>1</v>
      </c>
      <c r="E339" t="s">
        <v>21</v>
      </c>
      <c r="F339" t="s">
        <v>29</v>
      </c>
      <c r="G339" t="s">
        <v>23</v>
      </c>
      <c r="H339">
        <v>81.040000000000006</v>
      </c>
      <c r="I339">
        <v>80.59</v>
      </c>
      <c r="J339" t="s">
        <v>27</v>
      </c>
    </row>
    <row r="340" spans="1:10" x14ac:dyDescent="0.35">
      <c r="A340" t="s">
        <v>362</v>
      </c>
      <c r="B340" t="s">
        <v>17</v>
      </c>
      <c r="C340">
        <v>19</v>
      </c>
      <c r="D340">
        <v>57</v>
      </c>
      <c r="E340" t="s">
        <v>18</v>
      </c>
      <c r="F340" t="s">
        <v>29</v>
      </c>
      <c r="G340" t="s">
        <v>19</v>
      </c>
      <c r="H340">
        <v>74.95</v>
      </c>
      <c r="I340">
        <v>4122.05</v>
      </c>
      <c r="J340" t="s">
        <v>15</v>
      </c>
    </row>
    <row r="341" spans="1:10" x14ac:dyDescent="0.35">
      <c r="A341" t="s">
        <v>363</v>
      </c>
      <c r="B341" t="s">
        <v>17</v>
      </c>
      <c r="C341">
        <v>30</v>
      </c>
      <c r="D341">
        <v>64</v>
      </c>
      <c r="E341" t="s">
        <v>21</v>
      </c>
      <c r="F341" t="s">
        <v>29</v>
      </c>
      <c r="G341" t="s">
        <v>14</v>
      </c>
      <c r="H341">
        <v>149.43</v>
      </c>
      <c r="I341">
        <v>10428.34</v>
      </c>
      <c r="J341" t="s">
        <v>15</v>
      </c>
    </row>
    <row r="342" spans="1:10" x14ac:dyDescent="0.35">
      <c r="A342" t="s">
        <v>364</v>
      </c>
      <c r="B342" t="s">
        <v>11</v>
      </c>
      <c r="C342">
        <v>57</v>
      </c>
      <c r="D342">
        <v>28</v>
      </c>
      <c r="E342" t="s">
        <v>12</v>
      </c>
      <c r="F342" t="s">
        <v>13</v>
      </c>
      <c r="G342" t="s">
        <v>23</v>
      </c>
      <c r="H342">
        <v>21.36</v>
      </c>
      <c r="I342">
        <v>636.79</v>
      </c>
      <c r="J342" t="s">
        <v>15</v>
      </c>
    </row>
    <row r="343" spans="1:10" x14ac:dyDescent="0.35">
      <c r="A343" t="s">
        <v>365</v>
      </c>
      <c r="B343" t="s">
        <v>17</v>
      </c>
      <c r="C343">
        <v>19</v>
      </c>
      <c r="D343">
        <v>37</v>
      </c>
      <c r="E343" t="s">
        <v>21</v>
      </c>
      <c r="F343" t="s">
        <v>13</v>
      </c>
      <c r="G343" t="s">
        <v>19</v>
      </c>
      <c r="H343">
        <v>136.36000000000001</v>
      </c>
      <c r="I343">
        <v>5256.22</v>
      </c>
      <c r="J343" t="s">
        <v>27</v>
      </c>
    </row>
    <row r="344" spans="1:10" x14ac:dyDescent="0.35">
      <c r="A344" t="s">
        <v>366</v>
      </c>
      <c r="B344" t="s">
        <v>11</v>
      </c>
      <c r="C344">
        <v>37</v>
      </c>
      <c r="D344">
        <v>47</v>
      </c>
      <c r="E344" t="s">
        <v>12</v>
      </c>
      <c r="F344" t="s">
        <v>13</v>
      </c>
      <c r="G344" t="s">
        <v>14</v>
      </c>
      <c r="H344">
        <v>39.39</v>
      </c>
      <c r="I344">
        <v>1883.78</v>
      </c>
      <c r="J344" t="s">
        <v>15</v>
      </c>
    </row>
    <row r="345" spans="1:10" x14ac:dyDescent="0.35">
      <c r="A345" t="s">
        <v>367</v>
      </c>
      <c r="B345" t="s">
        <v>17</v>
      </c>
      <c r="C345">
        <v>18</v>
      </c>
      <c r="D345">
        <v>37</v>
      </c>
      <c r="E345" t="s">
        <v>21</v>
      </c>
      <c r="F345" t="s">
        <v>13</v>
      </c>
      <c r="G345" t="s">
        <v>19</v>
      </c>
      <c r="H345">
        <v>122.17</v>
      </c>
      <c r="I345">
        <v>4810.12</v>
      </c>
      <c r="J345" t="s">
        <v>15</v>
      </c>
    </row>
    <row r="346" spans="1:10" x14ac:dyDescent="0.35">
      <c r="A346" t="s">
        <v>368</v>
      </c>
      <c r="B346" t="s">
        <v>11</v>
      </c>
      <c r="C346">
        <v>54</v>
      </c>
      <c r="D346">
        <v>49</v>
      </c>
      <c r="E346" t="s">
        <v>18</v>
      </c>
      <c r="F346" t="s">
        <v>13</v>
      </c>
      <c r="G346" t="s">
        <v>23</v>
      </c>
      <c r="H346">
        <v>100.33</v>
      </c>
      <c r="I346">
        <v>4810.24</v>
      </c>
      <c r="J346" t="s">
        <v>15</v>
      </c>
    </row>
    <row r="347" spans="1:10" x14ac:dyDescent="0.35">
      <c r="A347" t="s">
        <v>369</v>
      </c>
      <c r="B347" t="s">
        <v>11</v>
      </c>
      <c r="C347">
        <v>26</v>
      </c>
      <c r="D347">
        <v>44</v>
      </c>
      <c r="E347" t="s">
        <v>21</v>
      </c>
      <c r="F347" t="s">
        <v>22</v>
      </c>
      <c r="G347" t="s">
        <v>19</v>
      </c>
      <c r="H347">
        <v>64.44</v>
      </c>
      <c r="I347">
        <v>2805.62</v>
      </c>
      <c r="J347" t="s">
        <v>15</v>
      </c>
    </row>
    <row r="348" spans="1:10" x14ac:dyDescent="0.35">
      <c r="A348" t="s">
        <v>370</v>
      </c>
      <c r="B348" t="s">
        <v>11</v>
      </c>
      <c r="C348">
        <v>34</v>
      </c>
      <c r="D348">
        <v>56</v>
      </c>
      <c r="E348" t="s">
        <v>18</v>
      </c>
      <c r="F348" t="s">
        <v>22</v>
      </c>
      <c r="G348" t="s">
        <v>14</v>
      </c>
      <c r="H348">
        <v>133.6</v>
      </c>
      <c r="I348">
        <v>7825.76</v>
      </c>
      <c r="J348" t="s">
        <v>15</v>
      </c>
    </row>
    <row r="349" spans="1:10" x14ac:dyDescent="0.35">
      <c r="A349" t="s">
        <v>371</v>
      </c>
      <c r="B349" t="s">
        <v>17</v>
      </c>
      <c r="C349">
        <v>26</v>
      </c>
      <c r="D349">
        <v>28</v>
      </c>
      <c r="E349" t="s">
        <v>12</v>
      </c>
      <c r="F349" t="s">
        <v>29</v>
      </c>
      <c r="G349" t="s">
        <v>19</v>
      </c>
      <c r="H349">
        <v>21.68</v>
      </c>
      <c r="I349">
        <v>589.77</v>
      </c>
      <c r="J349" t="s">
        <v>15</v>
      </c>
    </row>
    <row r="350" spans="1:10" x14ac:dyDescent="0.35">
      <c r="A350" t="s">
        <v>372</v>
      </c>
      <c r="B350" t="s">
        <v>17</v>
      </c>
      <c r="C350">
        <v>28</v>
      </c>
      <c r="D350">
        <v>6</v>
      </c>
      <c r="E350" t="s">
        <v>21</v>
      </c>
      <c r="F350" t="s">
        <v>29</v>
      </c>
      <c r="G350" t="s">
        <v>19</v>
      </c>
      <c r="H350">
        <v>49.47</v>
      </c>
      <c r="I350">
        <v>270.93</v>
      </c>
      <c r="J350" t="s">
        <v>27</v>
      </c>
    </row>
    <row r="351" spans="1:10" x14ac:dyDescent="0.35">
      <c r="A351" t="s">
        <v>373</v>
      </c>
      <c r="B351" t="s">
        <v>11</v>
      </c>
      <c r="C351">
        <v>32</v>
      </c>
      <c r="D351">
        <v>61</v>
      </c>
      <c r="E351" t="s">
        <v>18</v>
      </c>
      <c r="F351" t="s">
        <v>22</v>
      </c>
      <c r="G351" t="s">
        <v>14</v>
      </c>
      <c r="H351">
        <v>93.7</v>
      </c>
      <c r="I351">
        <v>5229.1000000000004</v>
      </c>
      <c r="J351" t="s">
        <v>15</v>
      </c>
    </row>
    <row r="352" spans="1:10" x14ac:dyDescent="0.35">
      <c r="A352" t="s">
        <v>374</v>
      </c>
      <c r="B352" t="s">
        <v>17</v>
      </c>
      <c r="C352">
        <v>41</v>
      </c>
      <c r="D352">
        <v>20</v>
      </c>
      <c r="E352" t="s">
        <v>12</v>
      </c>
      <c r="F352" t="s">
        <v>13</v>
      </c>
      <c r="G352" t="s">
        <v>14</v>
      </c>
      <c r="H352">
        <v>65.7</v>
      </c>
      <c r="I352">
        <v>1212.92</v>
      </c>
      <c r="J352" t="s">
        <v>15</v>
      </c>
    </row>
    <row r="353" spans="1:10" x14ac:dyDescent="0.35">
      <c r="A353" t="s">
        <v>375</v>
      </c>
      <c r="B353" t="s">
        <v>11</v>
      </c>
      <c r="C353">
        <v>55</v>
      </c>
      <c r="D353">
        <v>2</v>
      </c>
      <c r="E353" t="s">
        <v>18</v>
      </c>
      <c r="F353" t="s">
        <v>22</v>
      </c>
      <c r="G353" t="s">
        <v>23</v>
      </c>
      <c r="H353">
        <v>99.35</v>
      </c>
      <c r="I353">
        <v>213.39</v>
      </c>
      <c r="J353" t="s">
        <v>27</v>
      </c>
    </row>
    <row r="354" spans="1:10" x14ac:dyDescent="0.35">
      <c r="A354" t="s">
        <v>376</v>
      </c>
      <c r="B354" t="s">
        <v>11</v>
      </c>
      <c r="C354">
        <v>52</v>
      </c>
      <c r="D354">
        <v>37</v>
      </c>
      <c r="E354" t="s">
        <v>12</v>
      </c>
      <c r="F354" t="s">
        <v>29</v>
      </c>
      <c r="G354" t="s">
        <v>23</v>
      </c>
      <c r="H354">
        <v>23.13</v>
      </c>
      <c r="I354">
        <v>851.06</v>
      </c>
      <c r="J354" t="s">
        <v>15</v>
      </c>
    </row>
    <row r="355" spans="1:10" x14ac:dyDescent="0.35">
      <c r="A355" t="s">
        <v>377</v>
      </c>
      <c r="B355" t="s">
        <v>17</v>
      </c>
      <c r="C355">
        <v>47</v>
      </c>
      <c r="D355">
        <v>20</v>
      </c>
      <c r="E355" t="s">
        <v>21</v>
      </c>
      <c r="F355" t="s">
        <v>13</v>
      </c>
      <c r="G355" t="s">
        <v>14</v>
      </c>
      <c r="H355">
        <v>35.14</v>
      </c>
      <c r="I355">
        <v>732.72</v>
      </c>
      <c r="J355" t="s">
        <v>27</v>
      </c>
    </row>
    <row r="356" spans="1:10" x14ac:dyDescent="0.35">
      <c r="A356" t="s">
        <v>378</v>
      </c>
      <c r="B356" t="s">
        <v>17</v>
      </c>
      <c r="C356">
        <v>48</v>
      </c>
      <c r="D356">
        <v>26</v>
      </c>
      <c r="E356" t="s">
        <v>18</v>
      </c>
      <c r="F356" t="s">
        <v>29</v>
      </c>
      <c r="G356" t="s">
        <v>14</v>
      </c>
      <c r="H356">
        <v>36.520000000000003</v>
      </c>
      <c r="I356">
        <v>929.18</v>
      </c>
      <c r="J356" t="s">
        <v>27</v>
      </c>
    </row>
    <row r="357" spans="1:10" x14ac:dyDescent="0.35">
      <c r="A357" t="s">
        <v>379</v>
      </c>
      <c r="B357" t="s">
        <v>11</v>
      </c>
      <c r="C357">
        <v>66</v>
      </c>
      <c r="D357">
        <v>29</v>
      </c>
      <c r="E357" t="s">
        <v>21</v>
      </c>
      <c r="F357" t="s">
        <v>29</v>
      </c>
      <c r="G357" t="s">
        <v>23</v>
      </c>
      <c r="H357">
        <v>44.61</v>
      </c>
      <c r="I357">
        <v>1231.26</v>
      </c>
      <c r="J357" t="s">
        <v>15</v>
      </c>
    </row>
    <row r="358" spans="1:10" x14ac:dyDescent="0.35">
      <c r="A358" t="s">
        <v>380</v>
      </c>
      <c r="B358" t="s">
        <v>17</v>
      </c>
      <c r="C358">
        <v>22</v>
      </c>
      <c r="D358">
        <v>1</v>
      </c>
      <c r="E358" t="s">
        <v>12</v>
      </c>
      <c r="F358" t="s">
        <v>22</v>
      </c>
      <c r="G358" t="s">
        <v>19</v>
      </c>
      <c r="H358">
        <v>79.709999999999994</v>
      </c>
      <c r="I358">
        <v>77.27</v>
      </c>
      <c r="J358" t="s">
        <v>15</v>
      </c>
    </row>
    <row r="359" spans="1:10" x14ac:dyDescent="0.35">
      <c r="A359" t="s">
        <v>381</v>
      </c>
      <c r="B359" t="s">
        <v>17</v>
      </c>
      <c r="C359">
        <v>61</v>
      </c>
      <c r="D359">
        <v>35</v>
      </c>
      <c r="E359" t="s">
        <v>21</v>
      </c>
      <c r="F359" t="s">
        <v>13</v>
      </c>
      <c r="G359" t="s">
        <v>23</v>
      </c>
      <c r="H359">
        <v>117.78</v>
      </c>
      <c r="I359">
        <v>4364.84</v>
      </c>
      <c r="J359" t="s">
        <v>15</v>
      </c>
    </row>
    <row r="360" spans="1:10" x14ac:dyDescent="0.35">
      <c r="A360" t="s">
        <v>382</v>
      </c>
      <c r="B360" t="s">
        <v>11</v>
      </c>
      <c r="C360">
        <v>67</v>
      </c>
      <c r="D360">
        <v>70</v>
      </c>
      <c r="E360" t="s">
        <v>12</v>
      </c>
      <c r="F360" t="s">
        <v>22</v>
      </c>
      <c r="G360" t="s">
        <v>23</v>
      </c>
      <c r="H360">
        <v>137.72</v>
      </c>
      <c r="I360">
        <v>9881.83</v>
      </c>
      <c r="J360" t="s">
        <v>15</v>
      </c>
    </row>
    <row r="361" spans="1:10" x14ac:dyDescent="0.35">
      <c r="A361" t="s">
        <v>383</v>
      </c>
      <c r="B361" t="s">
        <v>11</v>
      </c>
      <c r="C361">
        <v>31</v>
      </c>
      <c r="D361">
        <v>59</v>
      </c>
      <c r="E361" t="s">
        <v>18</v>
      </c>
      <c r="F361" t="s">
        <v>33</v>
      </c>
      <c r="G361" t="s">
        <v>14</v>
      </c>
      <c r="H361">
        <v>128.6</v>
      </c>
      <c r="I361">
        <v>8251.51</v>
      </c>
      <c r="J361" t="s">
        <v>27</v>
      </c>
    </row>
    <row r="362" spans="1:10" x14ac:dyDescent="0.35">
      <c r="A362" t="s">
        <v>384</v>
      </c>
      <c r="B362" t="s">
        <v>17</v>
      </c>
      <c r="C362">
        <v>70</v>
      </c>
      <c r="D362">
        <v>69</v>
      </c>
      <c r="E362" t="s">
        <v>12</v>
      </c>
      <c r="F362" t="s">
        <v>13</v>
      </c>
      <c r="G362" t="s">
        <v>23</v>
      </c>
      <c r="H362">
        <v>45.6</v>
      </c>
      <c r="I362">
        <v>3259.48</v>
      </c>
      <c r="J362" t="s">
        <v>15</v>
      </c>
    </row>
    <row r="363" spans="1:10" x14ac:dyDescent="0.35">
      <c r="A363" t="s">
        <v>385</v>
      </c>
      <c r="B363" t="s">
        <v>11</v>
      </c>
      <c r="C363">
        <v>28</v>
      </c>
      <c r="D363">
        <v>33</v>
      </c>
      <c r="E363" t="s">
        <v>12</v>
      </c>
      <c r="F363" t="s">
        <v>22</v>
      </c>
      <c r="G363" t="s">
        <v>19</v>
      </c>
      <c r="H363">
        <v>77.349999999999994</v>
      </c>
      <c r="I363">
        <v>2588.38</v>
      </c>
      <c r="J363" t="s">
        <v>15</v>
      </c>
    </row>
    <row r="364" spans="1:10" x14ac:dyDescent="0.35">
      <c r="A364" t="s">
        <v>386</v>
      </c>
      <c r="B364" t="s">
        <v>11</v>
      </c>
      <c r="C364">
        <v>26</v>
      </c>
      <c r="D364">
        <v>51</v>
      </c>
      <c r="E364" t="s">
        <v>21</v>
      </c>
      <c r="F364" t="s">
        <v>29</v>
      </c>
      <c r="G364" t="s">
        <v>19</v>
      </c>
      <c r="H364">
        <v>45.92</v>
      </c>
      <c r="I364">
        <v>2393.5300000000002</v>
      </c>
      <c r="J364" t="s">
        <v>15</v>
      </c>
    </row>
    <row r="365" spans="1:10" x14ac:dyDescent="0.35">
      <c r="A365" t="s">
        <v>387</v>
      </c>
      <c r="B365" t="s">
        <v>17</v>
      </c>
      <c r="C365">
        <v>51</v>
      </c>
      <c r="D365">
        <v>12</v>
      </c>
      <c r="E365" t="s">
        <v>12</v>
      </c>
      <c r="F365" t="s">
        <v>13</v>
      </c>
      <c r="G365" t="s">
        <v>23</v>
      </c>
      <c r="H365">
        <v>54.38</v>
      </c>
      <c r="I365">
        <v>710.29</v>
      </c>
      <c r="J365" t="s">
        <v>15</v>
      </c>
    </row>
    <row r="366" spans="1:10" x14ac:dyDescent="0.35">
      <c r="A366" t="s">
        <v>388</v>
      </c>
      <c r="B366" t="s">
        <v>11</v>
      </c>
      <c r="C366">
        <v>29</v>
      </c>
      <c r="D366">
        <v>20</v>
      </c>
      <c r="E366" t="s">
        <v>21</v>
      </c>
      <c r="F366" t="s">
        <v>22</v>
      </c>
      <c r="G366" t="s">
        <v>19</v>
      </c>
      <c r="H366">
        <v>85.46</v>
      </c>
      <c r="I366">
        <v>1807.72</v>
      </c>
      <c r="J366" t="s">
        <v>15</v>
      </c>
    </row>
    <row r="367" spans="1:10" x14ac:dyDescent="0.35">
      <c r="A367" t="s">
        <v>389</v>
      </c>
      <c r="B367" t="s">
        <v>11</v>
      </c>
      <c r="C367">
        <v>52</v>
      </c>
      <c r="D367">
        <v>53</v>
      </c>
      <c r="E367" t="s">
        <v>21</v>
      </c>
      <c r="F367" t="s">
        <v>13</v>
      </c>
      <c r="G367" t="s">
        <v>23</v>
      </c>
      <c r="H367">
        <v>28.85</v>
      </c>
      <c r="I367">
        <v>1383.5</v>
      </c>
      <c r="J367" t="s">
        <v>15</v>
      </c>
    </row>
    <row r="368" spans="1:10" x14ac:dyDescent="0.35">
      <c r="A368" t="s">
        <v>390</v>
      </c>
      <c r="B368" t="s">
        <v>17</v>
      </c>
      <c r="C368">
        <v>52</v>
      </c>
      <c r="D368">
        <v>43</v>
      </c>
      <c r="E368" t="s">
        <v>18</v>
      </c>
      <c r="F368" t="s">
        <v>13</v>
      </c>
      <c r="G368" t="s">
        <v>23</v>
      </c>
      <c r="H368">
        <v>48.36</v>
      </c>
      <c r="I368">
        <v>2093.6799999999998</v>
      </c>
      <c r="J368" t="s">
        <v>15</v>
      </c>
    </row>
    <row r="369" spans="1:10" x14ac:dyDescent="0.35">
      <c r="A369" t="s">
        <v>391</v>
      </c>
      <c r="B369" t="s">
        <v>17</v>
      </c>
      <c r="C369">
        <v>18</v>
      </c>
      <c r="D369">
        <v>50</v>
      </c>
      <c r="E369" t="s">
        <v>21</v>
      </c>
      <c r="F369" t="s">
        <v>29</v>
      </c>
      <c r="G369" t="s">
        <v>19</v>
      </c>
      <c r="H369">
        <v>141.6</v>
      </c>
      <c r="I369">
        <v>7346.69</v>
      </c>
      <c r="J369" t="s">
        <v>15</v>
      </c>
    </row>
    <row r="370" spans="1:10" x14ac:dyDescent="0.35">
      <c r="A370" t="s">
        <v>392</v>
      </c>
      <c r="B370" t="s">
        <v>11</v>
      </c>
      <c r="C370">
        <v>57</v>
      </c>
      <c r="D370">
        <v>29</v>
      </c>
      <c r="E370" t="s">
        <v>12</v>
      </c>
      <c r="F370" t="s">
        <v>13</v>
      </c>
      <c r="G370" t="s">
        <v>23</v>
      </c>
      <c r="H370">
        <v>80.599999999999994</v>
      </c>
      <c r="I370">
        <v>2453.66</v>
      </c>
      <c r="J370" t="s">
        <v>15</v>
      </c>
    </row>
    <row r="371" spans="1:10" x14ac:dyDescent="0.35">
      <c r="A371" t="s">
        <v>393</v>
      </c>
      <c r="B371" t="s">
        <v>11</v>
      </c>
      <c r="C371">
        <v>39</v>
      </c>
      <c r="D371">
        <v>57</v>
      </c>
      <c r="E371" t="s">
        <v>12</v>
      </c>
      <c r="F371" t="s">
        <v>33</v>
      </c>
      <c r="G371" t="s">
        <v>14</v>
      </c>
      <c r="H371">
        <v>77.900000000000006</v>
      </c>
      <c r="I371">
        <v>4185.55</v>
      </c>
      <c r="J371" t="s">
        <v>27</v>
      </c>
    </row>
    <row r="372" spans="1:10" x14ac:dyDescent="0.35">
      <c r="A372" t="s">
        <v>394</v>
      </c>
      <c r="B372" t="s">
        <v>17</v>
      </c>
      <c r="C372">
        <v>46</v>
      </c>
      <c r="D372">
        <v>39</v>
      </c>
      <c r="E372" t="s">
        <v>12</v>
      </c>
      <c r="F372" t="s">
        <v>33</v>
      </c>
      <c r="G372" t="s">
        <v>14</v>
      </c>
      <c r="H372">
        <v>21.89</v>
      </c>
      <c r="I372">
        <v>916.4</v>
      </c>
      <c r="J372" t="s">
        <v>27</v>
      </c>
    </row>
    <row r="373" spans="1:10" x14ac:dyDescent="0.35">
      <c r="A373" t="s">
        <v>395</v>
      </c>
      <c r="B373" t="s">
        <v>17</v>
      </c>
      <c r="C373">
        <v>25</v>
      </c>
      <c r="D373">
        <v>56</v>
      </c>
      <c r="E373" t="s">
        <v>12</v>
      </c>
      <c r="F373" t="s">
        <v>22</v>
      </c>
      <c r="G373" t="s">
        <v>19</v>
      </c>
      <c r="H373">
        <v>52.16</v>
      </c>
      <c r="I373">
        <v>3187.26</v>
      </c>
      <c r="J373" t="s">
        <v>27</v>
      </c>
    </row>
    <row r="374" spans="1:10" x14ac:dyDescent="0.35">
      <c r="A374" t="s">
        <v>396</v>
      </c>
      <c r="B374" t="s">
        <v>17</v>
      </c>
      <c r="C374">
        <v>28</v>
      </c>
      <c r="D374">
        <v>43</v>
      </c>
      <c r="E374" t="s">
        <v>12</v>
      </c>
      <c r="F374" t="s">
        <v>22</v>
      </c>
      <c r="G374" t="s">
        <v>19</v>
      </c>
      <c r="H374">
        <v>132.62</v>
      </c>
      <c r="I374">
        <v>5402.38</v>
      </c>
      <c r="J374" t="s">
        <v>15</v>
      </c>
    </row>
    <row r="375" spans="1:10" x14ac:dyDescent="0.35">
      <c r="A375" t="s">
        <v>397</v>
      </c>
      <c r="B375" t="s">
        <v>17</v>
      </c>
      <c r="C375">
        <v>58</v>
      </c>
      <c r="D375">
        <v>50</v>
      </c>
      <c r="E375" t="s">
        <v>21</v>
      </c>
      <c r="F375" t="s">
        <v>13</v>
      </c>
      <c r="G375" t="s">
        <v>23</v>
      </c>
      <c r="H375">
        <v>41.4</v>
      </c>
      <c r="I375">
        <v>2228.4</v>
      </c>
      <c r="J375" t="s">
        <v>15</v>
      </c>
    </row>
    <row r="376" spans="1:10" x14ac:dyDescent="0.35">
      <c r="A376" t="s">
        <v>398</v>
      </c>
      <c r="B376" t="s">
        <v>11</v>
      </c>
      <c r="C376">
        <v>54</v>
      </c>
      <c r="D376">
        <v>23</v>
      </c>
      <c r="E376" t="s">
        <v>21</v>
      </c>
      <c r="F376" t="s">
        <v>13</v>
      </c>
      <c r="G376" t="s">
        <v>23</v>
      </c>
      <c r="H376">
        <v>73.97</v>
      </c>
      <c r="I376">
        <v>1564.18</v>
      </c>
      <c r="J376" t="s">
        <v>15</v>
      </c>
    </row>
    <row r="377" spans="1:10" x14ac:dyDescent="0.35">
      <c r="A377" t="s">
        <v>399</v>
      </c>
      <c r="B377" t="s">
        <v>17</v>
      </c>
      <c r="C377">
        <v>31</v>
      </c>
      <c r="D377">
        <v>44</v>
      </c>
      <c r="E377" t="s">
        <v>12</v>
      </c>
      <c r="F377" t="s">
        <v>29</v>
      </c>
      <c r="G377" t="s">
        <v>14</v>
      </c>
      <c r="H377">
        <v>21.86</v>
      </c>
      <c r="I377">
        <v>876.37</v>
      </c>
      <c r="J377" t="s">
        <v>15</v>
      </c>
    </row>
    <row r="378" spans="1:10" x14ac:dyDescent="0.35">
      <c r="A378" t="s">
        <v>400</v>
      </c>
      <c r="B378" t="s">
        <v>17</v>
      </c>
      <c r="C378">
        <v>47</v>
      </c>
      <c r="D378">
        <v>38</v>
      </c>
      <c r="E378" t="s">
        <v>18</v>
      </c>
      <c r="F378" t="s">
        <v>13</v>
      </c>
      <c r="G378" t="s">
        <v>14</v>
      </c>
      <c r="H378">
        <v>82.18</v>
      </c>
      <c r="I378">
        <v>2891.27</v>
      </c>
      <c r="J378" t="s">
        <v>15</v>
      </c>
    </row>
    <row r="379" spans="1:10" x14ac:dyDescent="0.35">
      <c r="A379" t="s">
        <v>401</v>
      </c>
      <c r="B379" t="s">
        <v>11</v>
      </c>
      <c r="C379">
        <v>52</v>
      </c>
      <c r="D379">
        <v>23</v>
      </c>
      <c r="E379" t="s">
        <v>18</v>
      </c>
      <c r="F379" t="s">
        <v>13</v>
      </c>
      <c r="G379" t="s">
        <v>23</v>
      </c>
      <c r="H379">
        <v>22.73</v>
      </c>
      <c r="I379">
        <v>476.55</v>
      </c>
      <c r="J379" t="s">
        <v>15</v>
      </c>
    </row>
    <row r="380" spans="1:10" x14ac:dyDescent="0.35">
      <c r="A380" t="s">
        <v>402</v>
      </c>
      <c r="B380" t="s">
        <v>17</v>
      </c>
      <c r="C380">
        <v>38</v>
      </c>
      <c r="D380">
        <v>45</v>
      </c>
      <c r="E380" t="s">
        <v>18</v>
      </c>
      <c r="F380" t="s">
        <v>33</v>
      </c>
      <c r="G380" t="s">
        <v>14</v>
      </c>
      <c r="H380">
        <v>126.55</v>
      </c>
      <c r="I380">
        <v>6087.7</v>
      </c>
      <c r="J380" t="s">
        <v>15</v>
      </c>
    </row>
    <row r="381" spans="1:10" x14ac:dyDescent="0.35">
      <c r="A381" t="s">
        <v>403</v>
      </c>
      <c r="B381" t="s">
        <v>11</v>
      </c>
      <c r="C381">
        <v>54</v>
      </c>
      <c r="D381">
        <v>52</v>
      </c>
      <c r="E381" t="s">
        <v>21</v>
      </c>
      <c r="F381" t="s">
        <v>13</v>
      </c>
      <c r="G381" t="s">
        <v>23</v>
      </c>
      <c r="H381">
        <v>127.23</v>
      </c>
      <c r="I381">
        <v>6032.5</v>
      </c>
      <c r="J381" t="s">
        <v>15</v>
      </c>
    </row>
    <row r="382" spans="1:10" x14ac:dyDescent="0.35">
      <c r="A382" t="s">
        <v>404</v>
      </c>
      <c r="B382" t="s">
        <v>17</v>
      </c>
      <c r="C382">
        <v>22</v>
      </c>
      <c r="D382">
        <v>50</v>
      </c>
      <c r="E382" t="s">
        <v>12</v>
      </c>
      <c r="F382" t="s">
        <v>13</v>
      </c>
      <c r="G382" t="s">
        <v>19</v>
      </c>
      <c r="H382">
        <v>122.41</v>
      </c>
      <c r="I382">
        <v>5840.99</v>
      </c>
      <c r="J382" t="s">
        <v>15</v>
      </c>
    </row>
    <row r="383" spans="1:10" x14ac:dyDescent="0.35">
      <c r="A383" t="s">
        <v>405</v>
      </c>
      <c r="B383" t="s">
        <v>17</v>
      </c>
      <c r="C383">
        <v>36</v>
      </c>
      <c r="D383">
        <v>8</v>
      </c>
      <c r="E383" t="s">
        <v>12</v>
      </c>
      <c r="F383" t="s">
        <v>13</v>
      </c>
      <c r="G383" t="s">
        <v>14</v>
      </c>
      <c r="H383">
        <v>56.84</v>
      </c>
      <c r="I383">
        <v>418.68</v>
      </c>
      <c r="J383" t="s">
        <v>15</v>
      </c>
    </row>
    <row r="384" spans="1:10" x14ac:dyDescent="0.35">
      <c r="A384" t="s">
        <v>406</v>
      </c>
      <c r="B384" t="s">
        <v>17</v>
      </c>
      <c r="C384">
        <v>31</v>
      </c>
      <c r="D384">
        <v>1</v>
      </c>
      <c r="E384" t="s">
        <v>12</v>
      </c>
      <c r="F384" t="s">
        <v>22</v>
      </c>
      <c r="G384" t="s">
        <v>14</v>
      </c>
      <c r="H384">
        <v>128.84</v>
      </c>
      <c r="I384">
        <v>123.57</v>
      </c>
      <c r="J384" t="s">
        <v>15</v>
      </c>
    </row>
    <row r="385" spans="1:10" x14ac:dyDescent="0.35">
      <c r="A385" t="s">
        <v>407</v>
      </c>
      <c r="B385" t="s">
        <v>11</v>
      </c>
      <c r="C385">
        <v>43</v>
      </c>
      <c r="D385">
        <v>8</v>
      </c>
      <c r="E385" t="s">
        <v>12</v>
      </c>
      <c r="F385" t="s">
        <v>22</v>
      </c>
      <c r="G385" t="s">
        <v>14</v>
      </c>
      <c r="H385">
        <v>90.59</v>
      </c>
      <c r="I385">
        <v>665.37</v>
      </c>
      <c r="J385" t="s">
        <v>27</v>
      </c>
    </row>
    <row r="386" spans="1:10" x14ac:dyDescent="0.35">
      <c r="A386" t="s">
        <v>408</v>
      </c>
      <c r="B386" t="s">
        <v>11</v>
      </c>
      <c r="C386">
        <v>21</v>
      </c>
      <c r="D386">
        <v>29</v>
      </c>
      <c r="E386" t="s">
        <v>18</v>
      </c>
      <c r="F386" t="s">
        <v>29</v>
      </c>
      <c r="G386" t="s">
        <v>19</v>
      </c>
      <c r="H386">
        <v>68.599999999999994</v>
      </c>
      <c r="I386">
        <v>2056.25</v>
      </c>
      <c r="J386" t="s">
        <v>15</v>
      </c>
    </row>
    <row r="387" spans="1:10" x14ac:dyDescent="0.35">
      <c r="A387" t="s">
        <v>409</v>
      </c>
      <c r="B387" t="s">
        <v>17</v>
      </c>
      <c r="C387">
        <v>42</v>
      </c>
      <c r="D387">
        <v>5</v>
      </c>
      <c r="E387" t="s">
        <v>18</v>
      </c>
      <c r="F387" t="s">
        <v>13</v>
      </c>
      <c r="G387" t="s">
        <v>14</v>
      </c>
      <c r="H387">
        <v>101.29</v>
      </c>
      <c r="I387">
        <v>469.31</v>
      </c>
      <c r="J387" t="s">
        <v>15</v>
      </c>
    </row>
    <row r="388" spans="1:10" x14ac:dyDescent="0.35">
      <c r="A388" t="s">
        <v>410</v>
      </c>
      <c r="B388" t="s">
        <v>11</v>
      </c>
      <c r="C388">
        <v>62</v>
      </c>
      <c r="D388">
        <v>47</v>
      </c>
      <c r="E388" t="s">
        <v>12</v>
      </c>
      <c r="F388" t="s">
        <v>33</v>
      </c>
      <c r="G388" t="s">
        <v>23</v>
      </c>
      <c r="H388">
        <v>21.6</v>
      </c>
      <c r="I388">
        <v>1086.6400000000001</v>
      </c>
      <c r="J388" t="s">
        <v>15</v>
      </c>
    </row>
    <row r="389" spans="1:10" x14ac:dyDescent="0.35">
      <c r="A389" t="s">
        <v>411</v>
      </c>
      <c r="B389" t="s">
        <v>11</v>
      </c>
      <c r="C389">
        <v>59</v>
      </c>
      <c r="D389">
        <v>34</v>
      </c>
      <c r="E389" t="s">
        <v>12</v>
      </c>
      <c r="F389" t="s">
        <v>13</v>
      </c>
      <c r="G389" t="s">
        <v>23</v>
      </c>
      <c r="H389">
        <v>38.58</v>
      </c>
      <c r="I389">
        <v>1394.93</v>
      </c>
      <c r="J389" t="s">
        <v>27</v>
      </c>
    </row>
    <row r="390" spans="1:10" x14ac:dyDescent="0.35">
      <c r="A390" t="s">
        <v>412</v>
      </c>
      <c r="B390" t="s">
        <v>11</v>
      </c>
      <c r="C390">
        <v>42</v>
      </c>
      <c r="D390">
        <v>65</v>
      </c>
      <c r="E390" t="s">
        <v>18</v>
      </c>
      <c r="F390" t="s">
        <v>29</v>
      </c>
      <c r="G390" t="s">
        <v>14</v>
      </c>
      <c r="H390">
        <v>116.5</v>
      </c>
      <c r="I390">
        <v>6835.94</v>
      </c>
      <c r="J390" t="s">
        <v>15</v>
      </c>
    </row>
    <row r="391" spans="1:10" x14ac:dyDescent="0.35">
      <c r="A391" t="s">
        <v>413</v>
      </c>
      <c r="B391" t="s">
        <v>11</v>
      </c>
      <c r="C391">
        <v>35</v>
      </c>
      <c r="D391">
        <v>55</v>
      </c>
      <c r="E391" t="s">
        <v>12</v>
      </c>
      <c r="F391" t="s">
        <v>22</v>
      </c>
      <c r="G391" t="s">
        <v>14</v>
      </c>
      <c r="H391">
        <v>51.74</v>
      </c>
      <c r="I391">
        <v>3070.92</v>
      </c>
      <c r="J391" t="s">
        <v>15</v>
      </c>
    </row>
    <row r="392" spans="1:10" x14ac:dyDescent="0.35">
      <c r="A392" t="s">
        <v>414</v>
      </c>
      <c r="B392" t="s">
        <v>11</v>
      </c>
      <c r="C392">
        <v>57</v>
      </c>
      <c r="D392">
        <v>43</v>
      </c>
      <c r="E392" t="s">
        <v>12</v>
      </c>
      <c r="F392" t="s">
        <v>33</v>
      </c>
      <c r="G392" t="s">
        <v>23</v>
      </c>
      <c r="H392">
        <v>97.74</v>
      </c>
      <c r="I392">
        <v>3806.87</v>
      </c>
      <c r="J392" t="s">
        <v>27</v>
      </c>
    </row>
    <row r="393" spans="1:10" x14ac:dyDescent="0.35">
      <c r="A393" t="s">
        <v>415</v>
      </c>
      <c r="B393" t="s">
        <v>11</v>
      </c>
      <c r="C393">
        <v>25</v>
      </c>
      <c r="D393">
        <v>30</v>
      </c>
      <c r="E393" t="s">
        <v>18</v>
      </c>
      <c r="F393" t="s">
        <v>29</v>
      </c>
      <c r="G393" t="s">
        <v>19</v>
      </c>
      <c r="H393">
        <v>70.06</v>
      </c>
      <c r="I393">
        <v>1992.36</v>
      </c>
      <c r="J393" t="s">
        <v>15</v>
      </c>
    </row>
    <row r="394" spans="1:10" x14ac:dyDescent="0.35">
      <c r="A394" t="s">
        <v>416</v>
      </c>
      <c r="B394" t="s">
        <v>17</v>
      </c>
      <c r="C394">
        <v>56</v>
      </c>
      <c r="D394">
        <v>17</v>
      </c>
      <c r="E394" t="s">
        <v>12</v>
      </c>
      <c r="F394" t="s">
        <v>22</v>
      </c>
      <c r="G394" t="s">
        <v>23</v>
      </c>
      <c r="H394">
        <v>131.12</v>
      </c>
      <c r="I394">
        <v>2020.58</v>
      </c>
      <c r="J394" t="s">
        <v>15</v>
      </c>
    </row>
    <row r="395" spans="1:10" x14ac:dyDescent="0.35">
      <c r="A395" t="s">
        <v>417</v>
      </c>
      <c r="B395" t="s">
        <v>17</v>
      </c>
      <c r="C395">
        <v>57</v>
      </c>
      <c r="D395">
        <v>26</v>
      </c>
      <c r="E395" t="s">
        <v>12</v>
      </c>
      <c r="F395" t="s">
        <v>33</v>
      </c>
      <c r="G395" t="s">
        <v>23</v>
      </c>
      <c r="H395">
        <v>143.81</v>
      </c>
      <c r="I395">
        <v>3616.3</v>
      </c>
      <c r="J395" t="s">
        <v>15</v>
      </c>
    </row>
    <row r="396" spans="1:10" x14ac:dyDescent="0.35">
      <c r="A396" t="s">
        <v>418</v>
      </c>
      <c r="B396" t="s">
        <v>11</v>
      </c>
      <c r="C396">
        <v>31</v>
      </c>
      <c r="D396">
        <v>8</v>
      </c>
      <c r="E396" t="s">
        <v>12</v>
      </c>
      <c r="F396" t="s">
        <v>13</v>
      </c>
      <c r="G396" t="s">
        <v>14</v>
      </c>
      <c r="H396">
        <v>134.86000000000001</v>
      </c>
      <c r="I396">
        <v>1081.8699999999999</v>
      </c>
      <c r="J396" t="s">
        <v>15</v>
      </c>
    </row>
    <row r="397" spans="1:10" x14ac:dyDescent="0.35">
      <c r="A397" t="s">
        <v>419</v>
      </c>
      <c r="B397" t="s">
        <v>17</v>
      </c>
      <c r="C397">
        <v>49</v>
      </c>
      <c r="D397">
        <v>47</v>
      </c>
      <c r="E397" t="s">
        <v>18</v>
      </c>
      <c r="F397" t="s">
        <v>33</v>
      </c>
      <c r="G397" t="s">
        <v>14</v>
      </c>
      <c r="H397">
        <v>55.18</v>
      </c>
      <c r="I397">
        <v>2747.33</v>
      </c>
      <c r="J397" t="s">
        <v>15</v>
      </c>
    </row>
    <row r="398" spans="1:10" x14ac:dyDescent="0.35">
      <c r="A398" t="s">
        <v>420</v>
      </c>
      <c r="B398" t="s">
        <v>17</v>
      </c>
      <c r="C398">
        <v>68</v>
      </c>
      <c r="D398">
        <v>72</v>
      </c>
      <c r="E398" t="s">
        <v>21</v>
      </c>
      <c r="F398" t="s">
        <v>22</v>
      </c>
      <c r="G398" t="s">
        <v>23</v>
      </c>
      <c r="H398">
        <v>45.24</v>
      </c>
      <c r="I398">
        <v>3151.73</v>
      </c>
      <c r="J398" t="s">
        <v>15</v>
      </c>
    </row>
    <row r="399" spans="1:10" x14ac:dyDescent="0.35">
      <c r="A399" t="s">
        <v>421</v>
      </c>
      <c r="B399" t="s">
        <v>17</v>
      </c>
      <c r="C399">
        <v>55</v>
      </c>
      <c r="D399">
        <v>46</v>
      </c>
      <c r="E399" t="s">
        <v>12</v>
      </c>
      <c r="F399" t="s">
        <v>22</v>
      </c>
      <c r="G399" t="s">
        <v>23</v>
      </c>
      <c r="H399">
        <v>81.680000000000007</v>
      </c>
      <c r="I399">
        <v>3911.7</v>
      </c>
      <c r="J399" t="s">
        <v>27</v>
      </c>
    </row>
    <row r="400" spans="1:10" x14ac:dyDescent="0.35">
      <c r="A400" t="s">
        <v>422</v>
      </c>
      <c r="B400" t="s">
        <v>17</v>
      </c>
      <c r="C400">
        <v>50</v>
      </c>
      <c r="D400">
        <v>68</v>
      </c>
      <c r="E400" t="s">
        <v>12</v>
      </c>
      <c r="F400" t="s">
        <v>22</v>
      </c>
      <c r="G400" t="s">
        <v>23</v>
      </c>
      <c r="H400">
        <v>20.95</v>
      </c>
      <c r="I400">
        <v>1335.56</v>
      </c>
      <c r="J400" t="s">
        <v>27</v>
      </c>
    </row>
    <row r="401" spans="1:10" x14ac:dyDescent="0.35">
      <c r="A401" t="s">
        <v>423</v>
      </c>
      <c r="B401" t="s">
        <v>11</v>
      </c>
      <c r="C401">
        <v>40</v>
      </c>
      <c r="D401">
        <v>33</v>
      </c>
      <c r="E401" t="s">
        <v>12</v>
      </c>
      <c r="F401" t="s">
        <v>29</v>
      </c>
      <c r="G401" t="s">
        <v>14</v>
      </c>
      <c r="H401">
        <v>23.36</v>
      </c>
      <c r="I401">
        <v>809.52</v>
      </c>
      <c r="J401" t="s">
        <v>27</v>
      </c>
    </row>
    <row r="402" spans="1:10" x14ac:dyDescent="0.35">
      <c r="A402" t="s">
        <v>424</v>
      </c>
      <c r="B402" t="s">
        <v>17</v>
      </c>
      <c r="C402">
        <v>32</v>
      </c>
      <c r="D402">
        <v>1</v>
      </c>
      <c r="E402" t="s">
        <v>21</v>
      </c>
      <c r="F402" t="s">
        <v>29</v>
      </c>
      <c r="G402" t="s">
        <v>14</v>
      </c>
      <c r="H402">
        <v>91.93</v>
      </c>
      <c r="I402">
        <v>87.08</v>
      </c>
      <c r="J402" t="s">
        <v>15</v>
      </c>
    </row>
    <row r="403" spans="1:10" x14ac:dyDescent="0.35">
      <c r="A403" t="s">
        <v>425</v>
      </c>
      <c r="B403" t="s">
        <v>17</v>
      </c>
      <c r="C403">
        <v>50</v>
      </c>
      <c r="D403">
        <v>19</v>
      </c>
      <c r="E403" t="s">
        <v>21</v>
      </c>
      <c r="F403" t="s">
        <v>13</v>
      </c>
      <c r="G403" t="s">
        <v>23</v>
      </c>
      <c r="H403">
        <v>87.66</v>
      </c>
      <c r="I403">
        <v>1546.8</v>
      </c>
      <c r="J403" t="s">
        <v>15</v>
      </c>
    </row>
    <row r="404" spans="1:10" x14ac:dyDescent="0.35">
      <c r="A404" t="s">
        <v>426</v>
      </c>
      <c r="B404" t="s">
        <v>11</v>
      </c>
      <c r="C404">
        <v>42</v>
      </c>
      <c r="D404">
        <v>31</v>
      </c>
      <c r="E404" t="s">
        <v>12</v>
      </c>
      <c r="F404" t="s">
        <v>29</v>
      </c>
      <c r="G404" t="s">
        <v>14</v>
      </c>
      <c r="H404">
        <v>149.30000000000001</v>
      </c>
      <c r="I404">
        <v>4337.1000000000004</v>
      </c>
      <c r="J404" t="s">
        <v>15</v>
      </c>
    </row>
    <row r="405" spans="1:10" x14ac:dyDescent="0.35">
      <c r="A405" t="s">
        <v>427</v>
      </c>
      <c r="B405" t="s">
        <v>11</v>
      </c>
      <c r="C405">
        <v>34</v>
      </c>
      <c r="D405">
        <v>14</v>
      </c>
      <c r="E405" t="s">
        <v>18</v>
      </c>
      <c r="F405" t="s">
        <v>13</v>
      </c>
      <c r="G405" t="s">
        <v>14</v>
      </c>
      <c r="H405">
        <v>46.24</v>
      </c>
      <c r="I405">
        <v>606.20000000000005</v>
      </c>
      <c r="J405" t="s">
        <v>15</v>
      </c>
    </row>
    <row r="406" spans="1:10" x14ac:dyDescent="0.35">
      <c r="A406" t="s">
        <v>428</v>
      </c>
      <c r="B406" t="s">
        <v>17</v>
      </c>
      <c r="C406">
        <v>50</v>
      </c>
      <c r="D406">
        <v>53</v>
      </c>
      <c r="E406" t="s">
        <v>12</v>
      </c>
      <c r="F406" t="s">
        <v>33</v>
      </c>
      <c r="G406" t="s">
        <v>23</v>
      </c>
      <c r="H406">
        <v>53.55</v>
      </c>
      <c r="I406">
        <v>2845.45</v>
      </c>
      <c r="J406" t="s">
        <v>15</v>
      </c>
    </row>
    <row r="407" spans="1:10" x14ac:dyDescent="0.35">
      <c r="A407" t="s">
        <v>429</v>
      </c>
      <c r="B407" t="s">
        <v>17</v>
      </c>
      <c r="C407">
        <v>64</v>
      </c>
      <c r="D407">
        <v>48</v>
      </c>
      <c r="E407" t="s">
        <v>12</v>
      </c>
      <c r="F407" t="s">
        <v>33</v>
      </c>
      <c r="G407" t="s">
        <v>23</v>
      </c>
      <c r="H407">
        <v>34.76</v>
      </c>
      <c r="I407">
        <v>1783.54</v>
      </c>
      <c r="J407" t="s">
        <v>15</v>
      </c>
    </row>
    <row r="408" spans="1:10" x14ac:dyDescent="0.35">
      <c r="A408" t="s">
        <v>430</v>
      </c>
      <c r="B408" t="s">
        <v>17</v>
      </c>
      <c r="C408">
        <v>19</v>
      </c>
      <c r="D408">
        <v>69</v>
      </c>
      <c r="E408" t="s">
        <v>12</v>
      </c>
      <c r="F408" t="s">
        <v>22</v>
      </c>
      <c r="G408" t="s">
        <v>19</v>
      </c>
      <c r="H408">
        <v>139.28</v>
      </c>
      <c r="I408">
        <v>8802.2900000000009</v>
      </c>
      <c r="J408" t="s">
        <v>27</v>
      </c>
    </row>
    <row r="409" spans="1:10" x14ac:dyDescent="0.35">
      <c r="A409" t="s">
        <v>431</v>
      </c>
      <c r="B409" t="s">
        <v>17</v>
      </c>
      <c r="C409">
        <v>31</v>
      </c>
      <c r="D409">
        <v>62</v>
      </c>
      <c r="E409" t="s">
        <v>12</v>
      </c>
      <c r="F409" t="s">
        <v>33</v>
      </c>
      <c r="G409" t="s">
        <v>14</v>
      </c>
      <c r="H409">
        <v>121.12</v>
      </c>
      <c r="I409">
        <v>7820.27</v>
      </c>
      <c r="J409" t="s">
        <v>15</v>
      </c>
    </row>
    <row r="410" spans="1:10" x14ac:dyDescent="0.35">
      <c r="A410" t="s">
        <v>432</v>
      </c>
      <c r="B410" t="s">
        <v>17</v>
      </c>
      <c r="C410">
        <v>70</v>
      </c>
      <c r="D410">
        <v>66</v>
      </c>
      <c r="E410" t="s">
        <v>12</v>
      </c>
      <c r="F410" t="s">
        <v>22</v>
      </c>
      <c r="G410" t="s">
        <v>23</v>
      </c>
      <c r="H410">
        <v>126.9</v>
      </c>
      <c r="I410">
        <v>8633.94</v>
      </c>
      <c r="J410" t="s">
        <v>15</v>
      </c>
    </row>
    <row r="411" spans="1:10" x14ac:dyDescent="0.35">
      <c r="A411" t="s">
        <v>433</v>
      </c>
      <c r="B411" t="s">
        <v>17</v>
      </c>
      <c r="C411">
        <v>57</v>
      </c>
      <c r="D411">
        <v>64</v>
      </c>
      <c r="E411" t="s">
        <v>12</v>
      </c>
      <c r="F411" t="s">
        <v>13</v>
      </c>
      <c r="G411" t="s">
        <v>23</v>
      </c>
      <c r="H411">
        <v>137.36000000000001</v>
      </c>
      <c r="I411">
        <v>9446.01</v>
      </c>
      <c r="J411" t="s">
        <v>15</v>
      </c>
    </row>
    <row r="412" spans="1:10" x14ac:dyDescent="0.35">
      <c r="A412" t="s">
        <v>434</v>
      </c>
      <c r="B412" t="s">
        <v>11</v>
      </c>
      <c r="C412">
        <v>57</v>
      </c>
      <c r="D412">
        <v>70</v>
      </c>
      <c r="E412" t="s">
        <v>12</v>
      </c>
      <c r="F412" t="s">
        <v>29</v>
      </c>
      <c r="G412" t="s">
        <v>23</v>
      </c>
      <c r="H412">
        <v>88.24</v>
      </c>
      <c r="I412">
        <v>5860.73</v>
      </c>
      <c r="J412" t="s">
        <v>15</v>
      </c>
    </row>
    <row r="413" spans="1:10" x14ac:dyDescent="0.35">
      <c r="A413" t="s">
        <v>435</v>
      </c>
      <c r="B413" t="s">
        <v>17</v>
      </c>
      <c r="C413">
        <v>68</v>
      </c>
      <c r="D413">
        <v>63</v>
      </c>
      <c r="E413" t="s">
        <v>21</v>
      </c>
      <c r="F413" t="s">
        <v>13</v>
      </c>
      <c r="G413" t="s">
        <v>23</v>
      </c>
      <c r="H413">
        <v>78.66</v>
      </c>
      <c r="I413">
        <v>4906.13</v>
      </c>
      <c r="J413" t="s">
        <v>15</v>
      </c>
    </row>
    <row r="414" spans="1:10" x14ac:dyDescent="0.35">
      <c r="A414" t="s">
        <v>436</v>
      </c>
      <c r="B414" t="s">
        <v>17</v>
      </c>
      <c r="C414">
        <v>56</v>
      </c>
      <c r="D414">
        <v>33</v>
      </c>
      <c r="E414" t="s">
        <v>12</v>
      </c>
      <c r="F414" t="s">
        <v>22</v>
      </c>
      <c r="G414" t="s">
        <v>23</v>
      </c>
      <c r="H414">
        <v>62.95</v>
      </c>
      <c r="I414">
        <v>2254.27</v>
      </c>
      <c r="J414" t="s">
        <v>27</v>
      </c>
    </row>
    <row r="415" spans="1:10" x14ac:dyDescent="0.35">
      <c r="A415" t="s">
        <v>437</v>
      </c>
      <c r="B415" t="s">
        <v>11</v>
      </c>
      <c r="C415">
        <v>68</v>
      </c>
      <c r="D415">
        <v>41</v>
      </c>
      <c r="E415" t="s">
        <v>21</v>
      </c>
      <c r="F415" t="s">
        <v>13</v>
      </c>
      <c r="G415" t="s">
        <v>23</v>
      </c>
      <c r="H415">
        <v>96.6</v>
      </c>
      <c r="I415">
        <v>4087.33</v>
      </c>
      <c r="J415" t="s">
        <v>15</v>
      </c>
    </row>
    <row r="416" spans="1:10" x14ac:dyDescent="0.35">
      <c r="A416" t="s">
        <v>438</v>
      </c>
      <c r="B416" t="s">
        <v>11</v>
      </c>
      <c r="C416">
        <v>23</v>
      </c>
      <c r="D416">
        <v>48</v>
      </c>
      <c r="E416" t="s">
        <v>18</v>
      </c>
      <c r="F416" t="s">
        <v>22</v>
      </c>
      <c r="G416" t="s">
        <v>19</v>
      </c>
      <c r="H416">
        <v>79.06</v>
      </c>
      <c r="I416">
        <v>3710.46</v>
      </c>
      <c r="J416" t="s">
        <v>15</v>
      </c>
    </row>
    <row r="417" spans="1:10" x14ac:dyDescent="0.35">
      <c r="A417" t="s">
        <v>439</v>
      </c>
      <c r="B417" t="s">
        <v>11</v>
      </c>
      <c r="C417">
        <v>23</v>
      </c>
      <c r="D417">
        <v>13</v>
      </c>
      <c r="E417" t="s">
        <v>12</v>
      </c>
      <c r="F417" t="s">
        <v>29</v>
      </c>
      <c r="G417" t="s">
        <v>19</v>
      </c>
      <c r="H417">
        <v>78.7</v>
      </c>
      <c r="I417">
        <v>947.68</v>
      </c>
      <c r="J417" t="s">
        <v>15</v>
      </c>
    </row>
    <row r="418" spans="1:10" x14ac:dyDescent="0.35">
      <c r="A418" t="s">
        <v>440</v>
      </c>
      <c r="B418" t="s">
        <v>11</v>
      </c>
      <c r="C418">
        <v>20</v>
      </c>
      <c r="D418">
        <v>31</v>
      </c>
      <c r="E418" t="s">
        <v>12</v>
      </c>
      <c r="F418" t="s">
        <v>22</v>
      </c>
      <c r="G418" t="s">
        <v>19</v>
      </c>
      <c r="H418">
        <v>141.80000000000001</v>
      </c>
      <c r="I418">
        <v>4186.99</v>
      </c>
      <c r="J418" t="s">
        <v>15</v>
      </c>
    </row>
    <row r="419" spans="1:10" x14ac:dyDescent="0.35">
      <c r="A419" t="s">
        <v>441</v>
      </c>
      <c r="B419" t="s">
        <v>17</v>
      </c>
      <c r="C419">
        <v>24</v>
      </c>
      <c r="D419">
        <v>68</v>
      </c>
      <c r="E419" t="s">
        <v>12</v>
      </c>
      <c r="F419" t="s">
        <v>33</v>
      </c>
      <c r="G419" t="s">
        <v>19</v>
      </c>
      <c r="H419">
        <v>147.91999999999999</v>
      </c>
      <c r="I419">
        <v>10221.94</v>
      </c>
      <c r="J419" t="s">
        <v>15</v>
      </c>
    </row>
    <row r="420" spans="1:10" x14ac:dyDescent="0.35">
      <c r="A420" t="s">
        <v>442</v>
      </c>
      <c r="B420" t="s">
        <v>17</v>
      </c>
      <c r="C420">
        <v>68</v>
      </c>
      <c r="D420">
        <v>4</v>
      </c>
      <c r="E420" t="s">
        <v>12</v>
      </c>
      <c r="F420" t="s">
        <v>22</v>
      </c>
      <c r="G420" t="s">
        <v>23</v>
      </c>
      <c r="H420">
        <v>123.54</v>
      </c>
      <c r="I420">
        <v>515.72</v>
      </c>
      <c r="J420" t="s">
        <v>27</v>
      </c>
    </row>
    <row r="421" spans="1:10" x14ac:dyDescent="0.35">
      <c r="A421" t="s">
        <v>443</v>
      </c>
      <c r="B421" t="s">
        <v>17</v>
      </c>
      <c r="C421">
        <v>25</v>
      </c>
      <c r="D421">
        <v>19</v>
      </c>
      <c r="E421" t="s">
        <v>12</v>
      </c>
      <c r="F421" t="s">
        <v>33</v>
      </c>
      <c r="G421" t="s">
        <v>19</v>
      </c>
      <c r="H421">
        <v>118.38</v>
      </c>
      <c r="I421">
        <v>2080.27</v>
      </c>
      <c r="J421" t="s">
        <v>15</v>
      </c>
    </row>
    <row r="422" spans="1:10" x14ac:dyDescent="0.35">
      <c r="A422" t="s">
        <v>444</v>
      </c>
      <c r="B422" t="s">
        <v>17</v>
      </c>
      <c r="C422">
        <v>59</v>
      </c>
      <c r="D422">
        <v>70</v>
      </c>
      <c r="E422" t="s">
        <v>21</v>
      </c>
      <c r="F422" t="s">
        <v>33</v>
      </c>
      <c r="G422" t="s">
        <v>23</v>
      </c>
      <c r="H422">
        <v>108.47</v>
      </c>
      <c r="I422">
        <v>7744.15</v>
      </c>
      <c r="J422" t="s">
        <v>15</v>
      </c>
    </row>
    <row r="423" spans="1:10" x14ac:dyDescent="0.35">
      <c r="A423" t="s">
        <v>445</v>
      </c>
      <c r="B423" t="s">
        <v>17</v>
      </c>
      <c r="C423">
        <v>69</v>
      </c>
      <c r="D423">
        <v>13</v>
      </c>
      <c r="E423" t="s">
        <v>21</v>
      </c>
      <c r="F423" t="s">
        <v>33</v>
      </c>
      <c r="G423" t="s">
        <v>23</v>
      </c>
      <c r="H423">
        <v>41.59</v>
      </c>
      <c r="I423">
        <v>546.11</v>
      </c>
      <c r="J423" t="s">
        <v>15</v>
      </c>
    </row>
    <row r="424" spans="1:10" x14ac:dyDescent="0.35">
      <c r="A424" t="s">
        <v>446</v>
      </c>
      <c r="B424" t="s">
        <v>17</v>
      </c>
      <c r="C424">
        <v>32</v>
      </c>
      <c r="D424">
        <v>23</v>
      </c>
      <c r="E424" t="s">
        <v>12</v>
      </c>
      <c r="F424" t="s">
        <v>33</v>
      </c>
      <c r="G424" t="s">
        <v>14</v>
      </c>
      <c r="H424">
        <v>27.68</v>
      </c>
      <c r="I424">
        <v>638.41999999999996</v>
      </c>
      <c r="J424" t="s">
        <v>15</v>
      </c>
    </row>
    <row r="425" spans="1:10" x14ac:dyDescent="0.35">
      <c r="A425" t="s">
        <v>447</v>
      </c>
      <c r="B425" t="s">
        <v>11</v>
      </c>
      <c r="C425">
        <v>64</v>
      </c>
      <c r="D425">
        <v>1</v>
      </c>
      <c r="E425" t="s">
        <v>18</v>
      </c>
      <c r="F425" t="s">
        <v>33</v>
      </c>
      <c r="G425" t="s">
        <v>23</v>
      </c>
      <c r="H425">
        <v>109.79</v>
      </c>
      <c r="I425">
        <v>113.96</v>
      </c>
      <c r="J425" t="s">
        <v>15</v>
      </c>
    </row>
    <row r="426" spans="1:10" x14ac:dyDescent="0.35">
      <c r="A426" t="s">
        <v>448</v>
      </c>
      <c r="B426" t="s">
        <v>17</v>
      </c>
      <c r="C426">
        <v>46</v>
      </c>
      <c r="D426">
        <v>54</v>
      </c>
      <c r="E426" t="s">
        <v>12</v>
      </c>
      <c r="F426" t="s">
        <v>22</v>
      </c>
      <c r="G426" t="s">
        <v>14</v>
      </c>
      <c r="H426">
        <v>114.74</v>
      </c>
      <c r="I426">
        <v>6614.12</v>
      </c>
      <c r="J426" t="s">
        <v>15</v>
      </c>
    </row>
    <row r="427" spans="1:10" x14ac:dyDescent="0.35">
      <c r="A427" t="s">
        <v>449</v>
      </c>
      <c r="B427" t="s">
        <v>11</v>
      </c>
      <c r="C427">
        <v>50</v>
      </c>
      <c r="D427">
        <v>71</v>
      </c>
      <c r="E427" t="s">
        <v>18</v>
      </c>
      <c r="F427" t="s">
        <v>29</v>
      </c>
      <c r="G427" t="s">
        <v>23</v>
      </c>
      <c r="H427">
        <v>26.11</v>
      </c>
      <c r="I427">
        <v>1788.18</v>
      </c>
      <c r="J427" t="s">
        <v>27</v>
      </c>
    </row>
    <row r="428" spans="1:10" x14ac:dyDescent="0.35">
      <c r="A428" t="s">
        <v>450</v>
      </c>
      <c r="B428" t="s">
        <v>11</v>
      </c>
      <c r="C428">
        <v>69</v>
      </c>
      <c r="D428">
        <v>15</v>
      </c>
      <c r="E428" t="s">
        <v>21</v>
      </c>
      <c r="F428" t="s">
        <v>13</v>
      </c>
      <c r="G428" t="s">
        <v>23</v>
      </c>
      <c r="H428">
        <v>140.65</v>
      </c>
      <c r="I428">
        <v>2273.89</v>
      </c>
      <c r="J428" t="s">
        <v>15</v>
      </c>
    </row>
    <row r="429" spans="1:10" x14ac:dyDescent="0.35">
      <c r="A429" t="s">
        <v>451</v>
      </c>
      <c r="B429" t="s">
        <v>17</v>
      </c>
      <c r="C429">
        <v>47</v>
      </c>
      <c r="D429">
        <v>65</v>
      </c>
      <c r="E429" t="s">
        <v>21</v>
      </c>
      <c r="F429" t="s">
        <v>13</v>
      </c>
      <c r="G429" t="s">
        <v>14</v>
      </c>
      <c r="H429">
        <v>31.85</v>
      </c>
      <c r="I429">
        <v>1929.74</v>
      </c>
      <c r="J429" t="s">
        <v>15</v>
      </c>
    </row>
    <row r="430" spans="1:10" x14ac:dyDescent="0.35">
      <c r="A430" t="s">
        <v>452</v>
      </c>
      <c r="B430" t="s">
        <v>11</v>
      </c>
      <c r="C430">
        <v>56</v>
      </c>
      <c r="D430">
        <v>71</v>
      </c>
      <c r="E430" t="s">
        <v>12</v>
      </c>
      <c r="F430" t="s">
        <v>29</v>
      </c>
      <c r="G430" t="s">
        <v>23</v>
      </c>
      <c r="H430">
        <v>57.17</v>
      </c>
      <c r="I430">
        <v>3793.63</v>
      </c>
      <c r="J430" t="s">
        <v>15</v>
      </c>
    </row>
    <row r="431" spans="1:10" x14ac:dyDescent="0.35">
      <c r="A431" t="s">
        <v>453</v>
      </c>
      <c r="B431" t="s">
        <v>17</v>
      </c>
      <c r="C431">
        <v>44</v>
      </c>
      <c r="D431">
        <v>15</v>
      </c>
      <c r="E431" t="s">
        <v>12</v>
      </c>
      <c r="F431" t="s">
        <v>29</v>
      </c>
      <c r="G431" t="s">
        <v>14</v>
      </c>
      <c r="H431">
        <v>107.41</v>
      </c>
      <c r="I431">
        <v>1536</v>
      </c>
      <c r="J431" t="s">
        <v>27</v>
      </c>
    </row>
    <row r="432" spans="1:10" x14ac:dyDescent="0.35">
      <c r="A432" t="s">
        <v>454</v>
      </c>
      <c r="B432" t="s">
        <v>11</v>
      </c>
      <c r="C432">
        <v>53</v>
      </c>
      <c r="D432">
        <v>21</v>
      </c>
      <c r="E432" t="s">
        <v>18</v>
      </c>
      <c r="F432" t="s">
        <v>33</v>
      </c>
      <c r="G432" t="s">
        <v>23</v>
      </c>
      <c r="H432">
        <v>42.08</v>
      </c>
      <c r="I432">
        <v>816.44</v>
      </c>
      <c r="J432" t="s">
        <v>15</v>
      </c>
    </row>
    <row r="433" spans="1:10" x14ac:dyDescent="0.35">
      <c r="A433" t="s">
        <v>455</v>
      </c>
      <c r="B433" t="s">
        <v>17</v>
      </c>
      <c r="C433">
        <v>46</v>
      </c>
      <c r="D433">
        <v>19</v>
      </c>
      <c r="E433" t="s">
        <v>12</v>
      </c>
      <c r="F433" t="s">
        <v>33</v>
      </c>
      <c r="G433" t="s">
        <v>14</v>
      </c>
      <c r="H433">
        <v>27.2</v>
      </c>
      <c r="I433">
        <v>488.93</v>
      </c>
      <c r="J433" t="s">
        <v>27</v>
      </c>
    </row>
    <row r="434" spans="1:10" x14ac:dyDescent="0.35">
      <c r="A434" t="s">
        <v>456</v>
      </c>
      <c r="B434" t="s">
        <v>11</v>
      </c>
      <c r="C434">
        <v>55</v>
      </c>
      <c r="D434">
        <v>60</v>
      </c>
      <c r="E434" t="s">
        <v>18</v>
      </c>
      <c r="F434" t="s">
        <v>33</v>
      </c>
      <c r="G434" t="s">
        <v>23</v>
      </c>
      <c r="H434">
        <v>63.05</v>
      </c>
      <c r="I434">
        <v>3485.21</v>
      </c>
      <c r="J434" t="s">
        <v>27</v>
      </c>
    </row>
    <row r="435" spans="1:10" x14ac:dyDescent="0.35">
      <c r="A435" t="s">
        <v>457</v>
      </c>
      <c r="B435" t="s">
        <v>17</v>
      </c>
      <c r="C435">
        <v>50</v>
      </c>
      <c r="D435">
        <v>33</v>
      </c>
      <c r="E435" t="s">
        <v>12</v>
      </c>
      <c r="F435" t="s">
        <v>13</v>
      </c>
      <c r="G435" t="s">
        <v>23</v>
      </c>
      <c r="H435">
        <v>119.58</v>
      </c>
      <c r="I435">
        <v>4200.08</v>
      </c>
      <c r="J435" t="s">
        <v>27</v>
      </c>
    </row>
    <row r="436" spans="1:10" x14ac:dyDescent="0.35">
      <c r="A436" t="s">
        <v>458</v>
      </c>
      <c r="B436" t="s">
        <v>17</v>
      </c>
      <c r="C436">
        <v>54</v>
      </c>
      <c r="D436">
        <v>49</v>
      </c>
      <c r="E436" t="s">
        <v>12</v>
      </c>
      <c r="F436" t="s">
        <v>29</v>
      </c>
      <c r="G436" t="s">
        <v>23</v>
      </c>
      <c r="H436">
        <v>73.78</v>
      </c>
      <c r="I436">
        <v>3354.18</v>
      </c>
      <c r="J436" t="s">
        <v>15</v>
      </c>
    </row>
    <row r="437" spans="1:10" x14ac:dyDescent="0.35">
      <c r="A437" t="s">
        <v>459</v>
      </c>
      <c r="B437" t="s">
        <v>17</v>
      </c>
      <c r="C437">
        <v>44</v>
      </c>
      <c r="D437">
        <v>35</v>
      </c>
      <c r="E437" t="s">
        <v>12</v>
      </c>
      <c r="F437" t="s">
        <v>29</v>
      </c>
      <c r="G437" t="s">
        <v>14</v>
      </c>
      <c r="H437">
        <v>104.89</v>
      </c>
      <c r="I437">
        <v>3852.72</v>
      </c>
      <c r="J437" t="s">
        <v>15</v>
      </c>
    </row>
    <row r="438" spans="1:10" x14ac:dyDescent="0.35">
      <c r="A438" t="s">
        <v>460</v>
      </c>
      <c r="B438" t="s">
        <v>17</v>
      </c>
      <c r="C438">
        <v>50</v>
      </c>
      <c r="D438">
        <v>44</v>
      </c>
      <c r="E438" t="s">
        <v>12</v>
      </c>
      <c r="F438" t="s">
        <v>29</v>
      </c>
      <c r="G438" t="s">
        <v>23</v>
      </c>
      <c r="H438">
        <v>95.35</v>
      </c>
      <c r="I438">
        <v>3816.06</v>
      </c>
      <c r="J438" t="s">
        <v>15</v>
      </c>
    </row>
    <row r="439" spans="1:10" x14ac:dyDescent="0.35">
      <c r="A439" t="s">
        <v>461</v>
      </c>
      <c r="B439" t="s">
        <v>17</v>
      </c>
      <c r="C439">
        <v>21</v>
      </c>
      <c r="D439">
        <v>11</v>
      </c>
      <c r="E439" t="s">
        <v>18</v>
      </c>
      <c r="F439" t="s">
        <v>29</v>
      </c>
      <c r="G439" t="s">
        <v>19</v>
      </c>
      <c r="H439">
        <v>22.89</v>
      </c>
      <c r="I439">
        <v>274.38</v>
      </c>
      <c r="J439" t="s">
        <v>15</v>
      </c>
    </row>
    <row r="440" spans="1:10" x14ac:dyDescent="0.35">
      <c r="A440" t="s">
        <v>462</v>
      </c>
      <c r="B440" t="s">
        <v>11</v>
      </c>
      <c r="C440">
        <v>39</v>
      </c>
      <c r="D440">
        <v>72</v>
      </c>
      <c r="E440" t="s">
        <v>12</v>
      </c>
      <c r="F440" t="s">
        <v>29</v>
      </c>
      <c r="G440" t="s">
        <v>14</v>
      </c>
      <c r="H440">
        <v>148.51</v>
      </c>
      <c r="I440">
        <v>11144.3</v>
      </c>
      <c r="J440" t="s">
        <v>27</v>
      </c>
    </row>
    <row r="441" spans="1:10" x14ac:dyDescent="0.35">
      <c r="A441" t="s">
        <v>463</v>
      </c>
      <c r="B441" t="s">
        <v>11</v>
      </c>
      <c r="C441">
        <v>19</v>
      </c>
      <c r="D441">
        <v>66</v>
      </c>
      <c r="E441" t="s">
        <v>12</v>
      </c>
      <c r="F441" t="s">
        <v>33</v>
      </c>
      <c r="G441" t="s">
        <v>19</v>
      </c>
      <c r="H441">
        <v>25.39</v>
      </c>
      <c r="I441">
        <v>1510.44</v>
      </c>
      <c r="J441" t="s">
        <v>15</v>
      </c>
    </row>
    <row r="442" spans="1:10" x14ac:dyDescent="0.35">
      <c r="A442" t="s">
        <v>464</v>
      </c>
      <c r="B442" t="s">
        <v>11</v>
      </c>
      <c r="C442">
        <v>27</v>
      </c>
      <c r="D442">
        <v>46</v>
      </c>
      <c r="E442" t="s">
        <v>12</v>
      </c>
      <c r="F442" t="s">
        <v>22</v>
      </c>
      <c r="G442" t="s">
        <v>19</v>
      </c>
      <c r="H442">
        <v>145.81</v>
      </c>
      <c r="I442">
        <v>7061.21</v>
      </c>
      <c r="J442" t="s">
        <v>27</v>
      </c>
    </row>
    <row r="443" spans="1:10" x14ac:dyDescent="0.35">
      <c r="A443" t="s">
        <v>465</v>
      </c>
      <c r="B443" t="s">
        <v>17</v>
      </c>
      <c r="C443">
        <v>22</v>
      </c>
      <c r="D443">
        <v>9</v>
      </c>
      <c r="E443" t="s">
        <v>12</v>
      </c>
      <c r="F443" t="s">
        <v>29</v>
      </c>
      <c r="G443" t="s">
        <v>19</v>
      </c>
      <c r="H443">
        <v>91.48</v>
      </c>
      <c r="I443">
        <v>825.64</v>
      </c>
      <c r="J443" t="s">
        <v>27</v>
      </c>
    </row>
    <row r="444" spans="1:10" x14ac:dyDescent="0.35">
      <c r="A444" t="s">
        <v>466</v>
      </c>
      <c r="B444" t="s">
        <v>11</v>
      </c>
      <c r="C444">
        <v>27</v>
      </c>
      <c r="D444">
        <v>3</v>
      </c>
      <c r="E444" t="s">
        <v>12</v>
      </c>
      <c r="F444" t="s">
        <v>29</v>
      </c>
      <c r="G444" t="s">
        <v>19</v>
      </c>
      <c r="H444">
        <v>145.21</v>
      </c>
      <c r="I444">
        <v>459.97</v>
      </c>
      <c r="J444" t="s">
        <v>15</v>
      </c>
    </row>
    <row r="445" spans="1:10" x14ac:dyDescent="0.35">
      <c r="A445" t="s">
        <v>467</v>
      </c>
      <c r="B445" t="s">
        <v>17</v>
      </c>
      <c r="C445">
        <v>50</v>
      </c>
      <c r="D445">
        <v>26</v>
      </c>
      <c r="E445" t="s">
        <v>12</v>
      </c>
      <c r="F445" t="s">
        <v>13</v>
      </c>
      <c r="G445" t="s">
        <v>23</v>
      </c>
      <c r="H445">
        <v>34.92</v>
      </c>
      <c r="I445">
        <v>912.01</v>
      </c>
      <c r="J445" t="s">
        <v>27</v>
      </c>
    </row>
    <row r="446" spans="1:10" x14ac:dyDescent="0.35">
      <c r="A446" t="s">
        <v>468</v>
      </c>
      <c r="B446" t="s">
        <v>17</v>
      </c>
      <c r="C446">
        <v>55</v>
      </c>
      <c r="D446">
        <v>72</v>
      </c>
      <c r="E446" t="s">
        <v>18</v>
      </c>
      <c r="F446" t="s">
        <v>29</v>
      </c>
      <c r="G446" t="s">
        <v>23</v>
      </c>
      <c r="H446">
        <v>83.07</v>
      </c>
      <c r="I446">
        <v>6200.08</v>
      </c>
      <c r="J446" t="s">
        <v>15</v>
      </c>
    </row>
    <row r="447" spans="1:10" x14ac:dyDescent="0.35">
      <c r="A447" t="s">
        <v>469</v>
      </c>
      <c r="B447" t="s">
        <v>11</v>
      </c>
      <c r="C447">
        <v>30</v>
      </c>
      <c r="D447">
        <v>48</v>
      </c>
      <c r="E447" t="s">
        <v>12</v>
      </c>
      <c r="F447" t="s">
        <v>33</v>
      </c>
      <c r="G447" t="s">
        <v>14</v>
      </c>
      <c r="H447">
        <v>42.04</v>
      </c>
      <c r="I447">
        <v>2133.48</v>
      </c>
      <c r="J447" t="s">
        <v>15</v>
      </c>
    </row>
    <row r="448" spans="1:10" x14ac:dyDescent="0.35">
      <c r="A448" t="s">
        <v>470</v>
      </c>
      <c r="B448" t="s">
        <v>11</v>
      </c>
      <c r="C448">
        <v>48</v>
      </c>
      <c r="D448">
        <v>66</v>
      </c>
      <c r="E448" t="s">
        <v>12</v>
      </c>
      <c r="F448" t="s">
        <v>13</v>
      </c>
      <c r="G448" t="s">
        <v>14</v>
      </c>
      <c r="H448">
        <v>26.63</v>
      </c>
      <c r="I448">
        <v>1724.22</v>
      </c>
      <c r="J448" t="s">
        <v>15</v>
      </c>
    </row>
    <row r="449" spans="1:10" x14ac:dyDescent="0.35">
      <c r="A449" t="s">
        <v>471</v>
      </c>
      <c r="B449" t="s">
        <v>17</v>
      </c>
      <c r="C449">
        <v>64</v>
      </c>
      <c r="D449">
        <v>70</v>
      </c>
      <c r="E449" t="s">
        <v>12</v>
      </c>
      <c r="F449" t="s">
        <v>13</v>
      </c>
      <c r="G449" t="s">
        <v>23</v>
      </c>
      <c r="H449">
        <v>100.28</v>
      </c>
      <c r="I449">
        <v>6321.44</v>
      </c>
      <c r="J449" t="s">
        <v>15</v>
      </c>
    </row>
    <row r="450" spans="1:10" x14ac:dyDescent="0.35">
      <c r="A450" t="s">
        <v>472</v>
      </c>
      <c r="B450" t="s">
        <v>11</v>
      </c>
      <c r="C450">
        <v>53</v>
      </c>
      <c r="D450">
        <v>28</v>
      </c>
      <c r="E450" t="s">
        <v>12</v>
      </c>
      <c r="F450" t="s">
        <v>13</v>
      </c>
      <c r="G450" t="s">
        <v>23</v>
      </c>
      <c r="H450">
        <v>47.01</v>
      </c>
      <c r="I450">
        <v>1408.41</v>
      </c>
      <c r="J450" t="s">
        <v>27</v>
      </c>
    </row>
    <row r="451" spans="1:10" x14ac:dyDescent="0.35">
      <c r="A451" t="s">
        <v>473</v>
      </c>
      <c r="B451" t="s">
        <v>17</v>
      </c>
      <c r="C451">
        <v>62</v>
      </c>
      <c r="D451">
        <v>26</v>
      </c>
      <c r="E451" t="s">
        <v>18</v>
      </c>
      <c r="F451" t="s">
        <v>29</v>
      </c>
      <c r="G451" t="s">
        <v>23</v>
      </c>
      <c r="H451">
        <v>96.4</v>
      </c>
      <c r="I451">
        <v>2446.69</v>
      </c>
      <c r="J451" t="s">
        <v>15</v>
      </c>
    </row>
    <row r="452" spans="1:10" x14ac:dyDescent="0.35">
      <c r="A452" t="s">
        <v>474</v>
      </c>
      <c r="B452" t="s">
        <v>17</v>
      </c>
      <c r="C452">
        <v>41</v>
      </c>
      <c r="D452">
        <v>25</v>
      </c>
      <c r="E452" t="s">
        <v>12</v>
      </c>
      <c r="F452" t="s">
        <v>22</v>
      </c>
      <c r="G452" t="s">
        <v>14</v>
      </c>
      <c r="H452">
        <v>34.61</v>
      </c>
      <c r="I452">
        <v>864.57</v>
      </c>
      <c r="J452" t="s">
        <v>15</v>
      </c>
    </row>
    <row r="453" spans="1:10" x14ac:dyDescent="0.35">
      <c r="A453" t="s">
        <v>475</v>
      </c>
      <c r="B453" t="s">
        <v>17</v>
      </c>
      <c r="C453">
        <v>69</v>
      </c>
      <c r="D453">
        <v>12</v>
      </c>
      <c r="E453" t="s">
        <v>12</v>
      </c>
      <c r="F453" t="s">
        <v>22</v>
      </c>
      <c r="G453" t="s">
        <v>23</v>
      </c>
      <c r="H453">
        <v>63.16</v>
      </c>
      <c r="I453">
        <v>683.31</v>
      </c>
      <c r="J453" t="s">
        <v>15</v>
      </c>
    </row>
    <row r="454" spans="1:10" x14ac:dyDescent="0.35">
      <c r="A454" t="s">
        <v>476</v>
      </c>
      <c r="B454" t="s">
        <v>17</v>
      </c>
      <c r="C454">
        <v>32</v>
      </c>
      <c r="D454">
        <v>5</v>
      </c>
      <c r="E454" t="s">
        <v>21</v>
      </c>
      <c r="F454" t="s">
        <v>22</v>
      </c>
      <c r="G454" t="s">
        <v>14</v>
      </c>
      <c r="H454">
        <v>121.61</v>
      </c>
      <c r="I454">
        <v>607.09</v>
      </c>
      <c r="J454" t="s">
        <v>27</v>
      </c>
    </row>
    <row r="455" spans="1:10" x14ac:dyDescent="0.35">
      <c r="A455" t="s">
        <v>477</v>
      </c>
      <c r="B455" t="s">
        <v>17</v>
      </c>
      <c r="C455">
        <v>46</v>
      </c>
      <c r="D455">
        <v>48</v>
      </c>
      <c r="E455" t="s">
        <v>12</v>
      </c>
      <c r="F455" t="s">
        <v>29</v>
      </c>
      <c r="G455" t="s">
        <v>14</v>
      </c>
      <c r="H455">
        <v>76.819999999999993</v>
      </c>
      <c r="I455">
        <v>4046.13</v>
      </c>
      <c r="J455" t="s">
        <v>15</v>
      </c>
    </row>
    <row r="456" spans="1:10" x14ac:dyDescent="0.35">
      <c r="A456" t="s">
        <v>478</v>
      </c>
      <c r="B456" t="s">
        <v>11</v>
      </c>
      <c r="C456">
        <v>25</v>
      </c>
      <c r="D456">
        <v>37</v>
      </c>
      <c r="E456" t="s">
        <v>12</v>
      </c>
      <c r="F456" t="s">
        <v>1024</v>
      </c>
      <c r="G456" t="s">
        <v>19</v>
      </c>
      <c r="H456">
        <v>101.61</v>
      </c>
      <c r="I456">
        <v>3592.85</v>
      </c>
      <c r="J456" t="s">
        <v>15</v>
      </c>
    </row>
    <row r="457" spans="1:10" x14ac:dyDescent="0.35">
      <c r="A457" t="s">
        <v>479</v>
      </c>
      <c r="B457" t="s">
        <v>11</v>
      </c>
      <c r="C457">
        <v>22</v>
      </c>
      <c r="D457">
        <v>44</v>
      </c>
      <c r="E457" t="s">
        <v>18</v>
      </c>
      <c r="F457" t="s">
        <v>13</v>
      </c>
      <c r="G457" t="s">
        <v>19</v>
      </c>
      <c r="H457">
        <v>104.17</v>
      </c>
      <c r="I457">
        <v>4487.6099999999997</v>
      </c>
      <c r="J457" t="s">
        <v>15</v>
      </c>
    </row>
    <row r="458" spans="1:10" x14ac:dyDescent="0.35">
      <c r="A458" t="s">
        <v>480</v>
      </c>
      <c r="B458" t="s">
        <v>17</v>
      </c>
      <c r="C458">
        <v>46</v>
      </c>
      <c r="D458">
        <v>15</v>
      </c>
      <c r="E458" t="s">
        <v>21</v>
      </c>
      <c r="F458" t="s">
        <v>33</v>
      </c>
      <c r="G458" t="s">
        <v>14</v>
      </c>
      <c r="H458">
        <v>129.69</v>
      </c>
      <c r="I458">
        <v>2018.18</v>
      </c>
      <c r="J458" t="s">
        <v>15</v>
      </c>
    </row>
    <row r="459" spans="1:10" x14ac:dyDescent="0.35">
      <c r="A459" t="s">
        <v>481</v>
      </c>
      <c r="B459" t="s">
        <v>17</v>
      </c>
      <c r="C459">
        <v>64</v>
      </c>
      <c r="D459">
        <v>43</v>
      </c>
      <c r="E459" t="s">
        <v>18</v>
      </c>
      <c r="F459" t="s">
        <v>13</v>
      </c>
      <c r="G459" t="s">
        <v>23</v>
      </c>
      <c r="H459">
        <v>62.24</v>
      </c>
      <c r="I459">
        <v>2844.82</v>
      </c>
      <c r="J459" t="s">
        <v>15</v>
      </c>
    </row>
    <row r="460" spans="1:10" x14ac:dyDescent="0.35">
      <c r="A460" t="s">
        <v>482</v>
      </c>
      <c r="B460" t="s">
        <v>11</v>
      </c>
      <c r="C460">
        <v>21</v>
      </c>
      <c r="D460">
        <v>48</v>
      </c>
      <c r="E460" t="s">
        <v>12</v>
      </c>
      <c r="F460" t="s">
        <v>13</v>
      </c>
      <c r="G460" t="s">
        <v>19</v>
      </c>
      <c r="H460">
        <v>109.35</v>
      </c>
      <c r="I460">
        <v>5162.08</v>
      </c>
      <c r="J460" t="s">
        <v>15</v>
      </c>
    </row>
    <row r="461" spans="1:10" x14ac:dyDescent="0.35">
      <c r="A461" t="s">
        <v>483</v>
      </c>
      <c r="B461" t="s">
        <v>11</v>
      </c>
      <c r="C461">
        <v>29</v>
      </c>
      <c r="D461">
        <v>70</v>
      </c>
      <c r="E461" t="s">
        <v>12</v>
      </c>
      <c r="F461" t="s">
        <v>22</v>
      </c>
      <c r="G461" t="s">
        <v>19</v>
      </c>
      <c r="H461">
        <v>145.01</v>
      </c>
      <c r="I461">
        <v>9764.2999999999993</v>
      </c>
      <c r="J461" t="s">
        <v>15</v>
      </c>
    </row>
    <row r="462" spans="1:10" x14ac:dyDescent="0.35">
      <c r="A462" t="s">
        <v>484</v>
      </c>
      <c r="B462" t="s">
        <v>17</v>
      </c>
      <c r="C462">
        <v>62</v>
      </c>
      <c r="D462">
        <v>46</v>
      </c>
      <c r="E462" t="s">
        <v>12</v>
      </c>
      <c r="F462" t="s">
        <v>22</v>
      </c>
      <c r="G462" t="s">
        <v>23</v>
      </c>
      <c r="H462">
        <v>114.93</v>
      </c>
      <c r="I462">
        <v>5749.72</v>
      </c>
      <c r="J462" t="s">
        <v>27</v>
      </c>
    </row>
    <row r="463" spans="1:10" x14ac:dyDescent="0.35">
      <c r="A463" t="s">
        <v>485</v>
      </c>
      <c r="B463" t="s">
        <v>11</v>
      </c>
      <c r="C463">
        <v>19</v>
      </c>
      <c r="D463">
        <v>43</v>
      </c>
      <c r="E463" t="s">
        <v>12</v>
      </c>
      <c r="F463" t="s">
        <v>13</v>
      </c>
      <c r="G463" t="s">
        <v>19</v>
      </c>
      <c r="H463">
        <v>83.68</v>
      </c>
      <c r="I463">
        <v>3725.72</v>
      </c>
      <c r="J463" t="s">
        <v>15</v>
      </c>
    </row>
    <row r="464" spans="1:10" x14ac:dyDescent="0.35">
      <c r="A464" t="s">
        <v>486</v>
      </c>
      <c r="B464" t="s">
        <v>17</v>
      </c>
      <c r="C464">
        <v>44</v>
      </c>
      <c r="D464">
        <v>21</v>
      </c>
      <c r="E464" t="s">
        <v>18</v>
      </c>
      <c r="F464" t="s">
        <v>13</v>
      </c>
      <c r="G464" t="s">
        <v>14</v>
      </c>
      <c r="H464">
        <v>101.99</v>
      </c>
      <c r="I464">
        <v>1978.59</v>
      </c>
      <c r="J464" t="s">
        <v>15</v>
      </c>
    </row>
    <row r="465" spans="1:10" x14ac:dyDescent="0.35">
      <c r="A465" t="s">
        <v>487</v>
      </c>
      <c r="B465" t="s">
        <v>11</v>
      </c>
      <c r="C465">
        <v>48</v>
      </c>
      <c r="D465">
        <v>23</v>
      </c>
      <c r="E465" t="s">
        <v>12</v>
      </c>
      <c r="F465" t="s">
        <v>13</v>
      </c>
      <c r="G465" t="s">
        <v>14</v>
      </c>
      <c r="H465">
        <v>116.16</v>
      </c>
      <c r="I465">
        <v>2441.34</v>
      </c>
      <c r="J465" t="s">
        <v>27</v>
      </c>
    </row>
    <row r="466" spans="1:10" x14ac:dyDescent="0.35">
      <c r="A466" t="s">
        <v>488</v>
      </c>
      <c r="B466" t="s">
        <v>17</v>
      </c>
      <c r="C466">
        <v>68</v>
      </c>
      <c r="D466">
        <v>47</v>
      </c>
      <c r="E466" t="s">
        <v>18</v>
      </c>
      <c r="F466" t="s">
        <v>33</v>
      </c>
      <c r="G466" t="s">
        <v>23</v>
      </c>
      <c r="H466">
        <v>99.6</v>
      </c>
      <c r="I466">
        <v>4665.8</v>
      </c>
      <c r="J466" t="s">
        <v>15</v>
      </c>
    </row>
    <row r="467" spans="1:10" x14ac:dyDescent="0.35">
      <c r="A467" t="s">
        <v>489</v>
      </c>
      <c r="B467" t="s">
        <v>11</v>
      </c>
      <c r="C467">
        <v>68</v>
      </c>
      <c r="D467">
        <v>15</v>
      </c>
      <c r="E467" t="s">
        <v>21</v>
      </c>
      <c r="F467" t="s">
        <v>13</v>
      </c>
      <c r="G467" t="s">
        <v>23</v>
      </c>
      <c r="H467">
        <v>22.17</v>
      </c>
      <c r="I467">
        <v>313.93</v>
      </c>
      <c r="J467" t="s">
        <v>15</v>
      </c>
    </row>
    <row r="468" spans="1:10" x14ac:dyDescent="0.35">
      <c r="A468" t="s">
        <v>490</v>
      </c>
      <c r="B468" t="s">
        <v>17</v>
      </c>
      <c r="C468">
        <v>53</v>
      </c>
      <c r="D468">
        <v>25</v>
      </c>
      <c r="E468" t="s">
        <v>12</v>
      </c>
      <c r="F468" t="s">
        <v>33</v>
      </c>
      <c r="G468" t="s">
        <v>23</v>
      </c>
      <c r="H468">
        <v>45.32</v>
      </c>
      <c r="I468">
        <v>1077.25</v>
      </c>
      <c r="J468" t="s">
        <v>15</v>
      </c>
    </row>
    <row r="469" spans="1:10" x14ac:dyDescent="0.35">
      <c r="A469" t="s">
        <v>491</v>
      </c>
      <c r="B469" t="s">
        <v>11</v>
      </c>
      <c r="C469">
        <v>53</v>
      </c>
      <c r="D469">
        <v>36</v>
      </c>
      <c r="E469" t="s">
        <v>12</v>
      </c>
      <c r="F469" t="s">
        <v>13</v>
      </c>
      <c r="G469" t="s">
        <v>23</v>
      </c>
      <c r="H469">
        <v>125.36</v>
      </c>
      <c r="I469">
        <v>4853.8599999999997</v>
      </c>
      <c r="J469" t="s">
        <v>27</v>
      </c>
    </row>
    <row r="470" spans="1:10" x14ac:dyDescent="0.35">
      <c r="A470" t="s">
        <v>492</v>
      </c>
      <c r="B470" t="s">
        <v>11</v>
      </c>
      <c r="C470">
        <v>43</v>
      </c>
      <c r="D470">
        <v>51</v>
      </c>
      <c r="E470" t="s">
        <v>21</v>
      </c>
      <c r="F470" t="s">
        <v>33</v>
      </c>
      <c r="G470" t="s">
        <v>14</v>
      </c>
      <c r="H470">
        <v>55.44</v>
      </c>
      <c r="I470">
        <v>2595.34</v>
      </c>
      <c r="J470" t="s">
        <v>15</v>
      </c>
    </row>
    <row r="471" spans="1:10" x14ac:dyDescent="0.35">
      <c r="A471" t="s">
        <v>493</v>
      </c>
      <c r="B471" t="s">
        <v>17</v>
      </c>
      <c r="C471">
        <v>60</v>
      </c>
      <c r="D471">
        <v>15</v>
      </c>
      <c r="E471" t="s">
        <v>12</v>
      </c>
      <c r="F471" t="s">
        <v>33</v>
      </c>
      <c r="G471" t="s">
        <v>23</v>
      </c>
      <c r="H471">
        <v>115.1</v>
      </c>
      <c r="I471">
        <v>1800.87</v>
      </c>
      <c r="J471" t="s">
        <v>27</v>
      </c>
    </row>
    <row r="472" spans="1:10" x14ac:dyDescent="0.35">
      <c r="A472" t="s">
        <v>494</v>
      </c>
      <c r="B472" t="s">
        <v>11</v>
      </c>
      <c r="C472">
        <v>44</v>
      </c>
      <c r="D472">
        <v>68</v>
      </c>
      <c r="E472" t="s">
        <v>18</v>
      </c>
      <c r="F472" t="s">
        <v>13</v>
      </c>
      <c r="G472" t="s">
        <v>14</v>
      </c>
      <c r="H472">
        <v>68.38</v>
      </c>
      <c r="I472">
        <v>4437.01</v>
      </c>
      <c r="J472" t="s">
        <v>27</v>
      </c>
    </row>
    <row r="473" spans="1:10" x14ac:dyDescent="0.35">
      <c r="A473" t="s">
        <v>495</v>
      </c>
      <c r="B473" t="s">
        <v>17</v>
      </c>
      <c r="C473">
        <v>22</v>
      </c>
      <c r="D473">
        <v>21</v>
      </c>
      <c r="E473" t="s">
        <v>12</v>
      </c>
      <c r="F473" t="s">
        <v>33</v>
      </c>
      <c r="G473" t="s">
        <v>19</v>
      </c>
      <c r="H473">
        <v>87.84</v>
      </c>
      <c r="I473">
        <v>1940.68</v>
      </c>
      <c r="J473" t="s">
        <v>27</v>
      </c>
    </row>
    <row r="474" spans="1:10" x14ac:dyDescent="0.35">
      <c r="A474" t="s">
        <v>496</v>
      </c>
      <c r="B474" t="s">
        <v>11</v>
      </c>
      <c r="C474">
        <v>37</v>
      </c>
      <c r="D474">
        <v>13</v>
      </c>
      <c r="E474" t="s">
        <v>12</v>
      </c>
      <c r="F474" t="s">
        <v>29</v>
      </c>
      <c r="G474" t="s">
        <v>14</v>
      </c>
      <c r="H474">
        <v>28.84</v>
      </c>
      <c r="I474">
        <v>391.6</v>
      </c>
      <c r="J474" t="s">
        <v>15</v>
      </c>
    </row>
    <row r="475" spans="1:10" x14ac:dyDescent="0.35">
      <c r="A475" t="s">
        <v>497</v>
      </c>
      <c r="B475" t="s">
        <v>17</v>
      </c>
      <c r="C475">
        <v>28</v>
      </c>
      <c r="D475">
        <v>19</v>
      </c>
      <c r="E475" t="s">
        <v>21</v>
      </c>
      <c r="F475" t="s">
        <v>33</v>
      </c>
      <c r="G475" t="s">
        <v>19</v>
      </c>
      <c r="H475">
        <v>43.56</v>
      </c>
      <c r="I475">
        <v>746.1</v>
      </c>
      <c r="J475" t="s">
        <v>15</v>
      </c>
    </row>
    <row r="476" spans="1:10" x14ac:dyDescent="0.35">
      <c r="A476" t="s">
        <v>498</v>
      </c>
      <c r="B476" t="s">
        <v>11</v>
      </c>
      <c r="C476">
        <v>27</v>
      </c>
      <c r="D476">
        <v>34</v>
      </c>
      <c r="E476" t="s">
        <v>18</v>
      </c>
      <c r="F476" t="s">
        <v>22</v>
      </c>
      <c r="G476" t="s">
        <v>19</v>
      </c>
      <c r="H476">
        <v>144.44</v>
      </c>
      <c r="I476">
        <v>4919.93</v>
      </c>
      <c r="J476" t="s">
        <v>27</v>
      </c>
    </row>
    <row r="477" spans="1:10" x14ac:dyDescent="0.35">
      <c r="A477" t="s">
        <v>499</v>
      </c>
      <c r="B477" t="s">
        <v>17</v>
      </c>
      <c r="C477">
        <v>57</v>
      </c>
      <c r="D477">
        <v>68</v>
      </c>
      <c r="E477" t="s">
        <v>12</v>
      </c>
      <c r="F477" t="s">
        <v>29</v>
      </c>
      <c r="G477" t="s">
        <v>23</v>
      </c>
      <c r="H477">
        <v>135.72</v>
      </c>
      <c r="I477">
        <v>8563.2199999999993</v>
      </c>
      <c r="J477" t="s">
        <v>15</v>
      </c>
    </row>
    <row r="478" spans="1:10" x14ac:dyDescent="0.35">
      <c r="A478" t="s">
        <v>500</v>
      </c>
      <c r="B478" t="s">
        <v>11</v>
      </c>
      <c r="C478">
        <v>55</v>
      </c>
      <c r="D478">
        <v>52</v>
      </c>
      <c r="E478" t="s">
        <v>18</v>
      </c>
      <c r="F478" t="s">
        <v>22</v>
      </c>
      <c r="G478" t="s">
        <v>23</v>
      </c>
      <c r="H478">
        <v>104.8</v>
      </c>
      <c r="I478">
        <v>5848.76</v>
      </c>
      <c r="J478" t="s">
        <v>15</v>
      </c>
    </row>
    <row r="479" spans="1:10" x14ac:dyDescent="0.35">
      <c r="A479" t="s">
        <v>501</v>
      </c>
      <c r="B479" t="s">
        <v>17</v>
      </c>
      <c r="C479">
        <v>23</v>
      </c>
      <c r="D479">
        <v>27</v>
      </c>
      <c r="E479" t="s">
        <v>12</v>
      </c>
      <c r="F479" t="s">
        <v>33</v>
      </c>
      <c r="G479" t="s">
        <v>19</v>
      </c>
      <c r="H479">
        <v>79.75</v>
      </c>
      <c r="I479">
        <v>2313.27</v>
      </c>
      <c r="J479" t="s">
        <v>15</v>
      </c>
    </row>
    <row r="480" spans="1:10" x14ac:dyDescent="0.35">
      <c r="A480" t="s">
        <v>502</v>
      </c>
      <c r="B480" t="s">
        <v>11</v>
      </c>
      <c r="C480">
        <v>25</v>
      </c>
      <c r="D480">
        <v>29</v>
      </c>
      <c r="E480" t="s">
        <v>21</v>
      </c>
      <c r="F480" t="s">
        <v>29</v>
      </c>
      <c r="G480" t="s">
        <v>19</v>
      </c>
      <c r="H480">
        <v>107.85</v>
      </c>
      <c r="I480">
        <v>3076.57</v>
      </c>
      <c r="J480" t="s">
        <v>15</v>
      </c>
    </row>
    <row r="481" spans="1:10" x14ac:dyDescent="0.35">
      <c r="A481" t="s">
        <v>503</v>
      </c>
      <c r="B481" t="s">
        <v>17</v>
      </c>
      <c r="C481">
        <v>40</v>
      </c>
      <c r="D481">
        <v>28</v>
      </c>
      <c r="E481" t="s">
        <v>21</v>
      </c>
      <c r="F481" t="s">
        <v>13</v>
      </c>
      <c r="G481" t="s">
        <v>14</v>
      </c>
      <c r="H481">
        <v>100.42</v>
      </c>
      <c r="I481">
        <v>2780.49</v>
      </c>
      <c r="J481" t="s">
        <v>15</v>
      </c>
    </row>
    <row r="482" spans="1:10" x14ac:dyDescent="0.35">
      <c r="A482" t="s">
        <v>504</v>
      </c>
      <c r="B482" t="s">
        <v>17</v>
      </c>
      <c r="C482">
        <v>64</v>
      </c>
      <c r="D482">
        <v>35</v>
      </c>
      <c r="E482" t="s">
        <v>12</v>
      </c>
      <c r="F482" t="s">
        <v>22</v>
      </c>
      <c r="G482" t="s">
        <v>23</v>
      </c>
      <c r="H482">
        <v>93.91</v>
      </c>
      <c r="I482">
        <v>3157.53</v>
      </c>
      <c r="J482" t="s">
        <v>15</v>
      </c>
    </row>
    <row r="483" spans="1:10" x14ac:dyDescent="0.35">
      <c r="A483" t="s">
        <v>505</v>
      </c>
      <c r="B483" t="s">
        <v>17</v>
      </c>
      <c r="C483">
        <v>43</v>
      </c>
      <c r="D483">
        <v>8</v>
      </c>
      <c r="E483" t="s">
        <v>12</v>
      </c>
      <c r="F483" t="s">
        <v>33</v>
      </c>
      <c r="G483" t="s">
        <v>14</v>
      </c>
      <c r="H483">
        <v>27.69</v>
      </c>
      <c r="I483">
        <v>231.12</v>
      </c>
      <c r="J483" t="s">
        <v>15</v>
      </c>
    </row>
    <row r="484" spans="1:10" x14ac:dyDescent="0.35">
      <c r="A484" t="s">
        <v>506</v>
      </c>
      <c r="B484" t="s">
        <v>11</v>
      </c>
      <c r="C484">
        <v>63</v>
      </c>
      <c r="D484">
        <v>16</v>
      </c>
      <c r="E484" t="s">
        <v>21</v>
      </c>
      <c r="F484" t="s">
        <v>13</v>
      </c>
      <c r="G484" t="s">
        <v>23</v>
      </c>
      <c r="H484">
        <v>102.26</v>
      </c>
      <c r="I484">
        <v>1589.91</v>
      </c>
      <c r="J484" t="s">
        <v>15</v>
      </c>
    </row>
    <row r="485" spans="1:10" x14ac:dyDescent="0.35">
      <c r="A485" t="s">
        <v>507</v>
      </c>
      <c r="B485" t="s">
        <v>17</v>
      </c>
      <c r="C485">
        <v>60</v>
      </c>
      <c r="D485">
        <v>36</v>
      </c>
      <c r="E485" t="s">
        <v>12</v>
      </c>
      <c r="F485" t="s">
        <v>29</v>
      </c>
      <c r="G485" t="s">
        <v>23</v>
      </c>
      <c r="H485">
        <v>119.96</v>
      </c>
      <c r="I485">
        <v>4118</v>
      </c>
      <c r="J485" t="s">
        <v>15</v>
      </c>
    </row>
    <row r="486" spans="1:10" x14ac:dyDescent="0.35">
      <c r="A486" t="s">
        <v>508</v>
      </c>
      <c r="B486" t="s">
        <v>11</v>
      </c>
      <c r="C486">
        <v>29</v>
      </c>
      <c r="D486">
        <v>30</v>
      </c>
      <c r="E486" t="s">
        <v>21</v>
      </c>
      <c r="F486" t="s">
        <v>29</v>
      </c>
      <c r="G486" t="s">
        <v>19</v>
      </c>
      <c r="H486">
        <v>149.22999999999999</v>
      </c>
      <c r="I486">
        <v>4416.22</v>
      </c>
      <c r="J486" t="s">
        <v>15</v>
      </c>
    </row>
    <row r="487" spans="1:10" x14ac:dyDescent="0.35">
      <c r="A487" t="s">
        <v>509</v>
      </c>
      <c r="B487" t="s">
        <v>17</v>
      </c>
      <c r="C487">
        <v>43</v>
      </c>
      <c r="D487">
        <v>18</v>
      </c>
      <c r="E487" t="s">
        <v>12</v>
      </c>
      <c r="F487" t="s">
        <v>13</v>
      </c>
      <c r="G487" t="s">
        <v>14</v>
      </c>
      <c r="H487">
        <v>21.44</v>
      </c>
      <c r="I487">
        <v>354.39</v>
      </c>
      <c r="J487" t="s">
        <v>15</v>
      </c>
    </row>
    <row r="488" spans="1:10" x14ac:dyDescent="0.35">
      <c r="A488" t="s">
        <v>510</v>
      </c>
      <c r="B488" t="s">
        <v>11</v>
      </c>
      <c r="C488">
        <v>30</v>
      </c>
      <c r="D488">
        <v>2</v>
      </c>
      <c r="E488" t="s">
        <v>18</v>
      </c>
      <c r="F488" t="s">
        <v>13</v>
      </c>
      <c r="G488" t="s">
        <v>14</v>
      </c>
      <c r="H488">
        <v>114.92</v>
      </c>
      <c r="I488">
        <v>241.18</v>
      </c>
      <c r="J488" t="s">
        <v>27</v>
      </c>
    </row>
    <row r="489" spans="1:10" x14ac:dyDescent="0.35">
      <c r="A489" t="s">
        <v>511</v>
      </c>
      <c r="B489" t="s">
        <v>17</v>
      </c>
      <c r="C489">
        <v>57</v>
      </c>
      <c r="D489">
        <v>49</v>
      </c>
      <c r="E489" t="s">
        <v>21</v>
      </c>
      <c r="F489" t="s">
        <v>33</v>
      </c>
      <c r="G489" t="s">
        <v>23</v>
      </c>
      <c r="H489">
        <v>94.33</v>
      </c>
      <c r="I489">
        <v>4171.6000000000004</v>
      </c>
      <c r="J489" t="s">
        <v>15</v>
      </c>
    </row>
    <row r="490" spans="1:10" x14ac:dyDescent="0.35">
      <c r="A490" t="s">
        <v>512</v>
      </c>
      <c r="B490" t="s">
        <v>11</v>
      </c>
      <c r="C490">
        <v>35</v>
      </c>
      <c r="D490">
        <v>4</v>
      </c>
      <c r="E490" t="s">
        <v>18</v>
      </c>
      <c r="F490" t="s">
        <v>29</v>
      </c>
      <c r="G490" t="s">
        <v>14</v>
      </c>
      <c r="H490">
        <v>76.430000000000007</v>
      </c>
      <c r="I490">
        <v>314.55</v>
      </c>
      <c r="J490" t="s">
        <v>15</v>
      </c>
    </row>
    <row r="491" spans="1:10" x14ac:dyDescent="0.35">
      <c r="A491" t="s">
        <v>513</v>
      </c>
      <c r="B491" t="s">
        <v>11</v>
      </c>
      <c r="C491">
        <v>42</v>
      </c>
      <c r="D491">
        <v>7</v>
      </c>
      <c r="E491" t="s">
        <v>12</v>
      </c>
      <c r="F491" t="s">
        <v>22</v>
      </c>
      <c r="G491" t="s">
        <v>14</v>
      </c>
      <c r="H491">
        <v>36.58</v>
      </c>
      <c r="I491">
        <v>239.82</v>
      </c>
      <c r="J491" t="s">
        <v>27</v>
      </c>
    </row>
    <row r="492" spans="1:10" x14ac:dyDescent="0.35">
      <c r="A492" t="s">
        <v>514</v>
      </c>
      <c r="B492" t="s">
        <v>17</v>
      </c>
      <c r="C492">
        <v>50</v>
      </c>
      <c r="D492">
        <v>39</v>
      </c>
      <c r="E492" t="s">
        <v>21</v>
      </c>
      <c r="F492" t="s">
        <v>29</v>
      </c>
      <c r="G492" t="s">
        <v>23</v>
      </c>
      <c r="H492">
        <v>73.180000000000007</v>
      </c>
      <c r="I492">
        <v>2701.28</v>
      </c>
      <c r="J492" t="s">
        <v>15</v>
      </c>
    </row>
    <row r="493" spans="1:10" x14ac:dyDescent="0.35">
      <c r="A493" t="s">
        <v>515</v>
      </c>
      <c r="B493" t="s">
        <v>11</v>
      </c>
      <c r="C493">
        <v>64</v>
      </c>
      <c r="D493">
        <v>13</v>
      </c>
      <c r="E493" t="s">
        <v>21</v>
      </c>
      <c r="F493" t="s">
        <v>29</v>
      </c>
      <c r="G493" t="s">
        <v>23</v>
      </c>
      <c r="H493">
        <v>66.069999999999993</v>
      </c>
      <c r="I493">
        <v>882.21</v>
      </c>
      <c r="J493" t="s">
        <v>15</v>
      </c>
    </row>
    <row r="494" spans="1:10" x14ac:dyDescent="0.35">
      <c r="A494" t="s">
        <v>516</v>
      </c>
      <c r="B494" t="s">
        <v>11</v>
      </c>
      <c r="C494">
        <v>57</v>
      </c>
      <c r="D494">
        <v>31</v>
      </c>
      <c r="E494" t="s">
        <v>12</v>
      </c>
      <c r="F494" t="s">
        <v>13</v>
      </c>
      <c r="G494" t="s">
        <v>23</v>
      </c>
      <c r="H494">
        <v>59.37</v>
      </c>
      <c r="I494">
        <v>2021.92</v>
      </c>
      <c r="J494" t="s">
        <v>15</v>
      </c>
    </row>
    <row r="495" spans="1:10" x14ac:dyDescent="0.35">
      <c r="A495" t="s">
        <v>517</v>
      </c>
      <c r="B495" t="s">
        <v>17</v>
      </c>
      <c r="C495">
        <v>60</v>
      </c>
      <c r="D495">
        <v>71</v>
      </c>
      <c r="E495" t="s">
        <v>12</v>
      </c>
      <c r="F495" t="s">
        <v>13</v>
      </c>
      <c r="G495" t="s">
        <v>23</v>
      </c>
      <c r="H495">
        <v>115.01</v>
      </c>
      <c r="I495">
        <v>8619.26</v>
      </c>
      <c r="J495" t="s">
        <v>15</v>
      </c>
    </row>
    <row r="496" spans="1:10" x14ac:dyDescent="0.35">
      <c r="A496" t="s">
        <v>518</v>
      </c>
      <c r="B496" t="s">
        <v>11</v>
      </c>
      <c r="C496">
        <v>29</v>
      </c>
      <c r="D496">
        <v>63</v>
      </c>
      <c r="E496" t="s">
        <v>12</v>
      </c>
      <c r="F496" t="s">
        <v>22</v>
      </c>
      <c r="G496" t="s">
        <v>19</v>
      </c>
      <c r="H496">
        <v>111.09</v>
      </c>
      <c r="I496">
        <v>6614.92</v>
      </c>
      <c r="J496" t="s">
        <v>15</v>
      </c>
    </row>
    <row r="497" spans="1:10" x14ac:dyDescent="0.35">
      <c r="A497" t="s">
        <v>519</v>
      </c>
      <c r="B497" t="s">
        <v>11</v>
      </c>
      <c r="C497">
        <v>61</v>
      </c>
      <c r="D497">
        <v>56</v>
      </c>
      <c r="E497" t="s">
        <v>21</v>
      </c>
      <c r="F497" t="s">
        <v>33</v>
      </c>
      <c r="G497" t="s">
        <v>23</v>
      </c>
      <c r="H497">
        <v>96.57</v>
      </c>
      <c r="I497">
        <v>5057.51</v>
      </c>
      <c r="J497" t="s">
        <v>15</v>
      </c>
    </row>
    <row r="498" spans="1:10" x14ac:dyDescent="0.35">
      <c r="A498" t="s">
        <v>520</v>
      </c>
      <c r="B498" t="s">
        <v>11</v>
      </c>
      <c r="C498">
        <v>53</v>
      </c>
      <c r="D498">
        <v>42</v>
      </c>
      <c r="E498" t="s">
        <v>12</v>
      </c>
      <c r="F498" t="s">
        <v>22</v>
      </c>
      <c r="G498" t="s">
        <v>23</v>
      </c>
      <c r="H498">
        <v>142.03</v>
      </c>
      <c r="I498">
        <v>6402.19</v>
      </c>
      <c r="J498" t="s">
        <v>15</v>
      </c>
    </row>
    <row r="499" spans="1:10" x14ac:dyDescent="0.35">
      <c r="A499" t="s">
        <v>521</v>
      </c>
      <c r="B499" t="s">
        <v>17</v>
      </c>
      <c r="C499">
        <v>65</v>
      </c>
      <c r="D499">
        <v>61</v>
      </c>
      <c r="E499" t="s">
        <v>12</v>
      </c>
      <c r="F499" t="s">
        <v>33</v>
      </c>
      <c r="G499" t="s">
        <v>23</v>
      </c>
      <c r="H499">
        <v>65.48</v>
      </c>
      <c r="I499">
        <v>3949.69</v>
      </c>
      <c r="J499" t="s">
        <v>15</v>
      </c>
    </row>
    <row r="500" spans="1:10" x14ac:dyDescent="0.35">
      <c r="A500" t="s">
        <v>522</v>
      </c>
      <c r="B500" t="s">
        <v>11</v>
      </c>
      <c r="C500">
        <v>21</v>
      </c>
      <c r="D500">
        <v>42</v>
      </c>
      <c r="E500" t="s">
        <v>21</v>
      </c>
      <c r="F500" t="s">
        <v>33</v>
      </c>
      <c r="G500" t="s">
        <v>19</v>
      </c>
      <c r="H500">
        <v>51.69</v>
      </c>
      <c r="I500">
        <v>2013.39</v>
      </c>
      <c r="J500" t="s">
        <v>15</v>
      </c>
    </row>
    <row r="501" spans="1:10" x14ac:dyDescent="0.35">
      <c r="A501" t="s">
        <v>523</v>
      </c>
      <c r="B501" t="s">
        <v>17</v>
      </c>
      <c r="C501">
        <v>22</v>
      </c>
      <c r="D501">
        <v>56</v>
      </c>
      <c r="E501" t="s">
        <v>12</v>
      </c>
      <c r="F501" t="s">
        <v>13</v>
      </c>
      <c r="G501" t="s">
        <v>19</v>
      </c>
      <c r="H501">
        <v>105.27</v>
      </c>
      <c r="I501">
        <v>6322.18</v>
      </c>
      <c r="J501" t="s">
        <v>15</v>
      </c>
    </row>
    <row r="502" spans="1:10" x14ac:dyDescent="0.35">
      <c r="A502" t="s">
        <v>524</v>
      </c>
      <c r="B502" t="s">
        <v>11</v>
      </c>
      <c r="C502">
        <v>54</v>
      </c>
      <c r="D502">
        <v>36</v>
      </c>
      <c r="E502" t="s">
        <v>12</v>
      </c>
      <c r="F502" t="s">
        <v>33</v>
      </c>
      <c r="G502" t="s">
        <v>23</v>
      </c>
      <c r="H502">
        <v>45.85</v>
      </c>
      <c r="I502">
        <v>1754.95</v>
      </c>
      <c r="J502" t="s">
        <v>15</v>
      </c>
    </row>
    <row r="503" spans="1:10" x14ac:dyDescent="0.35">
      <c r="A503" t="s">
        <v>525</v>
      </c>
      <c r="B503" t="s">
        <v>11</v>
      </c>
      <c r="C503">
        <v>25</v>
      </c>
      <c r="D503">
        <v>68</v>
      </c>
      <c r="E503" t="s">
        <v>18</v>
      </c>
      <c r="F503" t="s">
        <v>22</v>
      </c>
      <c r="G503" t="s">
        <v>19</v>
      </c>
      <c r="H503">
        <v>60.95</v>
      </c>
      <c r="I503">
        <v>4545.72</v>
      </c>
      <c r="J503" t="s">
        <v>15</v>
      </c>
    </row>
    <row r="504" spans="1:10" x14ac:dyDescent="0.35">
      <c r="A504" t="s">
        <v>526</v>
      </c>
      <c r="B504" t="s">
        <v>11</v>
      </c>
      <c r="C504">
        <v>59</v>
      </c>
      <c r="D504">
        <v>7</v>
      </c>
      <c r="E504" t="s">
        <v>18</v>
      </c>
      <c r="F504" t="s">
        <v>29</v>
      </c>
      <c r="G504" t="s">
        <v>23</v>
      </c>
      <c r="H504">
        <v>49.2</v>
      </c>
      <c r="I504">
        <v>372.62</v>
      </c>
      <c r="J504" t="s">
        <v>15</v>
      </c>
    </row>
    <row r="505" spans="1:10" x14ac:dyDescent="0.35">
      <c r="A505" t="s">
        <v>527</v>
      </c>
      <c r="B505" t="s">
        <v>17</v>
      </c>
      <c r="C505">
        <v>66</v>
      </c>
      <c r="D505">
        <v>54</v>
      </c>
      <c r="E505" t="s">
        <v>12</v>
      </c>
      <c r="F505" t="s">
        <v>22</v>
      </c>
      <c r="G505" t="s">
        <v>23</v>
      </c>
      <c r="H505">
        <v>28.99</v>
      </c>
      <c r="I505">
        <v>1675.6</v>
      </c>
      <c r="J505" t="s">
        <v>27</v>
      </c>
    </row>
    <row r="506" spans="1:10" x14ac:dyDescent="0.35">
      <c r="A506" t="s">
        <v>528</v>
      </c>
      <c r="B506" t="s">
        <v>11</v>
      </c>
      <c r="C506">
        <v>45</v>
      </c>
      <c r="D506">
        <v>1</v>
      </c>
      <c r="E506" t="s">
        <v>12</v>
      </c>
      <c r="F506" t="s">
        <v>29</v>
      </c>
      <c r="G506" t="s">
        <v>14</v>
      </c>
      <c r="H506">
        <v>127.57</v>
      </c>
      <c r="I506">
        <v>116.15</v>
      </c>
      <c r="J506" t="s">
        <v>27</v>
      </c>
    </row>
    <row r="507" spans="1:10" x14ac:dyDescent="0.35">
      <c r="A507" t="s">
        <v>529</v>
      </c>
      <c r="B507" t="s">
        <v>11</v>
      </c>
      <c r="C507">
        <v>48</v>
      </c>
      <c r="D507">
        <v>44</v>
      </c>
      <c r="E507" t="s">
        <v>21</v>
      </c>
      <c r="F507" t="s">
        <v>13</v>
      </c>
      <c r="G507" t="s">
        <v>14</v>
      </c>
      <c r="H507">
        <v>53.09</v>
      </c>
      <c r="I507">
        <v>2151.15</v>
      </c>
      <c r="J507" t="s">
        <v>15</v>
      </c>
    </row>
    <row r="508" spans="1:10" x14ac:dyDescent="0.35">
      <c r="A508" t="s">
        <v>530</v>
      </c>
      <c r="B508" t="s">
        <v>17</v>
      </c>
      <c r="C508">
        <v>26</v>
      </c>
      <c r="D508">
        <v>45</v>
      </c>
      <c r="E508" t="s">
        <v>12</v>
      </c>
      <c r="F508" t="s">
        <v>22</v>
      </c>
      <c r="G508" t="s">
        <v>19</v>
      </c>
      <c r="H508">
        <v>81.489999999999995</v>
      </c>
      <c r="I508">
        <v>3717.64</v>
      </c>
      <c r="J508" t="s">
        <v>15</v>
      </c>
    </row>
    <row r="509" spans="1:10" x14ac:dyDescent="0.35">
      <c r="A509" t="s">
        <v>531</v>
      </c>
      <c r="B509" t="s">
        <v>11</v>
      </c>
      <c r="C509">
        <v>68</v>
      </c>
      <c r="D509">
        <v>47</v>
      </c>
      <c r="E509" t="s">
        <v>12</v>
      </c>
      <c r="F509" t="s">
        <v>29</v>
      </c>
      <c r="G509" t="s">
        <v>23</v>
      </c>
      <c r="H509">
        <v>25.63</v>
      </c>
      <c r="I509">
        <v>1212.19</v>
      </c>
      <c r="J509" t="s">
        <v>27</v>
      </c>
    </row>
    <row r="510" spans="1:10" x14ac:dyDescent="0.35">
      <c r="A510" t="s">
        <v>532</v>
      </c>
      <c r="B510" t="s">
        <v>17</v>
      </c>
      <c r="C510">
        <v>46</v>
      </c>
      <c r="D510">
        <v>13</v>
      </c>
      <c r="E510" t="s">
        <v>12</v>
      </c>
      <c r="F510" t="s">
        <v>29</v>
      </c>
      <c r="G510" t="s">
        <v>14</v>
      </c>
      <c r="H510">
        <v>110.91</v>
      </c>
      <c r="I510">
        <v>1429.71</v>
      </c>
      <c r="J510" t="s">
        <v>27</v>
      </c>
    </row>
    <row r="511" spans="1:10" x14ac:dyDescent="0.35">
      <c r="A511" t="s">
        <v>533</v>
      </c>
      <c r="B511" t="s">
        <v>17</v>
      </c>
      <c r="C511">
        <v>31</v>
      </c>
      <c r="D511">
        <v>22</v>
      </c>
      <c r="E511" t="s">
        <v>12</v>
      </c>
      <c r="F511" t="s">
        <v>33</v>
      </c>
      <c r="G511" t="s">
        <v>14</v>
      </c>
      <c r="H511">
        <v>62.97</v>
      </c>
      <c r="I511">
        <v>1356.74</v>
      </c>
      <c r="J511" t="s">
        <v>27</v>
      </c>
    </row>
    <row r="512" spans="1:10" x14ac:dyDescent="0.35">
      <c r="A512" t="s">
        <v>534</v>
      </c>
      <c r="B512" t="s">
        <v>11</v>
      </c>
      <c r="C512">
        <v>57</v>
      </c>
      <c r="D512">
        <v>21</v>
      </c>
      <c r="E512" t="s">
        <v>21</v>
      </c>
      <c r="F512" t="s">
        <v>22</v>
      </c>
      <c r="G512" t="s">
        <v>23</v>
      </c>
      <c r="H512">
        <v>116.82</v>
      </c>
      <c r="I512">
        <v>2419.4699999999998</v>
      </c>
      <c r="J512" t="s">
        <v>15</v>
      </c>
    </row>
    <row r="513" spans="1:10" x14ac:dyDescent="0.35">
      <c r="A513" t="s">
        <v>535</v>
      </c>
      <c r="B513" t="s">
        <v>17</v>
      </c>
      <c r="C513">
        <v>58</v>
      </c>
      <c r="D513">
        <v>9</v>
      </c>
      <c r="E513" t="s">
        <v>12</v>
      </c>
      <c r="F513" t="s">
        <v>29</v>
      </c>
      <c r="G513" t="s">
        <v>23</v>
      </c>
      <c r="H513">
        <v>73.61</v>
      </c>
      <c r="I513">
        <v>671.67</v>
      </c>
      <c r="J513" t="s">
        <v>27</v>
      </c>
    </row>
    <row r="514" spans="1:10" x14ac:dyDescent="0.35">
      <c r="A514" t="s">
        <v>536</v>
      </c>
      <c r="B514" t="s">
        <v>11</v>
      </c>
      <c r="C514">
        <v>39</v>
      </c>
      <c r="D514">
        <v>26</v>
      </c>
      <c r="E514" t="s">
        <v>21</v>
      </c>
      <c r="F514" t="s">
        <v>22</v>
      </c>
      <c r="G514" t="s">
        <v>14</v>
      </c>
      <c r="H514">
        <v>45.45</v>
      </c>
      <c r="I514">
        <v>1064.02</v>
      </c>
      <c r="J514" t="s">
        <v>15</v>
      </c>
    </row>
    <row r="515" spans="1:10" x14ac:dyDescent="0.35">
      <c r="A515" t="s">
        <v>537</v>
      </c>
      <c r="B515" t="s">
        <v>17</v>
      </c>
      <c r="C515">
        <v>28</v>
      </c>
      <c r="D515">
        <v>9</v>
      </c>
      <c r="E515" t="s">
        <v>18</v>
      </c>
      <c r="F515" t="s">
        <v>13</v>
      </c>
      <c r="G515" t="s">
        <v>19</v>
      </c>
      <c r="H515">
        <v>86.71</v>
      </c>
      <c r="I515">
        <v>743.04</v>
      </c>
      <c r="J515" t="s">
        <v>15</v>
      </c>
    </row>
    <row r="516" spans="1:10" x14ac:dyDescent="0.35">
      <c r="A516" t="s">
        <v>538</v>
      </c>
      <c r="B516" t="s">
        <v>17</v>
      </c>
      <c r="C516">
        <v>40</v>
      </c>
      <c r="D516">
        <v>15</v>
      </c>
      <c r="E516" t="s">
        <v>12</v>
      </c>
      <c r="F516" t="s">
        <v>13</v>
      </c>
      <c r="G516" t="s">
        <v>14</v>
      </c>
      <c r="H516">
        <v>36.97</v>
      </c>
      <c r="I516">
        <v>556.58000000000004</v>
      </c>
      <c r="J516" t="s">
        <v>15</v>
      </c>
    </row>
    <row r="517" spans="1:10" x14ac:dyDescent="0.35">
      <c r="A517" t="s">
        <v>539</v>
      </c>
      <c r="B517" t="s">
        <v>11</v>
      </c>
      <c r="C517">
        <v>18</v>
      </c>
      <c r="D517">
        <v>10</v>
      </c>
      <c r="E517" t="s">
        <v>21</v>
      </c>
      <c r="F517" t="s">
        <v>33</v>
      </c>
      <c r="G517" t="s">
        <v>19</v>
      </c>
      <c r="H517">
        <v>77.27</v>
      </c>
      <c r="I517">
        <v>807.04</v>
      </c>
      <c r="J517" t="s">
        <v>15</v>
      </c>
    </row>
    <row r="518" spans="1:10" x14ac:dyDescent="0.35">
      <c r="A518" t="s">
        <v>540</v>
      </c>
      <c r="B518" t="s">
        <v>17</v>
      </c>
      <c r="C518">
        <v>63</v>
      </c>
      <c r="D518">
        <v>42</v>
      </c>
      <c r="E518" t="s">
        <v>18</v>
      </c>
      <c r="F518" t="s">
        <v>22</v>
      </c>
      <c r="G518" t="s">
        <v>23</v>
      </c>
      <c r="H518">
        <v>61.25</v>
      </c>
      <c r="I518">
        <v>2404.85</v>
      </c>
      <c r="J518" t="s">
        <v>15</v>
      </c>
    </row>
    <row r="519" spans="1:10" x14ac:dyDescent="0.35">
      <c r="A519" t="s">
        <v>541</v>
      </c>
      <c r="B519" t="s">
        <v>17</v>
      </c>
      <c r="C519">
        <v>54</v>
      </c>
      <c r="D519">
        <v>72</v>
      </c>
      <c r="E519" t="s">
        <v>12</v>
      </c>
      <c r="F519" t="s">
        <v>13</v>
      </c>
      <c r="G519" t="s">
        <v>23</v>
      </c>
      <c r="H519">
        <v>138.55000000000001</v>
      </c>
      <c r="I519">
        <v>10069.129999999999</v>
      </c>
      <c r="J519" t="s">
        <v>15</v>
      </c>
    </row>
    <row r="520" spans="1:10" x14ac:dyDescent="0.35">
      <c r="A520" t="s">
        <v>542</v>
      </c>
      <c r="B520" t="s">
        <v>17</v>
      </c>
      <c r="C520">
        <v>38</v>
      </c>
      <c r="D520">
        <v>24</v>
      </c>
      <c r="E520" t="s">
        <v>12</v>
      </c>
      <c r="F520" t="s">
        <v>33</v>
      </c>
      <c r="G520" t="s">
        <v>14</v>
      </c>
      <c r="H520">
        <v>27.92</v>
      </c>
      <c r="I520">
        <v>698.82</v>
      </c>
      <c r="J520" t="s">
        <v>15</v>
      </c>
    </row>
    <row r="521" spans="1:10" x14ac:dyDescent="0.35">
      <c r="A521" t="s">
        <v>543</v>
      </c>
      <c r="B521" t="s">
        <v>17</v>
      </c>
      <c r="C521">
        <v>43</v>
      </c>
      <c r="D521">
        <v>49</v>
      </c>
      <c r="E521" t="s">
        <v>21</v>
      </c>
      <c r="F521" t="s">
        <v>33</v>
      </c>
      <c r="G521" t="s">
        <v>14</v>
      </c>
      <c r="H521">
        <v>110.22</v>
      </c>
      <c r="I521">
        <v>5340.97</v>
      </c>
      <c r="J521" t="s">
        <v>15</v>
      </c>
    </row>
    <row r="522" spans="1:10" x14ac:dyDescent="0.35">
      <c r="A522" t="s">
        <v>544</v>
      </c>
      <c r="B522" t="s">
        <v>17</v>
      </c>
      <c r="C522">
        <v>63</v>
      </c>
      <c r="D522">
        <v>26</v>
      </c>
      <c r="E522" t="s">
        <v>21</v>
      </c>
      <c r="F522" t="s">
        <v>29</v>
      </c>
      <c r="G522" t="s">
        <v>23</v>
      </c>
      <c r="H522">
        <v>43.76</v>
      </c>
      <c r="I522">
        <v>1030.1500000000001</v>
      </c>
      <c r="J522" t="s">
        <v>15</v>
      </c>
    </row>
    <row r="523" spans="1:10" x14ac:dyDescent="0.35">
      <c r="A523" t="s">
        <v>545</v>
      </c>
      <c r="B523" t="s">
        <v>11</v>
      </c>
      <c r="C523">
        <v>53</v>
      </c>
      <c r="D523">
        <v>37</v>
      </c>
      <c r="E523" t="s">
        <v>18</v>
      </c>
      <c r="F523" t="s">
        <v>29</v>
      </c>
      <c r="G523" t="s">
        <v>23</v>
      </c>
      <c r="H523">
        <v>61.48</v>
      </c>
      <c r="I523">
        <v>2251.6799999999998</v>
      </c>
      <c r="J523" t="s">
        <v>15</v>
      </c>
    </row>
    <row r="524" spans="1:10" x14ac:dyDescent="0.35">
      <c r="A524" t="s">
        <v>546</v>
      </c>
      <c r="B524" t="s">
        <v>17</v>
      </c>
      <c r="C524">
        <v>40</v>
      </c>
      <c r="D524">
        <v>68</v>
      </c>
      <c r="E524" t="s">
        <v>12</v>
      </c>
      <c r="F524" t="s">
        <v>29</v>
      </c>
      <c r="G524" t="s">
        <v>14</v>
      </c>
      <c r="H524">
        <v>74.02</v>
      </c>
      <c r="I524">
        <v>4828.45</v>
      </c>
      <c r="J524" t="s">
        <v>27</v>
      </c>
    </row>
    <row r="525" spans="1:10" x14ac:dyDescent="0.35">
      <c r="A525" t="s">
        <v>547</v>
      </c>
      <c r="B525" t="s">
        <v>11</v>
      </c>
      <c r="C525">
        <v>18</v>
      </c>
      <c r="D525">
        <v>50</v>
      </c>
      <c r="E525" t="s">
        <v>18</v>
      </c>
      <c r="F525" t="s">
        <v>22</v>
      </c>
      <c r="G525" t="s">
        <v>19</v>
      </c>
      <c r="H525">
        <v>138.04</v>
      </c>
      <c r="I525">
        <v>7495.09</v>
      </c>
      <c r="J525" t="s">
        <v>15</v>
      </c>
    </row>
    <row r="526" spans="1:10" x14ac:dyDescent="0.35">
      <c r="A526" t="s">
        <v>548</v>
      </c>
      <c r="B526" t="s">
        <v>17</v>
      </c>
      <c r="C526">
        <v>68</v>
      </c>
      <c r="D526">
        <v>24</v>
      </c>
      <c r="E526" t="s">
        <v>12</v>
      </c>
      <c r="F526" t="s">
        <v>22</v>
      </c>
      <c r="G526" t="s">
        <v>23</v>
      </c>
      <c r="H526">
        <v>51.54</v>
      </c>
      <c r="I526">
        <v>1144.0899999999999</v>
      </c>
      <c r="J526" t="s">
        <v>15</v>
      </c>
    </row>
    <row r="527" spans="1:10" x14ac:dyDescent="0.35">
      <c r="A527" t="s">
        <v>549</v>
      </c>
      <c r="B527" t="s">
        <v>11</v>
      </c>
      <c r="C527">
        <v>57</v>
      </c>
      <c r="D527">
        <v>19</v>
      </c>
      <c r="E527" t="s">
        <v>12</v>
      </c>
      <c r="F527" t="s">
        <v>22</v>
      </c>
      <c r="G527" t="s">
        <v>23</v>
      </c>
      <c r="H527">
        <v>31.87</v>
      </c>
      <c r="I527">
        <v>624</v>
      </c>
      <c r="J527" t="s">
        <v>15</v>
      </c>
    </row>
    <row r="528" spans="1:10" x14ac:dyDescent="0.35">
      <c r="A528" t="s">
        <v>550</v>
      </c>
      <c r="B528" t="s">
        <v>11</v>
      </c>
      <c r="C528">
        <v>32</v>
      </c>
      <c r="D528">
        <v>60</v>
      </c>
      <c r="E528" t="s">
        <v>21</v>
      </c>
      <c r="F528" t="s">
        <v>33</v>
      </c>
      <c r="G528" t="s">
        <v>14</v>
      </c>
      <c r="H528">
        <v>61.43</v>
      </c>
      <c r="I528">
        <v>3356.08</v>
      </c>
      <c r="J528" t="s">
        <v>15</v>
      </c>
    </row>
    <row r="529" spans="1:10" x14ac:dyDescent="0.35">
      <c r="A529" t="s">
        <v>551</v>
      </c>
      <c r="B529" t="s">
        <v>17</v>
      </c>
      <c r="C529">
        <v>38</v>
      </c>
      <c r="D529">
        <v>39</v>
      </c>
      <c r="E529" t="s">
        <v>12</v>
      </c>
      <c r="F529" t="s">
        <v>22</v>
      </c>
      <c r="G529" t="s">
        <v>14</v>
      </c>
      <c r="H529">
        <v>33.61</v>
      </c>
      <c r="I529">
        <v>1296.68</v>
      </c>
      <c r="J529" t="s">
        <v>15</v>
      </c>
    </row>
    <row r="530" spans="1:10" x14ac:dyDescent="0.35">
      <c r="A530" t="s">
        <v>552</v>
      </c>
      <c r="B530" t="s">
        <v>17</v>
      </c>
      <c r="C530">
        <v>64</v>
      </c>
      <c r="D530">
        <v>18</v>
      </c>
      <c r="E530" t="s">
        <v>12</v>
      </c>
      <c r="F530" t="s">
        <v>29</v>
      </c>
      <c r="G530" t="s">
        <v>23</v>
      </c>
      <c r="H530">
        <v>36.72</v>
      </c>
      <c r="I530">
        <v>668.1</v>
      </c>
      <c r="J530" t="s">
        <v>15</v>
      </c>
    </row>
    <row r="531" spans="1:10" x14ac:dyDescent="0.35">
      <c r="A531" t="s">
        <v>553</v>
      </c>
      <c r="B531" t="s">
        <v>17</v>
      </c>
      <c r="C531">
        <v>26</v>
      </c>
      <c r="D531">
        <v>19</v>
      </c>
      <c r="E531" t="s">
        <v>12</v>
      </c>
      <c r="F531" t="s">
        <v>29</v>
      </c>
      <c r="G531" t="s">
        <v>19</v>
      </c>
      <c r="H531">
        <v>94.6</v>
      </c>
      <c r="I531">
        <v>1724.77</v>
      </c>
      <c r="J531" t="s">
        <v>27</v>
      </c>
    </row>
    <row r="532" spans="1:10" x14ac:dyDescent="0.35">
      <c r="A532" t="s">
        <v>554</v>
      </c>
      <c r="B532" t="s">
        <v>11</v>
      </c>
      <c r="C532">
        <v>70</v>
      </c>
      <c r="D532">
        <v>36</v>
      </c>
      <c r="E532" t="s">
        <v>12</v>
      </c>
      <c r="F532" t="s">
        <v>13</v>
      </c>
      <c r="G532" t="s">
        <v>23</v>
      </c>
      <c r="H532">
        <v>27.92</v>
      </c>
      <c r="I532">
        <v>996.09</v>
      </c>
      <c r="J532" t="s">
        <v>15</v>
      </c>
    </row>
    <row r="533" spans="1:10" x14ac:dyDescent="0.35">
      <c r="A533" t="s">
        <v>555</v>
      </c>
      <c r="B533" t="s">
        <v>17</v>
      </c>
      <c r="C533">
        <v>26</v>
      </c>
      <c r="D533">
        <v>55</v>
      </c>
      <c r="E533" t="s">
        <v>12</v>
      </c>
      <c r="F533" t="s">
        <v>13</v>
      </c>
      <c r="G533" t="s">
        <v>19</v>
      </c>
      <c r="H533">
        <v>24.02</v>
      </c>
      <c r="I533">
        <v>1232.2</v>
      </c>
      <c r="J533" t="s">
        <v>27</v>
      </c>
    </row>
    <row r="534" spans="1:10" x14ac:dyDescent="0.35">
      <c r="A534" t="s">
        <v>556</v>
      </c>
      <c r="B534" t="s">
        <v>11</v>
      </c>
      <c r="C534">
        <v>27</v>
      </c>
      <c r="D534">
        <v>69</v>
      </c>
      <c r="E534" t="s">
        <v>18</v>
      </c>
      <c r="F534" t="s">
        <v>22</v>
      </c>
      <c r="G534" t="s">
        <v>19</v>
      </c>
      <c r="H534">
        <v>112.87</v>
      </c>
      <c r="I534">
        <v>7482.93</v>
      </c>
      <c r="J534" t="s">
        <v>27</v>
      </c>
    </row>
    <row r="535" spans="1:10" x14ac:dyDescent="0.35">
      <c r="A535" t="s">
        <v>557</v>
      </c>
      <c r="B535" t="s">
        <v>11</v>
      </c>
      <c r="C535">
        <v>69</v>
      </c>
      <c r="D535">
        <v>47</v>
      </c>
      <c r="E535" t="s">
        <v>12</v>
      </c>
      <c r="F535" t="s">
        <v>33</v>
      </c>
      <c r="G535" t="s">
        <v>23</v>
      </c>
      <c r="H535">
        <v>67.010000000000005</v>
      </c>
      <c r="I535">
        <v>3225.75</v>
      </c>
      <c r="J535" t="s">
        <v>15</v>
      </c>
    </row>
    <row r="536" spans="1:10" x14ac:dyDescent="0.35">
      <c r="A536" t="s">
        <v>558</v>
      </c>
      <c r="B536" t="s">
        <v>11</v>
      </c>
      <c r="C536">
        <v>70</v>
      </c>
      <c r="D536">
        <v>49</v>
      </c>
      <c r="E536" t="s">
        <v>21</v>
      </c>
      <c r="F536" t="s">
        <v>29</v>
      </c>
      <c r="G536" t="s">
        <v>23</v>
      </c>
      <c r="H536">
        <v>36.299999999999997</v>
      </c>
      <c r="I536">
        <v>1708.19</v>
      </c>
      <c r="J536" t="s">
        <v>15</v>
      </c>
    </row>
    <row r="537" spans="1:10" x14ac:dyDescent="0.35">
      <c r="A537" t="s">
        <v>559</v>
      </c>
      <c r="B537" t="s">
        <v>17</v>
      </c>
      <c r="C537">
        <v>43</v>
      </c>
      <c r="D537">
        <v>33</v>
      </c>
      <c r="E537" t="s">
        <v>21</v>
      </c>
      <c r="F537" t="s">
        <v>13</v>
      </c>
      <c r="G537" t="s">
        <v>14</v>
      </c>
      <c r="H537">
        <v>52.97</v>
      </c>
      <c r="I537">
        <v>1887.76</v>
      </c>
      <c r="J537" t="s">
        <v>15</v>
      </c>
    </row>
    <row r="538" spans="1:10" x14ac:dyDescent="0.35">
      <c r="A538" t="s">
        <v>560</v>
      </c>
      <c r="B538" t="s">
        <v>17</v>
      </c>
      <c r="C538">
        <v>58</v>
      </c>
      <c r="D538">
        <v>21</v>
      </c>
      <c r="E538" t="s">
        <v>18</v>
      </c>
      <c r="F538" t="s">
        <v>22</v>
      </c>
      <c r="G538" t="s">
        <v>23</v>
      </c>
      <c r="H538">
        <v>103.47</v>
      </c>
      <c r="I538">
        <v>2228.67</v>
      </c>
      <c r="J538" t="s">
        <v>15</v>
      </c>
    </row>
    <row r="539" spans="1:10" x14ac:dyDescent="0.35">
      <c r="A539" t="s">
        <v>561</v>
      </c>
      <c r="B539" t="s">
        <v>11</v>
      </c>
      <c r="C539">
        <v>52</v>
      </c>
      <c r="D539">
        <v>22</v>
      </c>
      <c r="E539" t="s">
        <v>12</v>
      </c>
      <c r="F539" t="s">
        <v>13</v>
      </c>
      <c r="G539" t="s">
        <v>23</v>
      </c>
      <c r="H539">
        <v>55.82</v>
      </c>
      <c r="I539">
        <v>1212.97</v>
      </c>
      <c r="J539" t="s">
        <v>15</v>
      </c>
    </row>
    <row r="540" spans="1:10" x14ac:dyDescent="0.35">
      <c r="A540" t="s">
        <v>562</v>
      </c>
      <c r="B540" t="s">
        <v>11</v>
      </c>
      <c r="C540">
        <v>69</v>
      </c>
      <c r="D540">
        <v>48</v>
      </c>
      <c r="E540" t="s">
        <v>18</v>
      </c>
      <c r="F540" t="s">
        <v>29</v>
      </c>
      <c r="G540" t="s">
        <v>23</v>
      </c>
      <c r="H540">
        <v>84.29</v>
      </c>
      <c r="I540">
        <v>3672.69</v>
      </c>
      <c r="J540" t="s">
        <v>15</v>
      </c>
    </row>
    <row r="541" spans="1:10" x14ac:dyDescent="0.35">
      <c r="A541" t="s">
        <v>563</v>
      </c>
      <c r="B541" t="s">
        <v>17</v>
      </c>
      <c r="C541">
        <v>42</v>
      </c>
      <c r="D541">
        <v>37</v>
      </c>
      <c r="E541" t="s">
        <v>12</v>
      </c>
      <c r="F541" t="s">
        <v>13</v>
      </c>
      <c r="G541" t="s">
        <v>14</v>
      </c>
      <c r="H541">
        <v>35.82</v>
      </c>
      <c r="I541">
        <v>1325.22</v>
      </c>
      <c r="J541" t="s">
        <v>15</v>
      </c>
    </row>
    <row r="542" spans="1:10" x14ac:dyDescent="0.35">
      <c r="A542" t="s">
        <v>564</v>
      </c>
      <c r="B542" t="s">
        <v>11</v>
      </c>
      <c r="C542">
        <v>43</v>
      </c>
      <c r="D542">
        <v>15</v>
      </c>
      <c r="E542" t="s">
        <v>21</v>
      </c>
      <c r="F542" t="s">
        <v>29</v>
      </c>
      <c r="G542" t="s">
        <v>14</v>
      </c>
      <c r="H542">
        <v>96.45</v>
      </c>
      <c r="I542">
        <v>1523.36</v>
      </c>
      <c r="J542" t="s">
        <v>15</v>
      </c>
    </row>
    <row r="543" spans="1:10" x14ac:dyDescent="0.35">
      <c r="A543" t="s">
        <v>565</v>
      </c>
      <c r="B543" t="s">
        <v>17</v>
      </c>
      <c r="C543">
        <v>28</v>
      </c>
      <c r="D543">
        <v>35</v>
      </c>
      <c r="E543" t="s">
        <v>21</v>
      </c>
      <c r="F543" t="s">
        <v>33</v>
      </c>
      <c r="G543" t="s">
        <v>19</v>
      </c>
      <c r="H543">
        <v>61.09</v>
      </c>
      <c r="I543">
        <v>2037.9</v>
      </c>
      <c r="J543" t="s">
        <v>15</v>
      </c>
    </row>
    <row r="544" spans="1:10" x14ac:dyDescent="0.35">
      <c r="A544" t="s">
        <v>566</v>
      </c>
      <c r="B544" t="s">
        <v>11</v>
      </c>
      <c r="C544">
        <v>55</v>
      </c>
      <c r="D544">
        <v>71</v>
      </c>
      <c r="E544" t="s">
        <v>18</v>
      </c>
      <c r="F544" t="s">
        <v>29</v>
      </c>
      <c r="G544" t="s">
        <v>23</v>
      </c>
      <c r="H544">
        <v>101.51</v>
      </c>
      <c r="I544">
        <v>7649.41</v>
      </c>
      <c r="J544" t="s">
        <v>15</v>
      </c>
    </row>
    <row r="545" spans="1:10" x14ac:dyDescent="0.35">
      <c r="A545" t="s">
        <v>567</v>
      </c>
      <c r="B545" t="s">
        <v>17</v>
      </c>
      <c r="C545">
        <v>19</v>
      </c>
      <c r="D545">
        <v>32</v>
      </c>
      <c r="E545" t="s">
        <v>12</v>
      </c>
      <c r="F545" t="s">
        <v>13</v>
      </c>
      <c r="G545" t="s">
        <v>19</v>
      </c>
      <c r="H545">
        <v>125.09</v>
      </c>
      <c r="I545">
        <v>3804.18</v>
      </c>
      <c r="J545" t="s">
        <v>15</v>
      </c>
    </row>
    <row r="546" spans="1:10" x14ac:dyDescent="0.35">
      <c r="A546" t="s">
        <v>568</v>
      </c>
      <c r="B546" t="s">
        <v>11</v>
      </c>
      <c r="C546">
        <v>24</v>
      </c>
      <c r="D546">
        <v>11</v>
      </c>
      <c r="E546" t="s">
        <v>21</v>
      </c>
      <c r="F546" t="s">
        <v>13</v>
      </c>
      <c r="G546" t="s">
        <v>19</v>
      </c>
      <c r="H546">
        <v>99.51</v>
      </c>
      <c r="I546">
        <v>1165.49</v>
      </c>
      <c r="J546" t="s">
        <v>15</v>
      </c>
    </row>
    <row r="547" spans="1:10" x14ac:dyDescent="0.35">
      <c r="A547" t="s">
        <v>569</v>
      </c>
      <c r="B547" t="s">
        <v>17</v>
      </c>
      <c r="C547">
        <v>35</v>
      </c>
      <c r="D547">
        <v>10</v>
      </c>
      <c r="E547" t="s">
        <v>12</v>
      </c>
      <c r="F547" t="s">
        <v>33</v>
      </c>
      <c r="G547" t="s">
        <v>14</v>
      </c>
      <c r="H547">
        <v>58.45</v>
      </c>
      <c r="I547">
        <v>536.02</v>
      </c>
      <c r="J547" t="s">
        <v>15</v>
      </c>
    </row>
    <row r="548" spans="1:10" x14ac:dyDescent="0.35">
      <c r="A548" t="s">
        <v>570</v>
      </c>
      <c r="B548" t="s">
        <v>11</v>
      </c>
      <c r="C548">
        <v>44</v>
      </c>
      <c r="D548">
        <v>57</v>
      </c>
      <c r="E548" t="s">
        <v>21</v>
      </c>
      <c r="F548" t="s">
        <v>29</v>
      </c>
      <c r="G548" t="s">
        <v>14</v>
      </c>
      <c r="H548">
        <v>53.25</v>
      </c>
      <c r="I548">
        <v>3257.54</v>
      </c>
      <c r="J548" t="s">
        <v>27</v>
      </c>
    </row>
    <row r="549" spans="1:10" x14ac:dyDescent="0.35">
      <c r="A549" t="s">
        <v>571</v>
      </c>
      <c r="B549" t="s">
        <v>17</v>
      </c>
      <c r="C549">
        <v>51</v>
      </c>
      <c r="D549">
        <v>25</v>
      </c>
      <c r="E549" t="s">
        <v>18</v>
      </c>
      <c r="F549" t="s">
        <v>29</v>
      </c>
      <c r="G549" t="s">
        <v>23</v>
      </c>
      <c r="H549">
        <v>62.56</v>
      </c>
      <c r="I549">
        <v>1563.75</v>
      </c>
      <c r="J549" t="s">
        <v>15</v>
      </c>
    </row>
    <row r="550" spans="1:10" x14ac:dyDescent="0.35">
      <c r="A550" t="s">
        <v>572</v>
      </c>
      <c r="B550" t="s">
        <v>17</v>
      </c>
      <c r="C550">
        <v>44</v>
      </c>
      <c r="D550">
        <v>2</v>
      </c>
      <c r="E550" t="s">
        <v>12</v>
      </c>
      <c r="F550" t="s">
        <v>29</v>
      </c>
      <c r="G550" t="s">
        <v>14</v>
      </c>
      <c r="H550">
        <v>41.4</v>
      </c>
      <c r="I550">
        <v>79.430000000000007</v>
      </c>
      <c r="J550" t="s">
        <v>15</v>
      </c>
    </row>
    <row r="551" spans="1:10" x14ac:dyDescent="0.35">
      <c r="A551" t="s">
        <v>573</v>
      </c>
      <c r="B551" t="s">
        <v>11</v>
      </c>
      <c r="C551">
        <v>34</v>
      </c>
      <c r="D551">
        <v>64</v>
      </c>
      <c r="E551" t="s">
        <v>18</v>
      </c>
      <c r="F551" t="s">
        <v>29</v>
      </c>
      <c r="G551" t="s">
        <v>14</v>
      </c>
      <c r="H551">
        <v>43.55</v>
      </c>
      <c r="I551">
        <v>2656.26</v>
      </c>
      <c r="J551" t="s">
        <v>15</v>
      </c>
    </row>
    <row r="552" spans="1:10" x14ac:dyDescent="0.35">
      <c r="A552" t="s">
        <v>574</v>
      </c>
      <c r="B552" t="s">
        <v>11</v>
      </c>
      <c r="C552">
        <v>60</v>
      </c>
      <c r="D552">
        <v>35</v>
      </c>
      <c r="E552" t="s">
        <v>12</v>
      </c>
      <c r="F552" t="s">
        <v>29</v>
      </c>
      <c r="G552" t="s">
        <v>23</v>
      </c>
      <c r="H552">
        <v>122.79</v>
      </c>
      <c r="I552">
        <v>4239.21</v>
      </c>
      <c r="J552" t="s">
        <v>27</v>
      </c>
    </row>
    <row r="553" spans="1:10" x14ac:dyDescent="0.35">
      <c r="A553" t="s">
        <v>575</v>
      </c>
      <c r="B553" t="s">
        <v>17</v>
      </c>
      <c r="C553">
        <v>61</v>
      </c>
      <c r="D553">
        <v>7</v>
      </c>
      <c r="E553" t="s">
        <v>12</v>
      </c>
      <c r="F553" t="s">
        <v>22</v>
      </c>
      <c r="G553" t="s">
        <v>23</v>
      </c>
      <c r="H553">
        <v>70.02</v>
      </c>
      <c r="I553">
        <v>539.05999999999995</v>
      </c>
      <c r="J553" t="s">
        <v>27</v>
      </c>
    </row>
    <row r="554" spans="1:10" x14ac:dyDescent="0.35">
      <c r="A554" t="s">
        <v>576</v>
      </c>
      <c r="B554" t="s">
        <v>11</v>
      </c>
      <c r="C554">
        <v>68</v>
      </c>
      <c r="D554">
        <v>18</v>
      </c>
      <c r="E554" t="s">
        <v>12</v>
      </c>
      <c r="F554" t="s">
        <v>29</v>
      </c>
      <c r="G554" t="s">
        <v>23</v>
      </c>
      <c r="H554">
        <v>76.680000000000007</v>
      </c>
      <c r="I554">
        <v>1303.04</v>
      </c>
      <c r="J554" t="s">
        <v>27</v>
      </c>
    </row>
    <row r="555" spans="1:10" x14ac:dyDescent="0.35">
      <c r="A555" t="s">
        <v>577</v>
      </c>
      <c r="B555" t="s">
        <v>17</v>
      </c>
      <c r="C555">
        <v>41</v>
      </c>
      <c r="D555">
        <v>67</v>
      </c>
      <c r="E555" t="s">
        <v>12</v>
      </c>
      <c r="F555" t="s">
        <v>29</v>
      </c>
      <c r="G555" t="s">
        <v>14</v>
      </c>
      <c r="H555">
        <v>97.23</v>
      </c>
      <c r="I555">
        <v>5997.45</v>
      </c>
      <c r="J555" t="s">
        <v>15</v>
      </c>
    </row>
    <row r="556" spans="1:10" x14ac:dyDescent="0.35">
      <c r="A556" t="s">
        <v>578</v>
      </c>
      <c r="B556" t="s">
        <v>11</v>
      </c>
      <c r="C556">
        <v>42</v>
      </c>
      <c r="D556">
        <v>42</v>
      </c>
      <c r="E556" t="s">
        <v>21</v>
      </c>
      <c r="F556" t="s">
        <v>33</v>
      </c>
      <c r="G556" t="s">
        <v>14</v>
      </c>
      <c r="H556">
        <v>96.65</v>
      </c>
      <c r="I556">
        <v>4128.34</v>
      </c>
      <c r="J556" t="s">
        <v>15</v>
      </c>
    </row>
    <row r="557" spans="1:10" x14ac:dyDescent="0.35">
      <c r="A557" t="s">
        <v>579</v>
      </c>
      <c r="B557" t="s">
        <v>17</v>
      </c>
      <c r="C557">
        <v>24</v>
      </c>
      <c r="D557">
        <v>39</v>
      </c>
      <c r="E557" t="s">
        <v>12</v>
      </c>
      <c r="F557" t="s">
        <v>13</v>
      </c>
      <c r="G557" t="s">
        <v>19</v>
      </c>
      <c r="H557">
        <v>28.76</v>
      </c>
      <c r="I557">
        <v>1119.07</v>
      </c>
      <c r="J557" t="s">
        <v>15</v>
      </c>
    </row>
    <row r="558" spans="1:10" x14ac:dyDescent="0.35">
      <c r="A558" t="s">
        <v>580</v>
      </c>
      <c r="B558" t="s">
        <v>17</v>
      </c>
      <c r="C558">
        <v>69</v>
      </c>
      <c r="D558">
        <v>41</v>
      </c>
      <c r="E558" t="s">
        <v>12</v>
      </c>
      <c r="F558" t="s">
        <v>13</v>
      </c>
      <c r="G558" t="s">
        <v>23</v>
      </c>
      <c r="H558">
        <v>128.1</v>
      </c>
      <c r="I558">
        <v>5277.52</v>
      </c>
      <c r="J558" t="s">
        <v>27</v>
      </c>
    </row>
    <row r="559" spans="1:10" x14ac:dyDescent="0.35">
      <c r="A559" t="s">
        <v>581</v>
      </c>
      <c r="B559" t="s">
        <v>17</v>
      </c>
      <c r="C559">
        <v>23</v>
      </c>
      <c r="D559">
        <v>24</v>
      </c>
      <c r="E559" t="s">
        <v>18</v>
      </c>
      <c r="F559" t="s">
        <v>29</v>
      </c>
      <c r="G559" t="s">
        <v>19</v>
      </c>
      <c r="H559">
        <v>43.05</v>
      </c>
      <c r="I559">
        <v>1067.7</v>
      </c>
      <c r="J559" t="s">
        <v>15</v>
      </c>
    </row>
    <row r="560" spans="1:10" x14ac:dyDescent="0.35">
      <c r="A560" t="s">
        <v>582</v>
      </c>
      <c r="B560" t="s">
        <v>17</v>
      </c>
      <c r="C560">
        <v>70</v>
      </c>
      <c r="D560">
        <v>60</v>
      </c>
      <c r="E560" t="s">
        <v>18</v>
      </c>
      <c r="F560" t="s">
        <v>33</v>
      </c>
      <c r="G560" t="s">
        <v>23</v>
      </c>
      <c r="H560">
        <v>114</v>
      </c>
      <c r="I560">
        <v>6521.45</v>
      </c>
      <c r="J560" t="s">
        <v>15</v>
      </c>
    </row>
    <row r="561" spans="1:10" x14ac:dyDescent="0.35">
      <c r="A561" t="s">
        <v>583</v>
      </c>
      <c r="B561" t="s">
        <v>17</v>
      </c>
      <c r="C561">
        <v>41</v>
      </c>
      <c r="D561">
        <v>46</v>
      </c>
      <c r="E561" t="s">
        <v>18</v>
      </c>
      <c r="F561" t="s">
        <v>29</v>
      </c>
      <c r="G561" t="s">
        <v>14</v>
      </c>
      <c r="H561">
        <v>120.45</v>
      </c>
      <c r="I561">
        <v>5995.77</v>
      </c>
      <c r="J561" t="s">
        <v>15</v>
      </c>
    </row>
    <row r="562" spans="1:10" x14ac:dyDescent="0.35">
      <c r="A562" t="s">
        <v>584</v>
      </c>
      <c r="B562" t="s">
        <v>17</v>
      </c>
      <c r="C562">
        <v>50</v>
      </c>
      <c r="D562">
        <v>19</v>
      </c>
      <c r="E562" t="s">
        <v>18</v>
      </c>
      <c r="F562" t="s">
        <v>33</v>
      </c>
      <c r="G562" t="s">
        <v>23</v>
      </c>
      <c r="H562">
        <v>112.94</v>
      </c>
      <c r="I562">
        <v>2118.25</v>
      </c>
      <c r="J562" t="s">
        <v>15</v>
      </c>
    </row>
    <row r="563" spans="1:10" x14ac:dyDescent="0.35">
      <c r="A563" t="s">
        <v>585</v>
      </c>
      <c r="B563" t="s">
        <v>11</v>
      </c>
      <c r="C563">
        <v>66</v>
      </c>
      <c r="D563">
        <v>68</v>
      </c>
      <c r="E563" t="s">
        <v>21</v>
      </c>
      <c r="F563" t="s">
        <v>22</v>
      </c>
      <c r="G563" t="s">
        <v>23</v>
      </c>
      <c r="H563">
        <v>95.27</v>
      </c>
      <c r="I563">
        <v>5997.78</v>
      </c>
      <c r="J563" t="s">
        <v>15</v>
      </c>
    </row>
    <row r="564" spans="1:10" x14ac:dyDescent="0.35">
      <c r="A564" t="s">
        <v>586</v>
      </c>
      <c r="B564" t="s">
        <v>11</v>
      </c>
      <c r="C564">
        <v>46</v>
      </c>
      <c r="D564">
        <v>42</v>
      </c>
      <c r="E564" t="s">
        <v>12</v>
      </c>
      <c r="F564" t="s">
        <v>29</v>
      </c>
      <c r="G564" t="s">
        <v>14</v>
      </c>
      <c r="H564">
        <v>21.9</v>
      </c>
      <c r="I564">
        <v>964.37</v>
      </c>
      <c r="J564" t="s">
        <v>15</v>
      </c>
    </row>
    <row r="565" spans="1:10" x14ac:dyDescent="0.35">
      <c r="A565" t="s">
        <v>587</v>
      </c>
      <c r="B565" t="s">
        <v>11</v>
      </c>
      <c r="C565">
        <v>60</v>
      </c>
      <c r="D565">
        <v>32</v>
      </c>
      <c r="E565" t="s">
        <v>12</v>
      </c>
      <c r="F565" t="s">
        <v>33</v>
      </c>
      <c r="G565" t="s">
        <v>23</v>
      </c>
      <c r="H565">
        <v>66.849999999999994</v>
      </c>
      <c r="I565">
        <v>2200.4299999999998</v>
      </c>
      <c r="J565" t="s">
        <v>15</v>
      </c>
    </row>
    <row r="566" spans="1:10" x14ac:dyDescent="0.35">
      <c r="A566" t="s">
        <v>588</v>
      </c>
      <c r="B566" t="s">
        <v>17</v>
      </c>
      <c r="C566">
        <v>39</v>
      </c>
      <c r="D566">
        <v>39</v>
      </c>
      <c r="E566" t="s">
        <v>21</v>
      </c>
      <c r="F566" t="s">
        <v>29</v>
      </c>
      <c r="G566" t="s">
        <v>14</v>
      </c>
      <c r="H566">
        <v>98.63</v>
      </c>
      <c r="I566">
        <v>3704.82</v>
      </c>
      <c r="J566" t="s">
        <v>15</v>
      </c>
    </row>
    <row r="567" spans="1:10" x14ac:dyDescent="0.35">
      <c r="A567" t="s">
        <v>589</v>
      </c>
      <c r="B567" t="s">
        <v>17</v>
      </c>
      <c r="C567">
        <v>43</v>
      </c>
      <c r="D567">
        <v>36</v>
      </c>
      <c r="E567" t="s">
        <v>12</v>
      </c>
      <c r="F567" t="s">
        <v>29</v>
      </c>
      <c r="G567" t="s">
        <v>14</v>
      </c>
      <c r="H567">
        <v>70.37</v>
      </c>
      <c r="I567">
        <v>2594.89</v>
      </c>
      <c r="J567" t="s">
        <v>15</v>
      </c>
    </row>
    <row r="568" spans="1:10" x14ac:dyDescent="0.35">
      <c r="A568" t="s">
        <v>590</v>
      </c>
      <c r="B568" t="s">
        <v>17</v>
      </c>
      <c r="C568">
        <v>45</v>
      </c>
      <c r="D568">
        <v>36</v>
      </c>
      <c r="E568" t="s">
        <v>21</v>
      </c>
      <c r="F568" t="s">
        <v>33</v>
      </c>
      <c r="G568" t="s">
        <v>14</v>
      </c>
      <c r="H568">
        <v>132.25</v>
      </c>
      <c r="I568">
        <v>4494.25</v>
      </c>
      <c r="J568" t="s">
        <v>15</v>
      </c>
    </row>
    <row r="569" spans="1:10" x14ac:dyDescent="0.35">
      <c r="A569" t="s">
        <v>591</v>
      </c>
      <c r="B569" t="s">
        <v>17</v>
      </c>
      <c r="C569">
        <v>67</v>
      </c>
      <c r="D569">
        <v>3</v>
      </c>
      <c r="E569" t="s">
        <v>12</v>
      </c>
      <c r="F569" t="s">
        <v>22</v>
      </c>
      <c r="G569" t="s">
        <v>23</v>
      </c>
      <c r="H569">
        <v>60.14</v>
      </c>
      <c r="I569">
        <v>178.43</v>
      </c>
      <c r="J569" t="s">
        <v>15</v>
      </c>
    </row>
    <row r="570" spans="1:10" x14ac:dyDescent="0.35">
      <c r="A570" t="s">
        <v>592</v>
      </c>
      <c r="B570" t="s">
        <v>11</v>
      </c>
      <c r="C570">
        <v>38</v>
      </c>
      <c r="D570">
        <v>8</v>
      </c>
      <c r="E570" t="s">
        <v>12</v>
      </c>
      <c r="F570" t="s">
        <v>22</v>
      </c>
      <c r="G570" t="s">
        <v>14</v>
      </c>
      <c r="H570">
        <v>58.16</v>
      </c>
      <c r="I570">
        <v>502.45</v>
      </c>
      <c r="J570" t="s">
        <v>15</v>
      </c>
    </row>
    <row r="571" spans="1:10" x14ac:dyDescent="0.35">
      <c r="A571" t="s">
        <v>593</v>
      </c>
      <c r="B571" t="s">
        <v>11</v>
      </c>
      <c r="C571">
        <v>66</v>
      </c>
      <c r="D571">
        <v>70</v>
      </c>
      <c r="E571" t="s">
        <v>12</v>
      </c>
      <c r="F571" t="s">
        <v>29</v>
      </c>
      <c r="G571" t="s">
        <v>23</v>
      </c>
      <c r="H571">
        <v>54.58</v>
      </c>
      <c r="I571">
        <v>3540.58</v>
      </c>
      <c r="J571" t="s">
        <v>27</v>
      </c>
    </row>
    <row r="572" spans="1:10" x14ac:dyDescent="0.35">
      <c r="A572" t="s">
        <v>594</v>
      </c>
      <c r="B572" t="s">
        <v>17</v>
      </c>
      <c r="C572">
        <v>24</v>
      </c>
      <c r="D572">
        <v>41</v>
      </c>
      <c r="E572" t="s">
        <v>21</v>
      </c>
      <c r="F572" t="s">
        <v>13</v>
      </c>
      <c r="G572" t="s">
        <v>19</v>
      </c>
      <c r="H572">
        <v>63.26</v>
      </c>
      <c r="I572">
        <v>2534.89</v>
      </c>
      <c r="J572" t="s">
        <v>15</v>
      </c>
    </row>
    <row r="573" spans="1:10" x14ac:dyDescent="0.35">
      <c r="A573" t="s">
        <v>595</v>
      </c>
      <c r="B573" t="s">
        <v>11</v>
      </c>
      <c r="C573">
        <v>34</v>
      </c>
      <c r="D573">
        <v>68</v>
      </c>
      <c r="E573" t="s">
        <v>21</v>
      </c>
      <c r="F573" t="s">
        <v>22</v>
      </c>
      <c r="G573" t="s">
        <v>14</v>
      </c>
      <c r="H573">
        <v>92.46</v>
      </c>
      <c r="I573">
        <v>6691.1</v>
      </c>
      <c r="J573" t="s">
        <v>15</v>
      </c>
    </row>
    <row r="574" spans="1:10" x14ac:dyDescent="0.35">
      <c r="A574" t="s">
        <v>596</v>
      </c>
      <c r="B574" t="s">
        <v>11</v>
      </c>
      <c r="C574">
        <v>37</v>
      </c>
      <c r="D574">
        <v>13</v>
      </c>
      <c r="E574" t="s">
        <v>21</v>
      </c>
      <c r="F574" t="s">
        <v>29</v>
      </c>
      <c r="G574" t="s">
        <v>14</v>
      </c>
      <c r="H574">
        <v>111.91</v>
      </c>
      <c r="I574">
        <v>1591.44</v>
      </c>
      <c r="J574" t="s">
        <v>15</v>
      </c>
    </row>
    <row r="575" spans="1:10" x14ac:dyDescent="0.35">
      <c r="A575" t="s">
        <v>597</v>
      </c>
      <c r="B575" t="s">
        <v>17</v>
      </c>
      <c r="C575">
        <v>58</v>
      </c>
      <c r="D575">
        <v>49</v>
      </c>
      <c r="E575" t="s">
        <v>12</v>
      </c>
      <c r="F575" t="s">
        <v>29</v>
      </c>
      <c r="G575" t="s">
        <v>23</v>
      </c>
      <c r="H575">
        <v>106.13</v>
      </c>
      <c r="I575">
        <v>5152.45</v>
      </c>
      <c r="J575" t="s">
        <v>27</v>
      </c>
    </row>
    <row r="576" spans="1:10" x14ac:dyDescent="0.35">
      <c r="A576" t="s">
        <v>598</v>
      </c>
      <c r="B576" t="s">
        <v>11</v>
      </c>
      <c r="C576">
        <v>66</v>
      </c>
      <c r="D576">
        <v>60</v>
      </c>
      <c r="E576" t="s">
        <v>12</v>
      </c>
      <c r="F576" t="s">
        <v>29</v>
      </c>
      <c r="G576" t="s">
        <v>23</v>
      </c>
      <c r="H576">
        <v>125</v>
      </c>
      <c r="I576">
        <v>7510.5</v>
      </c>
      <c r="J576" t="s">
        <v>27</v>
      </c>
    </row>
    <row r="577" spans="1:10" x14ac:dyDescent="0.35">
      <c r="A577" t="s">
        <v>599</v>
      </c>
      <c r="B577" t="s">
        <v>17</v>
      </c>
      <c r="C577">
        <v>37</v>
      </c>
      <c r="D577">
        <v>2</v>
      </c>
      <c r="E577" t="s">
        <v>18</v>
      </c>
      <c r="F577" t="s">
        <v>29</v>
      </c>
      <c r="G577" t="s">
        <v>14</v>
      </c>
      <c r="H577">
        <v>135.16999999999999</v>
      </c>
      <c r="I577">
        <v>274.24</v>
      </c>
      <c r="J577" t="s">
        <v>15</v>
      </c>
    </row>
    <row r="578" spans="1:10" x14ac:dyDescent="0.35">
      <c r="A578" t="s">
        <v>600</v>
      </c>
      <c r="B578" t="s">
        <v>11</v>
      </c>
      <c r="C578">
        <v>39</v>
      </c>
      <c r="D578">
        <v>60</v>
      </c>
      <c r="E578" t="s">
        <v>21</v>
      </c>
      <c r="F578" t="s">
        <v>33</v>
      </c>
      <c r="G578" t="s">
        <v>14</v>
      </c>
      <c r="H578">
        <v>126.09</v>
      </c>
      <c r="I578">
        <v>8219.58</v>
      </c>
      <c r="J578" t="s">
        <v>27</v>
      </c>
    </row>
    <row r="579" spans="1:10" x14ac:dyDescent="0.35">
      <c r="A579" t="s">
        <v>601</v>
      </c>
      <c r="B579" t="s">
        <v>17</v>
      </c>
      <c r="C579">
        <v>45</v>
      </c>
      <c r="D579">
        <v>5</v>
      </c>
      <c r="E579" t="s">
        <v>12</v>
      </c>
      <c r="F579" t="s">
        <v>13</v>
      </c>
      <c r="G579" t="s">
        <v>14</v>
      </c>
      <c r="H579">
        <v>22.46</v>
      </c>
      <c r="I579">
        <v>120.35</v>
      </c>
      <c r="J579" t="s">
        <v>27</v>
      </c>
    </row>
    <row r="580" spans="1:10" x14ac:dyDescent="0.35">
      <c r="A580" t="s">
        <v>602</v>
      </c>
      <c r="B580" t="s">
        <v>17</v>
      </c>
      <c r="C580">
        <v>57</v>
      </c>
      <c r="D580">
        <v>44</v>
      </c>
      <c r="E580" t="s">
        <v>18</v>
      </c>
      <c r="F580" t="s">
        <v>33</v>
      </c>
      <c r="G580" t="s">
        <v>23</v>
      </c>
      <c r="H580">
        <v>115.67</v>
      </c>
      <c r="I580">
        <v>4754.1899999999996</v>
      </c>
      <c r="J580" t="s">
        <v>15</v>
      </c>
    </row>
    <row r="581" spans="1:10" x14ac:dyDescent="0.35">
      <c r="A581" t="s">
        <v>603</v>
      </c>
      <c r="B581" t="s">
        <v>17</v>
      </c>
      <c r="C581">
        <v>66</v>
      </c>
      <c r="D581">
        <v>27</v>
      </c>
      <c r="E581" t="s">
        <v>12</v>
      </c>
      <c r="F581" t="s">
        <v>13</v>
      </c>
      <c r="G581" t="s">
        <v>23</v>
      </c>
      <c r="H581">
        <v>47.09</v>
      </c>
      <c r="I581">
        <v>1255.3499999999999</v>
      </c>
      <c r="J581" t="s">
        <v>15</v>
      </c>
    </row>
    <row r="582" spans="1:10" x14ac:dyDescent="0.35">
      <c r="A582" t="s">
        <v>604</v>
      </c>
      <c r="B582" t="s">
        <v>17</v>
      </c>
      <c r="C582">
        <v>24</v>
      </c>
      <c r="D582">
        <v>32</v>
      </c>
      <c r="E582" t="s">
        <v>12</v>
      </c>
      <c r="F582" t="s">
        <v>22</v>
      </c>
      <c r="G582" t="s">
        <v>19</v>
      </c>
      <c r="H582">
        <v>83.07</v>
      </c>
      <c r="I582">
        <v>1184.3699999999999</v>
      </c>
      <c r="J582" t="s">
        <v>15</v>
      </c>
    </row>
    <row r="583" spans="1:10" x14ac:dyDescent="0.35">
      <c r="A583" t="s">
        <v>605</v>
      </c>
      <c r="B583" t="s">
        <v>11</v>
      </c>
      <c r="C583">
        <v>18</v>
      </c>
      <c r="D583">
        <v>21</v>
      </c>
      <c r="E583" t="s">
        <v>12</v>
      </c>
      <c r="F583" t="s">
        <v>29</v>
      </c>
      <c r="G583" t="s">
        <v>19</v>
      </c>
      <c r="H583">
        <v>103</v>
      </c>
      <c r="I583">
        <v>2288.06</v>
      </c>
      <c r="J583" t="s">
        <v>15</v>
      </c>
    </row>
    <row r="584" spans="1:10" x14ac:dyDescent="0.35">
      <c r="A584" t="s">
        <v>606</v>
      </c>
      <c r="B584" t="s">
        <v>17</v>
      </c>
      <c r="C584">
        <v>49</v>
      </c>
      <c r="D584">
        <v>8</v>
      </c>
      <c r="E584" t="s">
        <v>21</v>
      </c>
      <c r="F584" t="s">
        <v>13</v>
      </c>
      <c r="G584" t="s">
        <v>14</v>
      </c>
      <c r="H584">
        <v>61.57</v>
      </c>
      <c r="I584">
        <v>502.7</v>
      </c>
      <c r="J584" t="s">
        <v>15</v>
      </c>
    </row>
    <row r="585" spans="1:10" x14ac:dyDescent="0.35">
      <c r="A585" t="s">
        <v>607</v>
      </c>
      <c r="B585" t="s">
        <v>17</v>
      </c>
      <c r="C585">
        <v>30</v>
      </c>
      <c r="D585">
        <v>72</v>
      </c>
      <c r="E585" t="s">
        <v>21</v>
      </c>
      <c r="F585" t="s">
        <v>29</v>
      </c>
      <c r="G585" t="s">
        <v>14</v>
      </c>
      <c r="H585">
        <v>27.43</v>
      </c>
      <c r="I585">
        <v>2035.88</v>
      </c>
      <c r="J585" t="s">
        <v>15</v>
      </c>
    </row>
    <row r="586" spans="1:10" x14ac:dyDescent="0.35">
      <c r="A586" t="s">
        <v>608</v>
      </c>
      <c r="B586" t="s">
        <v>17</v>
      </c>
      <c r="C586">
        <v>47</v>
      </c>
      <c r="D586">
        <v>50</v>
      </c>
      <c r="E586" t="s">
        <v>12</v>
      </c>
      <c r="F586" t="s">
        <v>29</v>
      </c>
      <c r="G586" t="s">
        <v>14</v>
      </c>
      <c r="H586">
        <v>37.89</v>
      </c>
      <c r="I586">
        <v>2083.27</v>
      </c>
      <c r="J586" t="s">
        <v>15</v>
      </c>
    </row>
    <row r="587" spans="1:10" x14ac:dyDescent="0.35">
      <c r="A587" t="s">
        <v>609</v>
      </c>
      <c r="B587" t="s">
        <v>11</v>
      </c>
      <c r="C587">
        <v>40</v>
      </c>
      <c r="D587">
        <v>67</v>
      </c>
      <c r="E587" t="s">
        <v>18</v>
      </c>
      <c r="F587" t="s">
        <v>13</v>
      </c>
      <c r="G587" t="s">
        <v>14</v>
      </c>
      <c r="H587">
        <v>20.12</v>
      </c>
      <c r="I587">
        <v>1233.45</v>
      </c>
      <c r="J587" t="s">
        <v>15</v>
      </c>
    </row>
    <row r="588" spans="1:10" x14ac:dyDescent="0.35">
      <c r="A588" t="s">
        <v>610</v>
      </c>
      <c r="B588" t="s">
        <v>17</v>
      </c>
      <c r="C588">
        <v>68</v>
      </c>
      <c r="D588">
        <v>44</v>
      </c>
      <c r="E588" t="s">
        <v>12</v>
      </c>
      <c r="F588" t="s">
        <v>33</v>
      </c>
      <c r="G588" t="s">
        <v>23</v>
      </c>
      <c r="H588">
        <v>137.41999999999999</v>
      </c>
      <c r="I588">
        <v>5711.52</v>
      </c>
      <c r="J588" t="s">
        <v>15</v>
      </c>
    </row>
    <row r="589" spans="1:10" x14ac:dyDescent="0.35">
      <c r="A589" t="s">
        <v>611</v>
      </c>
      <c r="B589" t="s">
        <v>11</v>
      </c>
      <c r="C589">
        <v>36</v>
      </c>
      <c r="D589">
        <v>58</v>
      </c>
      <c r="E589" t="s">
        <v>12</v>
      </c>
      <c r="F589" t="s">
        <v>22</v>
      </c>
      <c r="G589" t="s">
        <v>14</v>
      </c>
      <c r="H589">
        <v>23.2</v>
      </c>
      <c r="I589">
        <v>1320.81</v>
      </c>
      <c r="J589" t="s">
        <v>15</v>
      </c>
    </row>
    <row r="590" spans="1:10" x14ac:dyDescent="0.35">
      <c r="A590" t="s">
        <v>612</v>
      </c>
      <c r="B590" t="s">
        <v>17</v>
      </c>
      <c r="C590">
        <v>49</v>
      </c>
      <c r="D590">
        <v>3</v>
      </c>
      <c r="E590" t="s">
        <v>12</v>
      </c>
      <c r="F590" t="s">
        <v>29</v>
      </c>
      <c r="G590" t="s">
        <v>14</v>
      </c>
      <c r="H590">
        <v>47.23</v>
      </c>
      <c r="I590">
        <v>137.38</v>
      </c>
      <c r="J590" t="s">
        <v>15</v>
      </c>
    </row>
    <row r="591" spans="1:10" x14ac:dyDescent="0.35">
      <c r="A591" t="s">
        <v>613</v>
      </c>
      <c r="B591" t="s">
        <v>11</v>
      </c>
      <c r="C591">
        <v>47</v>
      </c>
      <c r="D591">
        <v>70</v>
      </c>
      <c r="E591" t="s">
        <v>12</v>
      </c>
      <c r="F591" t="s">
        <v>29</v>
      </c>
      <c r="G591" t="s">
        <v>14</v>
      </c>
      <c r="H591">
        <v>74.11</v>
      </c>
      <c r="I591">
        <v>4691.3900000000003</v>
      </c>
      <c r="J591" t="s">
        <v>15</v>
      </c>
    </row>
    <row r="592" spans="1:10" x14ac:dyDescent="0.35">
      <c r="A592" t="s">
        <v>614</v>
      </c>
      <c r="B592" t="s">
        <v>11</v>
      </c>
      <c r="C592">
        <v>46</v>
      </c>
      <c r="D592">
        <v>2</v>
      </c>
      <c r="E592" t="s">
        <v>12</v>
      </c>
      <c r="F592" t="s">
        <v>29</v>
      </c>
      <c r="G592" t="s">
        <v>14</v>
      </c>
      <c r="H592">
        <v>66.349999999999994</v>
      </c>
      <c r="I592">
        <v>121.87</v>
      </c>
      <c r="J592" t="s">
        <v>27</v>
      </c>
    </row>
    <row r="593" spans="1:10" x14ac:dyDescent="0.35">
      <c r="A593" t="s">
        <v>615</v>
      </c>
      <c r="B593" t="s">
        <v>17</v>
      </c>
      <c r="C593">
        <v>66</v>
      </c>
      <c r="D593">
        <v>44</v>
      </c>
      <c r="E593" t="s">
        <v>21</v>
      </c>
      <c r="F593" t="s">
        <v>13</v>
      </c>
      <c r="G593" t="s">
        <v>23</v>
      </c>
      <c r="H593">
        <v>138.52000000000001</v>
      </c>
      <c r="I593">
        <v>6315.46</v>
      </c>
      <c r="J593" t="s">
        <v>27</v>
      </c>
    </row>
    <row r="594" spans="1:10" x14ac:dyDescent="0.35">
      <c r="A594" t="s">
        <v>616</v>
      </c>
      <c r="B594" t="s">
        <v>11</v>
      </c>
      <c r="C594">
        <v>62</v>
      </c>
      <c r="D594">
        <v>2</v>
      </c>
      <c r="E594" t="s">
        <v>18</v>
      </c>
      <c r="F594" t="s">
        <v>22</v>
      </c>
      <c r="G594" t="s">
        <v>23</v>
      </c>
      <c r="H594">
        <v>25.24</v>
      </c>
      <c r="I594">
        <v>54.31</v>
      </c>
      <c r="J594" t="s">
        <v>15</v>
      </c>
    </row>
    <row r="595" spans="1:10" x14ac:dyDescent="0.35">
      <c r="A595" t="s">
        <v>617</v>
      </c>
      <c r="B595" t="s">
        <v>17</v>
      </c>
      <c r="C595">
        <v>46</v>
      </c>
      <c r="D595">
        <v>35</v>
      </c>
      <c r="E595" t="s">
        <v>12</v>
      </c>
      <c r="F595" t="s">
        <v>33</v>
      </c>
      <c r="G595" t="s">
        <v>14</v>
      </c>
      <c r="H595">
        <v>86.59</v>
      </c>
      <c r="I595">
        <v>3039.27</v>
      </c>
      <c r="J595" t="s">
        <v>15</v>
      </c>
    </row>
    <row r="596" spans="1:10" x14ac:dyDescent="0.35">
      <c r="A596" t="s">
        <v>618</v>
      </c>
      <c r="B596" t="s">
        <v>17</v>
      </c>
      <c r="C596">
        <v>47</v>
      </c>
      <c r="D596">
        <v>30</v>
      </c>
      <c r="E596" t="s">
        <v>12</v>
      </c>
      <c r="F596" t="s">
        <v>29</v>
      </c>
      <c r="G596" t="s">
        <v>14</v>
      </c>
      <c r="H596">
        <v>108.46</v>
      </c>
      <c r="I596">
        <v>3279.3</v>
      </c>
      <c r="J596" t="s">
        <v>15</v>
      </c>
    </row>
    <row r="597" spans="1:10" x14ac:dyDescent="0.35">
      <c r="A597" t="s">
        <v>619</v>
      </c>
      <c r="B597" t="s">
        <v>17</v>
      </c>
      <c r="C597">
        <v>33</v>
      </c>
      <c r="D597">
        <v>8</v>
      </c>
      <c r="E597" t="s">
        <v>12</v>
      </c>
      <c r="F597" t="s">
        <v>13</v>
      </c>
      <c r="G597" t="s">
        <v>14</v>
      </c>
      <c r="H597">
        <v>141.12</v>
      </c>
      <c r="I597">
        <v>1073.6600000000001</v>
      </c>
      <c r="J597" t="s">
        <v>27</v>
      </c>
    </row>
    <row r="598" spans="1:10" x14ac:dyDescent="0.35">
      <c r="A598" t="s">
        <v>620</v>
      </c>
      <c r="B598" t="s">
        <v>11</v>
      </c>
      <c r="C598">
        <v>57</v>
      </c>
      <c r="D598">
        <v>22</v>
      </c>
      <c r="E598" t="s">
        <v>12</v>
      </c>
      <c r="F598" t="s">
        <v>13</v>
      </c>
      <c r="G598" t="s">
        <v>23</v>
      </c>
      <c r="H598">
        <v>100.65</v>
      </c>
      <c r="I598">
        <v>2332.9299999999998</v>
      </c>
      <c r="J598" t="s">
        <v>15</v>
      </c>
    </row>
    <row r="599" spans="1:10" x14ac:dyDescent="0.35">
      <c r="A599" t="s">
        <v>621</v>
      </c>
      <c r="B599" t="s">
        <v>11</v>
      </c>
      <c r="C599">
        <v>36</v>
      </c>
      <c r="D599">
        <v>44</v>
      </c>
      <c r="E599" t="s">
        <v>12</v>
      </c>
      <c r="F599" t="s">
        <v>22</v>
      </c>
      <c r="G599" t="s">
        <v>14</v>
      </c>
      <c r="H599">
        <v>124.49</v>
      </c>
      <c r="I599">
        <v>5753.4</v>
      </c>
      <c r="J599" t="s">
        <v>15</v>
      </c>
    </row>
    <row r="600" spans="1:10" x14ac:dyDescent="0.35">
      <c r="A600" t="s">
        <v>622</v>
      </c>
      <c r="B600" t="s">
        <v>17</v>
      </c>
      <c r="C600">
        <v>35</v>
      </c>
      <c r="D600">
        <v>58</v>
      </c>
      <c r="E600" t="s">
        <v>21</v>
      </c>
      <c r="F600" t="s">
        <v>13</v>
      </c>
      <c r="G600" t="s">
        <v>14</v>
      </c>
      <c r="H600">
        <v>30.88</v>
      </c>
      <c r="I600">
        <v>1822.69</v>
      </c>
      <c r="J600" t="s">
        <v>15</v>
      </c>
    </row>
    <row r="601" spans="1:10" x14ac:dyDescent="0.35">
      <c r="A601" t="s">
        <v>623</v>
      </c>
      <c r="B601" t="s">
        <v>17</v>
      </c>
      <c r="C601">
        <v>18</v>
      </c>
      <c r="D601">
        <v>36</v>
      </c>
      <c r="E601" t="s">
        <v>12</v>
      </c>
      <c r="F601" t="s">
        <v>22</v>
      </c>
      <c r="G601" t="s">
        <v>19</v>
      </c>
      <c r="H601">
        <v>70.17</v>
      </c>
      <c r="I601">
        <v>2380.9499999999998</v>
      </c>
      <c r="J601" t="s">
        <v>15</v>
      </c>
    </row>
    <row r="602" spans="1:10" x14ac:dyDescent="0.35">
      <c r="A602" t="s">
        <v>624</v>
      </c>
      <c r="B602" t="s">
        <v>11</v>
      </c>
      <c r="C602">
        <v>31</v>
      </c>
      <c r="D602">
        <v>69</v>
      </c>
      <c r="E602" t="s">
        <v>21</v>
      </c>
      <c r="F602" t="s">
        <v>22</v>
      </c>
      <c r="G602" t="s">
        <v>14</v>
      </c>
      <c r="H602">
        <v>68.61</v>
      </c>
      <c r="I602">
        <v>4352.54</v>
      </c>
      <c r="J602" t="s">
        <v>15</v>
      </c>
    </row>
    <row r="603" spans="1:10" x14ac:dyDescent="0.35">
      <c r="A603" t="s">
        <v>625</v>
      </c>
      <c r="B603" t="s">
        <v>17</v>
      </c>
      <c r="C603">
        <v>68</v>
      </c>
      <c r="D603">
        <v>31</v>
      </c>
      <c r="E603" t="s">
        <v>18</v>
      </c>
      <c r="F603" t="s">
        <v>29</v>
      </c>
      <c r="G603" t="s">
        <v>23</v>
      </c>
      <c r="H603">
        <v>135.22</v>
      </c>
      <c r="I603">
        <v>3826.49</v>
      </c>
      <c r="J603" t="s">
        <v>15</v>
      </c>
    </row>
    <row r="604" spans="1:10" x14ac:dyDescent="0.35">
      <c r="A604" t="s">
        <v>626</v>
      </c>
      <c r="B604" t="s">
        <v>17</v>
      </c>
      <c r="C604">
        <v>64</v>
      </c>
      <c r="D604">
        <v>47</v>
      </c>
      <c r="E604" t="s">
        <v>12</v>
      </c>
      <c r="F604" t="s">
        <v>22</v>
      </c>
      <c r="G604" t="s">
        <v>23</v>
      </c>
      <c r="H604">
        <v>39.68</v>
      </c>
      <c r="I604">
        <v>1899.53</v>
      </c>
      <c r="J604" t="s">
        <v>15</v>
      </c>
    </row>
    <row r="605" spans="1:10" x14ac:dyDescent="0.35">
      <c r="A605" t="s">
        <v>627</v>
      </c>
      <c r="B605" t="s">
        <v>17</v>
      </c>
      <c r="C605">
        <v>67</v>
      </c>
      <c r="D605">
        <v>55</v>
      </c>
      <c r="E605" t="s">
        <v>18</v>
      </c>
      <c r="F605" t="s">
        <v>29</v>
      </c>
      <c r="G605" t="s">
        <v>23</v>
      </c>
      <c r="H605">
        <v>39.75</v>
      </c>
      <c r="I605">
        <v>2328.37</v>
      </c>
      <c r="J605" t="s">
        <v>15</v>
      </c>
    </row>
    <row r="606" spans="1:10" x14ac:dyDescent="0.35">
      <c r="A606" t="s">
        <v>628</v>
      </c>
      <c r="B606" t="s">
        <v>11</v>
      </c>
      <c r="C606">
        <v>19</v>
      </c>
      <c r="D606">
        <v>62</v>
      </c>
      <c r="E606" t="s">
        <v>21</v>
      </c>
      <c r="F606" t="s">
        <v>22</v>
      </c>
      <c r="G606" t="s">
        <v>19</v>
      </c>
      <c r="H606">
        <v>62.71</v>
      </c>
      <c r="I606">
        <v>4166.66</v>
      </c>
      <c r="J606" t="s">
        <v>15</v>
      </c>
    </row>
    <row r="607" spans="1:10" x14ac:dyDescent="0.35">
      <c r="A607" t="s">
        <v>629</v>
      </c>
      <c r="B607" t="s">
        <v>11</v>
      </c>
      <c r="C607">
        <v>45</v>
      </c>
      <c r="D607">
        <v>30</v>
      </c>
      <c r="E607" t="s">
        <v>21</v>
      </c>
      <c r="F607" t="s">
        <v>13</v>
      </c>
      <c r="G607" t="s">
        <v>14</v>
      </c>
      <c r="H607">
        <v>27.08</v>
      </c>
      <c r="I607">
        <v>806.49</v>
      </c>
      <c r="J607" t="s">
        <v>15</v>
      </c>
    </row>
    <row r="608" spans="1:10" x14ac:dyDescent="0.35">
      <c r="A608" t="s">
        <v>630</v>
      </c>
      <c r="B608" t="s">
        <v>11</v>
      </c>
      <c r="C608">
        <v>66</v>
      </c>
      <c r="D608">
        <v>55</v>
      </c>
      <c r="E608" t="s">
        <v>12</v>
      </c>
      <c r="F608" t="s">
        <v>13</v>
      </c>
      <c r="G608" t="s">
        <v>23</v>
      </c>
      <c r="H608">
        <v>43.72</v>
      </c>
      <c r="I608">
        <v>2541.31</v>
      </c>
      <c r="J608" t="s">
        <v>15</v>
      </c>
    </row>
    <row r="609" spans="1:10" x14ac:dyDescent="0.35">
      <c r="A609" t="s">
        <v>631</v>
      </c>
      <c r="B609" t="s">
        <v>17</v>
      </c>
      <c r="C609">
        <v>67</v>
      </c>
      <c r="D609">
        <v>16</v>
      </c>
      <c r="E609" t="s">
        <v>12</v>
      </c>
      <c r="F609" t="s">
        <v>33</v>
      </c>
      <c r="G609" t="s">
        <v>23</v>
      </c>
      <c r="H609">
        <v>145.47999999999999</v>
      </c>
      <c r="I609">
        <v>2535.7199999999998</v>
      </c>
      <c r="J609" t="s">
        <v>27</v>
      </c>
    </row>
    <row r="610" spans="1:10" x14ac:dyDescent="0.35">
      <c r="A610" t="s">
        <v>632</v>
      </c>
      <c r="B610" t="s">
        <v>17</v>
      </c>
      <c r="C610">
        <v>47</v>
      </c>
      <c r="D610">
        <v>12</v>
      </c>
      <c r="E610" t="s">
        <v>12</v>
      </c>
      <c r="F610" t="s">
        <v>33</v>
      </c>
      <c r="G610" t="s">
        <v>14</v>
      </c>
      <c r="H610">
        <v>75.66</v>
      </c>
      <c r="I610">
        <v>867.09</v>
      </c>
      <c r="J610" t="s">
        <v>27</v>
      </c>
    </row>
    <row r="611" spans="1:10" x14ac:dyDescent="0.35">
      <c r="A611" t="s">
        <v>633</v>
      </c>
      <c r="B611" t="s">
        <v>17</v>
      </c>
      <c r="C611">
        <v>55</v>
      </c>
      <c r="D611">
        <v>17</v>
      </c>
      <c r="E611" t="s">
        <v>12</v>
      </c>
      <c r="F611" t="s">
        <v>33</v>
      </c>
      <c r="G611" t="s">
        <v>23</v>
      </c>
      <c r="H611">
        <v>102.16</v>
      </c>
      <c r="I611">
        <v>1701.28</v>
      </c>
      <c r="J611" t="s">
        <v>27</v>
      </c>
    </row>
    <row r="612" spans="1:10" x14ac:dyDescent="0.35">
      <c r="A612" t="s">
        <v>634</v>
      </c>
      <c r="B612" t="s">
        <v>11</v>
      </c>
      <c r="C612">
        <v>68</v>
      </c>
      <c r="D612">
        <v>16</v>
      </c>
      <c r="E612" t="s">
        <v>12</v>
      </c>
      <c r="F612" t="s">
        <v>13</v>
      </c>
      <c r="G612" t="s">
        <v>23</v>
      </c>
      <c r="H612">
        <v>114.39</v>
      </c>
      <c r="I612">
        <v>1988.18</v>
      </c>
      <c r="J612" t="s">
        <v>15</v>
      </c>
    </row>
    <row r="613" spans="1:10" x14ac:dyDescent="0.35">
      <c r="A613" t="s">
        <v>635</v>
      </c>
      <c r="B613" t="s">
        <v>17</v>
      </c>
      <c r="C613">
        <v>21</v>
      </c>
      <c r="D613">
        <v>12</v>
      </c>
      <c r="E613" t="s">
        <v>21</v>
      </c>
      <c r="F613" t="s">
        <v>22</v>
      </c>
      <c r="G613" t="s">
        <v>19</v>
      </c>
      <c r="H613">
        <v>67.7</v>
      </c>
      <c r="I613">
        <v>786.12</v>
      </c>
      <c r="J613" t="s">
        <v>15</v>
      </c>
    </row>
    <row r="614" spans="1:10" x14ac:dyDescent="0.35">
      <c r="A614" t="s">
        <v>636</v>
      </c>
      <c r="B614" t="s">
        <v>17</v>
      </c>
      <c r="C614">
        <v>18</v>
      </c>
      <c r="D614">
        <v>8</v>
      </c>
      <c r="E614" t="s">
        <v>12</v>
      </c>
      <c r="F614" t="s">
        <v>13</v>
      </c>
      <c r="G614" t="s">
        <v>19</v>
      </c>
      <c r="H614">
        <v>39.14</v>
      </c>
      <c r="I614">
        <v>339.04</v>
      </c>
      <c r="J614" t="s">
        <v>15</v>
      </c>
    </row>
    <row r="615" spans="1:10" x14ac:dyDescent="0.35">
      <c r="A615" t="s">
        <v>637</v>
      </c>
      <c r="B615" t="s">
        <v>17</v>
      </c>
      <c r="C615">
        <v>25</v>
      </c>
      <c r="D615">
        <v>3</v>
      </c>
      <c r="E615" t="s">
        <v>18</v>
      </c>
      <c r="F615" t="s">
        <v>33</v>
      </c>
      <c r="G615" t="s">
        <v>19</v>
      </c>
      <c r="H615">
        <v>46.86</v>
      </c>
      <c r="I615">
        <v>154.11000000000001</v>
      </c>
      <c r="J615" t="s">
        <v>15</v>
      </c>
    </row>
    <row r="616" spans="1:10" x14ac:dyDescent="0.35">
      <c r="A616" t="s">
        <v>638</v>
      </c>
      <c r="B616" t="s">
        <v>17</v>
      </c>
      <c r="C616">
        <v>46</v>
      </c>
      <c r="D616">
        <v>16</v>
      </c>
      <c r="E616" t="s">
        <v>21</v>
      </c>
      <c r="F616" t="s">
        <v>13</v>
      </c>
      <c r="G616" t="s">
        <v>14</v>
      </c>
      <c r="H616">
        <v>60.72</v>
      </c>
      <c r="I616">
        <v>1002.96</v>
      </c>
      <c r="J616" t="s">
        <v>15</v>
      </c>
    </row>
    <row r="617" spans="1:10" x14ac:dyDescent="0.35">
      <c r="A617" t="s">
        <v>639</v>
      </c>
      <c r="B617" t="s">
        <v>11</v>
      </c>
      <c r="C617">
        <v>56</v>
      </c>
      <c r="D617">
        <v>30</v>
      </c>
      <c r="E617" t="s">
        <v>12</v>
      </c>
      <c r="F617" t="s">
        <v>33</v>
      </c>
      <c r="G617" t="s">
        <v>23</v>
      </c>
      <c r="H617">
        <v>102.69</v>
      </c>
      <c r="I617">
        <v>3275.95</v>
      </c>
      <c r="J617" t="s">
        <v>27</v>
      </c>
    </row>
    <row r="618" spans="1:10" x14ac:dyDescent="0.35">
      <c r="A618" t="s">
        <v>640</v>
      </c>
      <c r="B618" t="s">
        <v>11</v>
      </c>
      <c r="C618">
        <v>20</v>
      </c>
      <c r="D618">
        <v>23</v>
      </c>
      <c r="E618" t="s">
        <v>12</v>
      </c>
      <c r="F618" t="s">
        <v>33</v>
      </c>
      <c r="G618" t="s">
        <v>19</v>
      </c>
      <c r="H618">
        <v>71.78</v>
      </c>
      <c r="I618">
        <v>1733.34</v>
      </c>
      <c r="J618" t="s">
        <v>15</v>
      </c>
    </row>
    <row r="619" spans="1:10" x14ac:dyDescent="0.35">
      <c r="A619" t="s">
        <v>641</v>
      </c>
      <c r="B619" t="s">
        <v>17</v>
      </c>
      <c r="C619">
        <v>49</v>
      </c>
      <c r="D619">
        <v>5</v>
      </c>
      <c r="E619" t="s">
        <v>18</v>
      </c>
      <c r="F619" t="s">
        <v>22</v>
      </c>
      <c r="G619" t="s">
        <v>14</v>
      </c>
      <c r="H619">
        <v>20.89</v>
      </c>
      <c r="I619">
        <v>108.62</v>
      </c>
      <c r="J619" t="s">
        <v>15</v>
      </c>
    </row>
    <row r="620" spans="1:10" x14ac:dyDescent="0.35">
      <c r="A620" t="s">
        <v>642</v>
      </c>
      <c r="B620" t="s">
        <v>11</v>
      </c>
      <c r="C620">
        <v>27</v>
      </c>
      <c r="D620">
        <v>65</v>
      </c>
      <c r="E620" t="s">
        <v>18</v>
      </c>
      <c r="F620" t="s">
        <v>29</v>
      </c>
      <c r="G620" t="s">
        <v>19</v>
      </c>
      <c r="H620">
        <v>88.04</v>
      </c>
      <c r="I620">
        <v>5501.63</v>
      </c>
      <c r="J620" t="s">
        <v>15</v>
      </c>
    </row>
    <row r="621" spans="1:10" x14ac:dyDescent="0.35">
      <c r="A621" t="s">
        <v>643</v>
      </c>
      <c r="B621" t="s">
        <v>11</v>
      </c>
      <c r="C621">
        <v>27</v>
      </c>
      <c r="D621">
        <v>30</v>
      </c>
      <c r="E621" t="s">
        <v>21</v>
      </c>
      <c r="F621" t="s">
        <v>29</v>
      </c>
      <c r="G621" t="s">
        <v>19</v>
      </c>
      <c r="H621">
        <v>139.80000000000001</v>
      </c>
      <c r="I621">
        <v>3822.49</v>
      </c>
      <c r="J621" t="s">
        <v>15</v>
      </c>
    </row>
    <row r="622" spans="1:10" x14ac:dyDescent="0.35">
      <c r="A622" t="s">
        <v>644</v>
      </c>
      <c r="B622" t="s">
        <v>17</v>
      </c>
      <c r="C622">
        <v>36</v>
      </c>
      <c r="D622">
        <v>21</v>
      </c>
      <c r="E622" t="s">
        <v>12</v>
      </c>
      <c r="F622" t="s">
        <v>33</v>
      </c>
      <c r="G622" t="s">
        <v>14</v>
      </c>
      <c r="H622">
        <v>125.57</v>
      </c>
      <c r="I622">
        <v>2554.1999999999998</v>
      </c>
      <c r="J622" t="s">
        <v>15</v>
      </c>
    </row>
    <row r="623" spans="1:10" x14ac:dyDescent="0.35">
      <c r="A623" t="s">
        <v>645</v>
      </c>
      <c r="B623" t="s">
        <v>17</v>
      </c>
      <c r="C623">
        <v>63</v>
      </c>
      <c r="D623">
        <v>70</v>
      </c>
      <c r="E623" t="s">
        <v>12</v>
      </c>
      <c r="F623" t="s">
        <v>29</v>
      </c>
      <c r="G623" t="s">
        <v>23</v>
      </c>
      <c r="H623">
        <v>127.28</v>
      </c>
      <c r="I623">
        <v>9207.07</v>
      </c>
      <c r="J623" t="s">
        <v>27</v>
      </c>
    </row>
    <row r="624" spans="1:10" x14ac:dyDescent="0.35">
      <c r="A624" t="s">
        <v>646</v>
      </c>
      <c r="B624" t="s">
        <v>11</v>
      </c>
      <c r="C624">
        <v>51</v>
      </c>
      <c r="D624">
        <v>22</v>
      </c>
      <c r="E624" t="s">
        <v>12</v>
      </c>
      <c r="F624" t="s">
        <v>33</v>
      </c>
      <c r="G624" t="s">
        <v>23</v>
      </c>
      <c r="H624">
        <v>123.36</v>
      </c>
      <c r="I624">
        <v>2498.1799999999998</v>
      </c>
      <c r="J624" t="s">
        <v>15</v>
      </c>
    </row>
    <row r="625" spans="1:10" x14ac:dyDescent="0.35">
      <c r="A625" t="s">
        <v>647</v>
      </c>
      <c r="B625" t="s">
        <v>17</v>
      </c>
      <c r="C625">
        <v>50</v>
      </c>
      <c r="D625">
        <v>72</v>
      </c>
      <c r="E625" t="s">
        <v>12</v>
      </c>
      <c r="F625" t="s">
        <v>13</v>
      </c>
      <c r="G625" t="s">
        <v>23</v>
      </c>
      <c r="H625">
        <v>62.09</v>
      </c>
      <c r="I625">
        <v>4034.09</v>
      </c>
      <c r="J625" t="s">
        <v>15</v>
      </c>
    </row>
    <row r="626" spans="1:10" x14ac:dyDescent="0.35">
      <c r="A626" t="s">
        <v>648</v>
      </c>
      <c r="B626" t="s">
        <v>11</v>
      </c>
      <c r="C626">
        <v>40</v>
      </c>
      <c r="D626">
        <v>32</v>
      </c>
      <c r="E626" t="s">
        <v>21</v>
      </c>
      <c r="F626" t="s">
        <v>13</v>
      </c>
      <c r="G626" t="s">
        <v>14</v>
      </c>
      <c r="H626">
        <v>119.48</v>
      </c>
      <c r="I626">
        <v>3547.84</v>
      </c>
      <c r="J626" t="s">
        <v>15</v>
      </c>
    </row>
    <row r="627" spans="1:10" x14ac:dyDescent="0.35">
      <c r="A627" t="s">
        <v>649</v>
      </c>
      <c r="B627" t="s">
        <v>17</v>
      </c>
      <c r="C627">
        <v>45</v>
      </c>
      <c r="D627">
        <v>33</v>
      </c>
      <c r="E627" t="s">
        <v>21</v>
      </c>
      <c r="F627" t="s">
        <v>33</v>
      </c>
      <c r="G627" t="s">
        <v>14</v>
      </c>
      <c r="H627">
        <v>38.61</v>
      </c>
      <c r="I627">
        <v>1329.11</v>
      </c>
      <c r="J627" t="s">
        <v>15</v>
      </c>
    </row>
    <row r="628" spans="1:10" x14ac:dyDescent="0.35">
      <c r="A628" t="s">
        <v>650</v>
      </c>
      <c r="B628" t="s">
        <v>11</v>
      </c>
      <c r="C628">
        <v>49</v>
      </c>
      <c r="D628">
        <v>16</v>
      </c>
      <c r="E628" t="s">
        <v>21</v>
      </c>
      <c r="F628" t="s">
        <v>22</v>
      </c>
      <c r="G628" t="s">
        <v>14</v>
      </c>
      <c r="H628">
        <v>105.5</v>
      </c>
      <c r="I628">
        <v>1847.62</v>
      </c>
      <c r="J628" t="s">
        <v>15</v>
      </c>
    </row>
    <row r="629" spans="1:10" x14ac:dyDescent="0.35">
      <c r="A629" t="s">
        <v>651</v>
      </c>
      <c r="B629" t="s">
        <v>17</v>
      </c>
      <c r="C629">
        <v>67</v>
      </c>
      <c r="D629">
        <v>38</v>
      </c>
      <c r="E629" t="s">
        <v>18</v>
      </c>
      <c r="F629" t="s">
        <v>13</v>
      </c>
      <c r="G629" t="s">
        <v>23</v>
      </c>
      <c r="H629">
        <v>103.4</v>
      </c>
      <c r="I629">
        <v>4308.8100000000004</v>
      </c>
      <c r="J629" t="s">
        <v>15</v>
      </c>
    </row>
    <row r="630" spans="1:10" x14ac:dyDescent="0.35">
      <c r="A630" t="s">
        <v>652</v>
      </c>
      <c r="B630" t="s">
        <v>11</v>
      </c>
      <c r="C630">
        <v>24</v>
      </c>
      <c r="D630">
        <v>14</v>
      </c>
      <c r="E630" t="s">
        <v>21</v>
      </c>
      <c r="F630" t="s">
        <v>13</v>
      </c>
      <c r="G630" t="s">
        <v>19</v>
      </c>
      <c r="H630">
        <v>23.32</v>
      </c>
      <c r="I630">
        <v>326.08999999999997</v>
      </c>
      <c r="J630" t="s">
        <v>15</v>
      </c>
    </row>
    <row r="631" spans="1:10" x14ac:dyDescent="0.35">
      <c r="A631" t="s">
        <v>653</v>
      </c>
      <c r="B631" t="s">
        <v>11</v>
      </c>
      <c r="C631">
        <v>46</v>
      </c>
      <c r="D631">
        <v>36</v>
      </c>
      <c r="E631" t="s">
        <v>12</v>
      </c>
      <c r="F631" t="s">
        <v>13</v>
      </c>
      <c r="G631" t="s">
        <v>14</v>
      </c>
      <c r="H631">
        <v>122.44</v>
      </c>
      <c r="I631">
        <v>4733.45</v>
      </c>
      <c r="J631" t="s">
        <v>27</v>
      </c>
    </row>
    <row r="632" spans="1:10" x14ac:dyDescent="0.35">
      <c r="A632" t="s">
        <v>654</v>
      </c>
      <c r="B632" t="s">
        <v>11</v>
      </c>
      <c r="C632">
        <v>25</v>
      </c>
      <c r="D632">
        <v>23</v>
      </c>
      <c r="E632" t="s">
        <v>12</v>
      </c>
      <c r="F632" t="s">
        <v>22</v>
      </c>
      <c r="G632" t="s">
        <v>19</v>
      </c>
      <c r="H632">
        <v>137.41999999999999</v>
      </c>
      <c r="I632">
        <v>3310.37</v>
      </c>
      <c r="J632" t="s">
        <v>15</v>
      </c>
    </row>
    <row r="633" spans="1:10" x14ac:dyDescent="0.35">
      <c r="A633" t="s">
        <v>655</v>
      </c>
      <c r="B633" t="s">
        <v>17</v>
      </c>
      <c r="C633">
        <v>18</v>
      </c>
      <c r="D633">
        <v>66</v>
      </c>
      <c r="E633" t="s">
        <v>18</v>
      </c>
      <c r="F633" t="s">
        <v>29</v>
      </c>
      <c r="G633" t="s">
        <v>19</v>
      </c>
      <c r="H633">
        <v>54.76</v>
      </c>
      <c r="I633">
        <v>3614.91</v>
      </c>
      <c r="J633" t="s">
        <v>27</v>
      </c>
    </row>
    <row r="634" spans="1:10" x14ac:dyDescent="0.35">
      <c r="A634" t="s">
        <v>656</v>
      </c>
      <c r="B634" t="s">
        <v>11</v>
      </c>
      <c r="C634">
        <v>20</v>
      </c>
      <c r="D634">
        <v>2</v>
      </c>
      <c r="E634" t="s">
        <v>12</v>
      </c>
      <c r="F634" t="s">
        <v>33</v>
      </c>
      <c r="G634" t="s">
        <v>19</v>
      </c>
      <c r="H634">
        <v>125.61</v>
      </c>
      <c r="I634">
        <v>254.88</v>
      </c>
      <c r="J634" t="s">
        <v>15</v>
      </c>
    </row>
    <row r="635" spans="1:10" x14ac:dyDescent="0.35">
      <c r="A635" t="s">
        <v>657</v>
      </c>
      <c r="B635" t="s">
        <v>11</v>
      </c>
      <c r="C635">
        <v>41</v>
      </c>
      <c r="D635">
        <v>65</v>
      </c>
      <c r="E635" t="s">
        <v>18</v>
      </c>
      <c r="F635" t="s">
        <v>33</v>
      </c>
      <c r="G635" t="s">
        <v>14</v>
      </c>
      <c r="H635">
        <v>30.71</v>
      </c>
      <c r="I635">
        <v>1851.32</v>
      </c>
      <c r="J635" t="s">
        <v>15</v>
      </c>
    </row>
    <row r="636" spans="1:10" x14ac:dyDescent="0.35">
      <c r="A636" t="s">
        <v>658</v>
      </c>
      <c r="B636" t="s">
        <v>17</v>
      </c>
      <c r="C636">
        <v>40</v>
      </c>
      <c r="D636">
        <v>67</v>
      </c>
      <c r="E636" t="s">
        <v>18</v>
      </c>
      <c r="F636" t="s">
        <v>29</v>
      </c>
      <c r="G636" t="s">
        <v>14</v>
      </c>
      <c r="H636">
        <v>98</v>
      </c>
      <c r="I636">
        <v>7140.74</v>
      </c>
      <c r="J636" t="s">
        <v>15</v>
      </c>
    </row>
    <row r="637" spans="1:10" x14ac:dyDescent="0.35">
      <c r="A637" t="s">
        <v>659</v>
      </c>
      <c r="B637" t="s">
        <v>17</v>
      </c>
      <c r="C637">
        <v>25</v>
      </c>
      <c r="D637">
        <v>52</v>
      </c>
      <c r="E637" t="s">
        <v>12</v>
      </c>
      <c r="F637" t="s">
        <v>22</v>
      </c>
      <c r="G637" t="s">
        <v>19</v>
      </c>
      <c r="H637">
        <v>83.13</v>
      </c>
      <c r="I637">
        <v>4194.75</v>
      </c>
      <c r="J637" t="s">
        <v>15</v>
      </c>
    </row>
    <row r="638" spans="1:10" x14ac:dyDescent="0.35">
      <c r="A638" t="s">
        <v>660</v>
      </c>
      <c r="B638" t="s">
        <v>11</v>
      </c>
      <c r="C638">
        <v>64</v>
      </c>
      <c r="D638">
        <v>62</v>
      </c>
      <c r="E638" t="s">
        <v>21</v>
      </c>
      <c r="F638" t="s">
        <v>13</v>
      </c>
      <c r="G638" t="s">
        <v>23</v>
      </c>
      <c r="H638">
        <v>90.97</v>
      </c>
      <c r="I638">
        <v>5579.39</v>
      </c>
      <c r="J638" t="s">
        <v>15</v>
      </c>
    </row>
    <row r="639" spans="1:10" x14ac:dyDescent="0.35">
      <c r="A639" t="s">
        <v>661</v>
      </c>
      <c r="B639" t="s">
        <v>11</v>
      </c>
      <c r="C639">
        <v>54</v>
      </c>
      <c r="D639">
        <v>23</v>
      </c>
      <c r="E639" t="s">
        <v>18</v>
      </c>
      <c r="F639" t="s">
        <v>29</v>
      </c>
      <c r="G639" t="s">
        <v>23</v>
      </c>
      <c r="H639">
        <v>140.41</v>
      </c>
      <c r="I639">
        <v>3340.3</v>
      </c>
      <c r="J639" t="s">
        <v>27</v>
      </c>
    </row>
    <row r="640" spans="1:10" x14ac:dyDescent="0.35">
      <c r="A640" t="s">
        <v>662</v>
      </c>
      <c r="B640" t="s">
        <v>17</v>
      </c>
      <c r="C640">
        <v>20</v>
      </c>
      <c r="D640">
        <v>26</v>
      </c>
      <c r="E640" t="s">
        <v>21</v>
      </c>
      <c r="F640" t="s">
        <v>33</v>
      </c>
      <c r="G640" t="s">
        <v>19</v>
      </c>
      <c r="H640">
        <v>133.27000000000001</v>
      </c>
      <c r="I640">
        <v>3349.91</v>
      </c>
      <c r="J640" t="s">
        <v>15</v>
      </c>
    </row>
    <row r="641" spans="1:10" x14ac:dyDescent="0.35">
      <c r="A641" t="s">
        <v>663</v>
      </c>
      <c r="B641" t="s">
        <v>17</v>
      </c>
      <c r="C641">
        <v>68</v>
      </c>
      <c r="D641">
        <v>68</v>
      </c>
      <c r="E641" t="s">
        <v>18</v>
      </c>
      <c r="F641" t="s">
        <v>29</v>
      </c>
      <c r="G641" t="s">
        <v>23</v>
      </c>
      <c r="H641">
        <v>122.06</v>
      </c>
      <c r="I641">
        <v>7892.15</v>
      </c>
      <c r="J641" t="s">
        <v>15</v>
      </c>
    </row>
    <row r="642" spans="1:10" x14ac:dyDescent="0.35">
      <c r="A642" t="s">
        <v>664</v>
      </c>
      <c r="B642" t="s">
        <v>17</v>
      </c>
      <c r="C642">
        <v>50</v>
      </c>
      <c r="D642">
        <v>55</v>
      </c>
      <c r="E642" t="s">
        <v>18</v>
      </c>
      <c r="F642" t="s">
        <v>29</v>
      </c>
      <c r="G642" t="s">
        <v>23</v>
      </c>
      <c r="H642">
        <v>55.58</v>
      </c>
      <c r="I642">
        <v>3137.02</v>
      </c>
      <c r="J642" t="s">
        <v>15</v>
      </c>
    </row>
    <row r="643" spans="1:10" x14ac:dyDescent="0.35">
      <c r="A643" t="s">
        <v>665</v>
      </c>
      <c r="B643" t="s">
        <v>17</v>
      </c>
      <c r="C643">
        <v>45</v>
      </c>
      <c r="D643">
        <v>6</v>
      </c>
      <c r="E643" t="s">
        <v>12</v>
      </c>
      <c r="F643" t="s">
        <v>13</v>
      </c>
      <c r="G643" t="s">
        <v>14</v>
      </c>
      <c r="H643">
        <v>138.54</v>
      </c>
      <c r="I643">
        <v>752.27</v>
      </c>
      <c r="J643" t="s">
        <v>15</v>
      </c>
    </row>
    <row r="644" spans="1:10" x14ac:dyDescent="0.35">
      <c r="A644" t="s">
        <v>666</v>
      </c>
      <c r="B644" t="s">
        <v>17</v>
      </c>
      <c r="C644">
        <v>64</v>
      </c>
      <c r="D644">
        <v>35</v>
      </c>
      <c r="E644" t="s">
        <v>12</v>
      </c>
      <c r="F644" t="s">
        <v>13</v>
      </c>
      <c r="G644" t="s">
        <v>23</v>
      </c>
      <c r="H644">
        <v>32.68</v>
      </c>
      <c r="I644">
        <v>1194.29</v>
      </c>
      <c r="J644" t="s">
        <v>15</v>
      </c>
    </row>
    <row r="645" spans="1:10" x14ac:dyDescent="0.35">
      <c r="A645" t="s">
        <v>667</v>
      </c>
      <c r="B645" t="s">
        <v>11</v>
      </c>
      <c r="C645">
        <v>25</v>
      </c>
      <c r="D645">
        <v>22</v>
      </c>
      <c r="E645" t="s">
        <v>18</v>
      </c>
      <c r="F645" t="s">
        <v>13</v>
      </c>
      <c r="G645" t="s">
        <v>19</v>
      </c>
      <c r="H645">
        <v>130.93</v>
      </c>
      <c r="I645">
        <v>2888.54</v>
      </c>
      <c r="J645" t="s">
        <v>15</v>
      </c>
    </row>
    <row r="646" spans="1:10" x14ac:dyDescent="0.35">
      <c r="A646" t="s">
        <v>668</v>
      </c>
      <c r="B646" t="s">
        <v>17</v>
      </c>
      <c r="C646">
        <v>51</v>
      </c>
      <c r="D646">
        <v>43</v>
      </c>
      <c r="E646" t="s">
        <v>21</v>
      </c>
      <c r="F646" t="s">
        <v>22</v>
      </c>
      <c r="G646" t="s">
        <v>23</v>
      </c>
      <c r="H646">
        <v>62.66</v>
      </c>
      <c r="I646">
        <v>2751.37</v>
      </c>
      <c r="J646" t="s">
        <v>15</v>
      </c>
    </row>
    <row r="647" spans="1:10" x14ac:dyDescent="0.35">
      <c r="A647" t="s">
        <v>669</v>
      </c>
      <c r="B647" t="s">
        <v>11</v>
      </c>
      <c r="C647">
        <v>52</v>
      </c>
      <c r="D647">
        <v>15</v>
      </c>
      <c r="E647" t="s">
        <v>12</v>
      </c>
      <c r="F647" t="s">
        <v>22</v>
      </c>
      <c r="G647" t="s">
        <v>23</v>
      </c>
      <c r="H647">
        <v>26.99</v>
      </c>
      <c r="I647">
        <v>415.53</v>
      </c>
      <c r="J647" t="s">
        <v>27</v>
      </c>
    </row>
    <row r="648" spans="1:10" x14ac:dyDescent="0.35">
      <c r="A648" t="s">
        <v>670</v>
      </c>
      <c r="B648" t="s">
        <v>11</v>
      </c>
      <c r="C648">
        <v>49</v>
      </c>
      <c r="D648">
        <v>60</v>
      </c>
      <c r="E648" t="s">
        <v>12</v>
      </c>
      <c r="F648" t="s">
        <v>22</v>
      </c>
      <c r="G648" t="s">
        <v>14</v>
      </c>
      <c r="H648">
        <v>107.02</v>
      </c>
      <c r="I648">
        <v>6455.94</v>
      </c>
      <c r="J648" t="s">
        <v>15</v>
      </c>
    </row>
    <row r="649" spans="1:10" x14ac:dyDescent="0.35">
      <c r="A649" t="s">
        <v>671</v>
      </c>
      <c r="B649" t="s">
        <v>11</v>
      </c>
      <c r="C649">
        <v>41</v>
      </c>
      <c r="D649">
        <v>12</v>
      </c>
      <c r="E649" t="s">
        <v>21</v>
      </c>
      <c r="F649" t="s">
        <v>29</v>
      </c>
      <c r="G649" t="s">
        <v>14</v>
      </c>
      <c r="H649">
        <v>50.07</v>
      </c>
      <c r="I649">
        <v>610.76</v>
      </c>
      <c r="J649" t="s">
        <v>15</v>
      </c>
    </row>
    <row r="650" spans="1:10" x14ac:dyDescent="0.35">
      <c r="A650" t="s">
        <v>672</v>
      </c>
      <c r="B650" t="s">
        <v>17</v>
      </c>
      <c r="C650">
        <v>31</v>
      </c>
      <c r="D650">
        <v>49</v>
      </c>
      <c r="E650" t="s">
        <v>18</v>
      </c>
      <c r="F650" t="s">
        <v>13</v>
      </c>
      <c r="G650" t="s">
        <v>14</v>
      </c>
      <c r="H650">
        <v>51.66</v>
      </c>
      <c r="I650">
        <v>2624.39</v>
      </c>
      <c r="J650" t="s">
        <v>15</v>
      </c>
    </row>
    <row r="651" spans="1:10" x14ac:dyDescent="0.35">
      <c r="A651" t="s">
        <v>673</v>
      </c>
      <c r="B651" t="s">
        <v>11</v>
      </c>
      <c r="C651">
        <v>49</v>
      </c>
      <c r="D651">
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/v>
      </c>
      <c r="J651" t="s">
        <v>15</v>
      </c>
    </row>
    <row r="652" spans="1:10" x14ac:dyDescent="0.35">
      <c r="A652" t="s">
        <v>674</v>
      </c>
      <c r="B652" t="s">
        <v>11</v>
      </c>
      <c r="C652">
        <v>63</v>
      </c>
      <c r="D652">
        <v>38</v>
      </c>
      <c r="E652" t="s">
        <v>21</v>
      </c>
      <c r="F652" t="s">
        <v>29</v>
      </c>
      <c r="G652" t="s">
        <v>23</v>
      </c>
      <c r="H652">
        <v>28.28</v>
      </c>
      <c r="I652">
        <v>1123.53</v>
      </c>
      <c r="J652" t="s">
        <v>15</v>
      </c>
    </row>
    <row r="653" spans="1:10" x14ac:dyDescent="0.35">
      <c r="A653" t="s">
        <v>675</v>
      </c>
      <c r="B653" t="s">
        <v>17</v>
      </c>
      <c r="C653">
        <v>60</v>
      </c>
      <c r="D653">
        <v>45</v>
      </c>
      <c r="E653" t="s">
        <v>12</v>
      </c>
      <c r="F653" t="s">
        <v>13</v>
      </c>
      <c r="G653" t="s">
        <v>23</v>
      </c>
      <c r="H653">
        <v>43.03</v>
      </c>
      <c r="I653">
        <v>2079.4899999999998</v>
      </c>
      <c r="J653" t="s">
        <v>15</v>
      </c>
    </row>
    <row r="654" spans="1:10" x14ac:dyDescent="0.35">
      <c r="A654" t="s">
        <v>676</v>
      </c>
      <c r="B654" t="s">
        <v>11</v>
      </c>
      <c r="C654">
        <v>33</v>
      </c>
      <c r="D654">
        <v>35</v>
      </c>
      <c r="E654" t="s">
        <v>12</v>
      </c>
      <c r="F654" t="s">
        <v>29</v>
      </c>
      <c r="G654" t="s">
        <v>14</v>
      </c>
      <c r="H654">
        <v>20.67</v>
      </c>
      <c r="I654">
        <v>678.52</v>
      </c>
      <c r="J654" t="s">
        <v>15</v>
      </c>
    </row>
    <row r="655" spans="1:10" x14ac:dyDescent="0.35">
      <c r="A655" t="s">
        <v>677</v>
      </c>
      <c r="B655" t="s">
        <v>11</v>
      </c>
      <c r="C655">
        <v>21</v>
      </c>
      <c r="D655">
        <v>30</v>
      </c>
      <c r="E655" t="s">
        <v>18</v>
      </c>
      <c r="F655" t="s">
        <v>29</v>
      </c>
      <c r="G655" t="s">
        <v>19</v>
      </c>
      <c r="H655">
        <v>77.900000000000006</v>
      </c>
      <c r="I655">
        <v>2290.8000000000002</v>
      </c>
      <c r="J655" t="s">
        <v>27</v>
      </c>
    </row>
    <row r="656" spans="1:10" x14ac:dyDescent="0.35">
      <c r="A656" t="s">
        <v>678</v>
      </c>
      <c r="B656" t="s">
        <v>17</v>
      </c>
      <c r="C656">
        <v>69</v>
      </c>
      <c r="D656">
        <v>30</v>
      </c>
      <c r="E656" t="s">
        <v>12</v>
      </c>
      <c r="F656" t="s">
        <v>29</v>
      </c>
      <c r="G656" t="s">
        <v>23</v>
      </c>
      <c r="H656">
        <v>30.95</v>
      </c>
      <c r="I656">
        <v>1011.66</v>
      </c>
      <c r="J656" t="s">
        <v>15</v>
      </c>
    </row>
    <row r="657" spans="1:10" x14ac:dyDescent="0.35">
      <c r="A657" t="s">
        <v>679</v>
      </c>
      <c r="B657" t="s">
        <v>11</v>
      </c>
      <c r="C657">
        <v>54</v>
      </c>
      <c r="D657">
        <v>6</v>
      </c>
      <c r="E657" t="s">
        <v>12</v>
      </c>
      <c r="F657" t="s">
        <v>33</v>
      </c>
      <c r="G657" t="s">
        <v>23</v>
      </c>
      <c r="H657">
        <v>108.74</v>
      </c>
      <c r="I657">
        <v>638.95000000000005</v>
      </c>
      <c r="J657" t="s">
        <v>15</v>
      </c>
    </row>
    <row r="658" spans="1:10" x14ac:dyDescent="0.35">
      <c r="A658" t="s">
        <v>680</v>
      </c>
      <c r="B658" t="s">
        <v>11</v>
      </c>
      <c r="C658">
        <v>38</v>
      </c>
      <c r="D658">
        <v>67</v>
      </c>
      <c r="E658" t="s">
        <v>12</v>
      </c>
      <c r="F658" t="s">
        <v>33</v>
      </c>
      <c r="G658" t="s">
        <v>14</v>
      </c>
      <c r="H658">
        <v>50.63</v>
      </c>
      <c r="I658">
        <v>3137.71</v>
      </c>
      <c r="J658" t="s">
        <v>15</v>
      </c>
    </row>
    <row r="659" spans="1:10" x14ac:dyDescent="0.35">
      <c r="A659" t="s">
        <v>681</v>
      </c>
      <c r="B659" t="s">
        <v>11</v>
      </c>
      <c r="C659">
        <v>31</v>
      </c>
      <c r="D659">
        <v>7</v>
      </c>
      <c r="E659" t="s">
        <v>21</v>
      </c>
      <c r="F659" t="s">
        <v>22</v>
      </c>
      <c r="G659" t="s">
        <v>14</v>
      </c>
      <c r="H659">
        <v>142.66</v>
      </c>
      <c r="I659">
        <v>1003.7</v>
      </c>
      <c r="J659" t="s">
        <v>15</v>
      </c>
    </row>
    <row r="660" spans="1:10" x14ac:dyDescent="0.35">
      <c r="A660" t="s">
        <v>682</v>
      </c>
      <c r="B660" t="s">
        <v>17</v>
      </c>
      <c r="C660">
        <v>48</v>
      </c>
      <c r="D660">
        <v>52</v>
      </c>
      <c r="E660" t="s">
        <v>18</v>
      </c>
      <c r="F660" t="s">
        <v>33</v>
      </c>
      <c r="G660" t="s">
        <v>14</v>
      </c>
      <c r="H660">
        <v>133.26</v>
      </c>
      <c r="I660">
        <v>6388.31</v>
      </c>
      <c r="J660" t="s">
        <v>15</v>
      </c>
    </row>
    <row r="661" spans="1:10" x14ac:dyDescent="0.35">
      <c r="A661" t="s">
        <v>683</v>
      </c>
      <c r="B661" t="s">
        <v>17</v>
      </c>
      <c r="C661">
        <v>65</v>
      </c>
      <c r="D661">
        <v>14</v>
      </c>
      <c r="E661" t="s">
        <v>12</v>
      </c>
      <c r="F661" t="s">
        <v>22</v>
      </c>
      <c r="G661" t="s">
        <v>23</v>
      </c>
      <c r="H661">
        <v>57.63</v>
      </c>
      <c r="I661">
        <v>758.87</v>
      </c>
      <c r="J661" t="s">
        <v>27</v>
      </c>
    </row>
    <row r="662" spans="1:10" x14ac:dyDescent="0.35">
      <c r="A662" t="s">
        <v>684</v>
      </c>
      <c r="B662" t="s">
        <v>17</v>
      </c>
      <c r="C662">
        <v>35</v>
      </c>
      <c r="D662">
        <v>15</v>
      </c>
      <c r="E662" t="s">
        <v>12</v>
      </c>
      <c r="F662" t="s">
        <v>13</v>
      </c>
      <c r="G662" t="s">
        <v>14</v>
      </c>
      <c r="H662">
        <v>121.82</v>
      </c>
      <c r="I662">
        <v>2009.42</v>
      </c>
      <c r="J662" t="s">
        <v>15</v>
      </c>
    </row>
    <row r="663" spans="1:10" x14ac:dyDescent="0.35">
      <c r="A663" t="s">
        <v>685</v>
      </c>
      <c r="B663" t="s">
        <v>11</v>
      </c>
      <c r="C663">
        <v>24</v>
      </c>
      <c r="D663">
        <v>21</v>
      </c>
      <c r="E663" t="s">
        <v>21</v>
      </c>
      <c r="F663" t="s">
        <v>29</v>
      </c>
      <c r="G663" t="s">
        <v>19</v>
      </c>
      <c r="H663">
        <v>124.42</v>
      </c>
      <c r="I663">
        <v>2634.43</v>
      </c>
      <c r="J663" t="s">
        <v>15</v>
      </c>
    </row>
    <row r="664" spans="1:10" x14ac:dyDescent="0.35">
      <c r="A664" t="s">
        <v>686</v>
      </c>
      <c r="B664" t="s">
        <v>11</v>
      </c>
      <c r="C664">
        <v>27</v>
      </c>
      <c r="D664">
        <v>35</v>
      </c>
      <c r="E664" t="s">
        <v>18</v>
      </c>
      <c r="F664" t="s">
        <v>22</v>
      </c>
      <c r="G664" t="s">
        <v>19</v>
      </c>
      <c r="H664">
        <v>148.25</v>
      </c>
      <c r="I664">
        <v>4964.66</v>
      </c>
      <c r="J664" t="s">
        <v>27</v>
      </c>
    </row>
    <row r="665" spans="1:10" x14ac:dyDescent="0.35">
      <c r="A665" t="s">
        <v>687</v>
      </c>
      <c r="B665" t="s">
        <v>17</v>
      </c>
      <c r="C665">
        <v>24</v>
      </c>
      <c r="D665">
        <v>66</v>
      </c>
      <c r="E665" t="s">
        <v>12</v>
      </c>
      <c r="F665" t="s">
        <v>22</v>
      </c>
      <c r="G665" t="s">
        <v>19</v>
      </c>
      <c r="H665">
        <v>97.72</v>
      </c>
      <c r="I665">
        <v>7087.73</v>
      </c>
      <c r="J665" t="s">
        <v>15</v>
      </c>
    </row>
    <row r="666" spans="1:10" x14ac:dyDescent="0.35">
      <c r="A666" t="s">
        <v>688</v>
      </c>
      <c r="B666" t="s">
        <v>11</v>
      </c>
      <c r="C666">
        <v>50</v>
      </c>
      <c r="D666">
        <v>2</v>
      </c>
      <c r="E666" t="s">
        <v>12</v>
      </c>
      <c r="F666" t="s">
        <v>22</v>
      </c>
      <c r="G666" t="s">
        <v>23</v>
      </c>
      <c r="H666">
        <v>30.66</v>
      </c>
      <c r="I666">
        <v>67.040000000000006</v>
      </c>
      <c r="J666" t="s">
        <v>27</v>
      </c>
    </row>
    <row r="667" spans="1:10" x14ac:dyDescent="0.35">
      <c r="A667" t="s">
        <v>689</v>
      </c>
      <c r="B667" t="s">
        <v>11</v>
      </c>
      <c r="C667">
        <v>40</v>
      </c>
      <c r="D667">
        <v>35</v>
      </c>
      <c r="E667" t="s">
        <v>12</v>
      </c>
      <c r="F667" t="s">
        <v>22</v>
      </c>
      <c r="G667" t="s">
        <v>14</v>
      </c>
      <c r="H667">
        <v>104.09</v>
      </c>
      <c r="I667">
        <v>3599.97</v>
      </c>
      <c r="J667" t="s">
        <v>15</v>
      </c>
    </row>
    <row r="668" spans="1:10" x14ac:dyDescent="0.35">
      <c r="A668" t="s">
        <v>690</v>
      </c>
      <c r="B668" t="s">
        <v>17</v>
      </c>
      <c r="C668">
        <v>38</v>
      </c>
      <c r="D668">
        <v>20</v>
      </c>
      <c r="E668" t="s">
        <v>18</v>
      </c>
      <c r="F668" t="s">
        <v>13</v>
      </c>
      <c r="G668" t="s">
        <v>14</v>
      </c>
      <c r="H668">
        <v>101.25</v>
      </c>
      <c r="I668">
        <v>1927.96</v>
      </c>
      <c r="J668" t="s">
        <v>15</v>
      </c>
    </row>
    <row r="669" spans="1:10" x14ac:dyDescent="0.35">
      <c r="A669" t="s">
        <v>691</v>
      </c>
      <c r="B669" t="s">
        <v>17</v>
      </c>
      <c r="C669">
        <v>36</v>
      </c>
      <c r="D669">
        <v>10</v>
      </c>
      <c r="E669" t="s">
        <v>12</v>
      </c>
      <c r="F669" t="s">
        <v>22</v>
      </c>
      <c r="G669" t="s">
        <v>14</v>
      </c>
      <c r="H669">
        <v>102.99</v>
      </c>
      <c r="I669">
        <v>1099.5999999999999</v>
      </c>
      <c r="J669" t="s">
        <v>15</v>
      </c>
    </row>
    <row r="670" spans="1:10" x14ac:dyDescent="0.35">
      <c r="A670" t="s">
        <v>692</v>
      </c>
      <c r="B670" t="s">
        <v>11</v>
      </c>
      <c r="C670">
        <v>65</v>
      </c>
      <c r="D670">
        <v>25</v>
      </c>
      <c r="E670" t="s">
        <v>12</v>
      </c>
      <c r="F670" t="s">
        <v>33</v>
      </c>
      <c r="G670" t="s">
        <v>23</v>
      </c>
      <c r="H670">
        <v>59.93</v>
      </c>
      <c r="I670">
        <v>1562.86</v>
      </c>
      <c r="J670" t="s">
        <v>15</v>
      </c>
    </row>
    <row r="671" spans="1:10" x14ac:dyDescent="0.35">
      <c r="A671" t="s">
        <v>693</v>
      </c>
      <c r="B671" t="s">
        <v>11</v>
      </c>
      <c r="C671">
        <v>36</v>
      </c>
      <c r="D671">
        <v>66</v>
      </c>
      <c r="E671" t="s">
        <v>21</v>
      </c>
      <c r="F671" t="s">
        <v>13</v>
      </c>
      <c r="G671" t="s">
        <v>14</v>
      </c>
      <c r="H671">
        <v>131.76</v>
      </c>
      <c r="I671">
        <v>9021.2900000000009</v>
      </c>
      <c r="J671" t="s">
        <v>15</v>
      </c>
    </row>
    <row r="672" spans="1:10" x14ac:dyDescent="0.35">
      <c r="A672" t="s">
        <v>694</v>
      </c>
      <c r="B672" t="s">
        <v>11</v>
      </c>
      <c r="C672">
        <v>53</v>
      </c>
      <c r="D672">
        <v>25</v>
      </c>
      <c r="E672" t="s">
        <v>21</v>
      </c>
      <c r="F672" t="s">
        <v>22</v>
      </c>
      <c r="G672" t="s">
        <v>23</v>
      </c>
      <c r="H672">
        <v>144.72999999999999</v>
      </c>
      <c r="I672">
        <v>3902.73</v>
      </c>
      <c r="J672" t="s">
        <v>15</v>
      </c>
    </row>
    <row r="673" spans="1:10" x14ac:dyDescent="0.35">
      <c r="A673" t="s">
        <v>695</v>
      </c>
      <c r="B673" t="s">
        <v>17</v>
      </c>
      <c r="C673">
        <v>46</v>
      </c>
      <c r="D673">
        <v>54</v>
      </c>
      <c r="E673" t="s">
        <v>12</v>
      </c>
      <c r="F673" t="s">
        <v>13</v>
      </c>
      <c r="G673" t="s">
        <v>14</v>
      </c>
      <c r="H673">
        <v>48.3</v>
      </c>
      <c r="I673">
        <v>2707.01</v>
      </c>
      <c r="J673" t="s">
        <v>15</v>
      </c>
    </row>
    <row r="674" spans="1:10" x14ac:dyDescent="0.35">
      <c r="A674" t="s">
        <v>696</v>
      </c>
      <c r="B674" t="s">
        <v>17</v>
      </c>
      <c r="C674">
        <v>35</v>
      </c>
      <c r="D674">
        <v>33</v>
      </c>
      <c r="E674" t="s">
        <v>18</v>
      </c>
      <c r="F674" t="s">
        <v>22</v>
      </c>
      <c r="G674" t="s">
        <v>14</v>
      </c>
      <c r="H674">
        <v>31.46</v>
      </c>
      <c r="I674">
        <v>993.29</v>
      </c>
      <c r="J674" t="s">
        <v>15</v>
      </c>
    </row>
    <row r="675" spans="1:10" x14ac:dyDescent="0.35">
      <c r="A675" t="s">
        <v>697</v>
      </c>
      <c r="B675" t="s">
        <v>17</v>
      </c>
      <c r="C675">
        <v>19</v>
      </c>
      <c r="D675">
        <v>36</v>
      </c>
      <c r="E675" t="s">
        <v>12</v>
      </c>
      <c r="F675" t="s">
        <v>22</v>
      </c>
      <c r="G675" t="s">
        <v>19</v>
      </c>
      <c r="H675">
        <v>45.29</v>
      </c>
      <c r="I675">
        <v>1693.66</v>
      </c>
      <c r="J675" t="s">
        <v>15</v>
      </c>
    </row>
    <row r="676" spans="1:10" x14ac:dyDescent="0.35">
      <c r="A676" t="s">
        <v>698</v>
      </c>
      <c r="B676" t="s">
        <v>17</v>
      </c>
      <c r="C676">
        <v>18</v>
      </c>
      <c r="D676">
        <v>14</v>
      </c>
      <c r="E676" t="s">
        <v>21</v>
      </c>
      <c r="F676" t="s">
        <v>29</v>
      </c>
      <c r="G676" t="s">
        <v>19</v>
      </c>
      <c r="H676">
        <v>126.67</v>
      </c>
      <c r="I676">
        <v>1704.51</v>
      </c>
      <c r="J676" t="s">
        <v>15</v>
      </c>
    </row>
    <row r="677" spans="1:10" x14ac:dyDescent="0.35">
      <c r="A677" t="s">
        <v>699</v>
      </c>
      <c r="B677" t="s">
        <v>11</v>
      </c>
      <c r="C677">
        <v>64</v>
      </c>
      <c r="D677">
        <v>65</v>
      </c>
      <c r="E677" t="s">
        <v>12</v>
      </c>
      <c r="F677" t="s">
        <v>22</v>
      </c>
      <c r="G677" t="s">
        <v>23</v>
      </c>
      <c r="H677">
        <v>107.96</v>
      </c>
      <c r="I677">
        <v>7381.24</v>
      </c>
      <c r="J677" t="s">
        <v>27</v>
      </c>
    </row>
    <row r="678" spans="1:10" x14ac:dyDescent="0.35">
      <c r="A678" t="s">
        <v>700</v>
      </c>
      <c r="B678" t="s">
        <v>17</v>
      </c>
      <c r="C678">
        <v>22</v>
      </c>
      <c r="D678">
        <v>54</v>
      </c>
      <c r="E678" t="s">
        <v>21</v>
      </c>
      <c r="F678" t="s">
        <v>29</v>
      </c>
      <c r="G678" t="s">
        <v>19</v>
      </c>
      <c r="H678">
        <v>102.69</v>
      </c>
      <c r="I678">
        <v>5678.07</v>
      </c>
      <c r="J678" t="s">
        <v>27</v>
      </c>
    </row>
    <row r="679" spans="1:10" x14ac:dyDescent="0.35">
      <c r="A679" t="s">
        <v>701</v>
      </c>
      <c r="B679" t="s">
        <v>17</v>
      </c>
      <c r="C679">
        <v>37</v>
      </c>
      <c r="D679">
        <v>52</v>
      </c>
      <c r="E679" t="s">
        <v>12</v>
      </c>
      <c r="F679" t="s">
        <v>22</v>
      </c>
      <c r="G679" t="s">
        <v>14</v>
      </c>
      <c r="H679">
        <v>72.23</v>
      </c>
      <c r="I679">
        <v>3438.51</v>
      </c>
      <c r="J679" t="s">
        <v>15</v>
      </c>
    </row>
    <row r="680" spans="1:10" x14ac:dyDescent="0.35">
      <c r="A680" t="s">
        <v>702</v>
      </c>
      <c r="B680" t="s">
        <v>17</v>
      </c>
      <c r="C680">
        <v>28</v>
      </c>
      <c r="D680">
        <v>3</v>
      </c>
      <c r="E680" t="s">
        <v>18</v>
      </c>
      <c r="F680" t="s">
        <v>13</v>
      </c>
      <c r="G680" t="s">
        <v>19</v>
      </c>
      <c r="H680">
        <v>95.12</v>
      </c>
      <c r="I680">
        <v>286.08999999999997</v>
      </c>
      <c r="J680" t="s">
        <v>15</v>
      </c>
    </row>
    <row r="681" spans="1:10" x14ac:dyDescent="0.35">
      <c r="A681" t="s">
        <v>703</v>
      </c>
      <c r="B681" t="s">
        <v>17</v>
      </c>
      <c r="C681">
        <v>59</v>
      </c>
      <c r="D681">
        <v>41</v>
      </c>
      <c r="E681" t="s">
        <v>21</v>
      </c>
      <c r="F681" t="s">
        <v>22</v>
      </c>
      <c r="G681" t="s">
        <v>23</v>
      </c>
      <c r="H681">
        <v>60.02</v>
      </c>
      <c r="I681">
        <v>2383.6999999999998</v>
      </c>
      <c r="J681" t="s">
        <v>15</v>
      </c>
    </row>
    <row r="682" spans="1:10" x14ac:dyDescent="0.35">
      <c r="A682" t="s">
        <v>704</v>
      </c>
      <c r="B682" t="s">
        <v>17</v>
      </c>
      <c r="C682">
        <v>19</v>
      </c>
      <c r="D682">
        <v>6</v>
      </c>
      <c r="E682" t="s">
        <v>21</v>
      </c>
      <c r="F682" t="s">
        <v>29</v>
      </c>
      <c r="G682" t="s">
        <v>19</v>
      </c>
      <c r="H682">
        <v>82.04</v>
      </c>
      <c r="I682">
        <v>475.36</v>
      </c>
      <c r="J682" t="s">
        <v>15</v>
      </c>
    </row>
    <row r="683" spans="1:10" x14ac:dyDescent="0.35">
      <c r="A683" t="s">
        <v>705</v>
      </c>
      <c r="B683" t="s">
        <v>11</v>
      </c>
      <c r="C683">
        <v>20</v>
      </c>
      <c r="D683">
        <v>25</v>
      </c>
      <c r="E683" t="s">
        <v>21</v>
      </c>
      <c r="F683" t="s">
        <v>22</v>
      </c>
      <c r="G683" t="s">
        <v>19</v>
      </c>
      <c r="H683">
        <v>123.1</v>
      </c>
      <c r="I683">
        <v>3140.44</v>
      </c>
      <c r="J683" t="s">
        <v>15</v>
      </c>
    </row>
    <row r="684" spans="1:10" x14ac:dyDescent="0.35">
      <c r="A684" t="s">
        <v>706</v>
      </c>
      <c r="B684" t="s">
        <v>11</v>
      </c>
      <c r="C684">
        <v>40</v>
      </c>
      <c r="D684">
        <v>13</v>
      </c>
      <c r="E684" t="s">
        <v>21</v>
      </c>
      <c r="F684" t="s">
        <v>29</v>
      </c>
      <c r="G684" t="s">
        <v>14</v>
      </c>
      <c r="H684">
        <v>147.56</v>
      </c>
      <c r="I684">
        <v>1850.11</v>
      </c>
      <c r="J684" t="s">
        <v>15</v>
      </c>
    </row>
    <row r="685" spans="1:10" x14ac:dyDescent="0.35">
      <c r="A685" t="s">
        <v>707</v>
      </c>
      <c r="B685" t="s">
        <v>17</v>
      </c>
      <c r="C685">
        <v>29</v>
      </c>
      <c r="D685">
        <v>8</v>
      </c>
      <c r="E685" t="s">
        <v>12</v>
      </c>
      <c r="F685" t="s">
        <v>33</v>
      </c>
      <c r="G685" t="s">
        <v>19</v>
      </c>
      <c r="H685">
        <v>141.22</v>
      </c>
      <c r="I685">
        <v>1192.32</v>
      </c>
      <c r="J685" t="s">
        <v>27</v>
      </c>
    </row>
    <row r="686" spans="1:10" x14ac:dyDescent="0.35">
      <c r="A686" t="s">
        <v>708</v>
      </c>
      <c r="B686" t="s">
        <v>11</v>
      </c>
      <c r="C686">
        <v>37</v>
      </c>
      <c r="D686">
        <v>21</v>
      </c>
      <c r="E686" t="s">
        <v>12</v>
      </c>
      <c r="F686" t="s">
        <v>33</v>
      </c>
      <c r="G686" t="s">
        <v>14</v>
      </c>
      <c r="H686">
        <v>141.4</v>
      </c>
      <c r="I686">
        <v>2714.5</v>
      </c>
      <c r="J686" t="s">
        <v>27</v>
      </c>
    </row>
    <row r="687" spans="1:10" x14ac:dyDescent="0.35">
      <c r="A687" t="s">
        <v>709</v>
      </c>
      <c r="B687" t="s">
        <v>17</v>
      </c>
      <c r="C687">
        <v>22</v>
      </c>
      <c r="D687">
        <v>68</v>
      </c>
      <c r="E687" t="s">
        <v>18</v>
      </c>
      <c r="F687" t="s">
        <v>33</v>
      </c>
      <c r="G687" t="s">
        <v>19</v>
      </c>
      <c r="H687">
        <v>72.290000000000006</v>
      </c>
      <c r="I687">
        <v>5073.3999999999996</v>
      </c>
      <c r="J687" t="s">
        <v>15</v>
      </c>
    </row>
    <row r="688" spans="1:10" x14ac:dyDescent="0.35">
      <c r="A688" t="s">
        <v>710</v>
      </c>
      <c r="B688" t="s">
        <v>17</v>
      </c>
      <c r="C688">
        <v>54</v>
      </c>
      <c r="D688">
        <v>25</v>
      </c>
      <c r="E688" t="s">
        <v>12</v>
      </c>
      <c r="F688" t="s">
        <v>22</v>
      </c>
      <c r="G688" t="s">
        <v>23</v>
      </c>
      <c r="H688">
        <v>80.94</v>
      </c>
      <c r="I688">
        <v>2148.63</v>
      </c>
      <c r="J688" t="s">
        <v>15</v>
      </c>
    </row>
    <row r="689" spans="1:10" x14ac:dyDescent="0.35">
      <c r="A689" t="s">
        <v>711</v>
      </c>
      <c r="B689" t="s">
        <v>11</v>
      </c>
      <c r="C689">
        <v>55</v>
      </c>
      <c r="D689">
        <v>68</v>
      </c>
      <c r="E689" t="s">
        <v>21</v>
      </c>
      <c r="F689" t="s">
        <v>22</v>
      </c>
      <c r="G689" t="s">
        <v>23</v>
      </c>
      <c r="H689">
        <v>111.73</v>
      </c>
      <c r="I689">
        <v>7860.26</v>
      </c>
      <c r="J689" t="s">
        <v>15</v>
      </c>
    </row>
    <row r="690" spans="1:10" x14ac:dyDescent="0.35">
      <c r="A690" t="s">
        <v>712</v>
      </c>
      <c r="B690" t="s">
        <v>11</v>
      </c>
      <c r="C690">
        <v>47</v>
      </c>
      <c r="D690">
        <v>45</v>
      </c>
      <c r="E690" t="s">
        <v>18</v>
      </c>
      <c r="F690" t="s">
        <v>29</v>
      </c>
      <c r="G690" t="s">
        <v>14</v>
      </c>
      <c r="H690">
        <v>139.88</v>
      </c>
      <c r="I690">
        <v>6291.11</v>
      </c>
      <c r="J690" t="s">
        <v>15</v>
      </c>
    </row>
    <row r="691" spans="1:10" x14ac:dyDescent="0.35">
      <c r="A691" t="s">
        <v>713</v>
      </c>
      <c r="B691" t="s">
        <v>17</v>
      </c>
      <c r="C691">
        <v>26</v>
      </c>
      <c r="D691">
        <v>60</v>
      </c>
      <c r="E691" t="s">
        <v>12</v>
      </c>
      <c r="F691" t="s">
        <v>29</v>
      </c>
      <c r="G691" t="s">
        <v>19</v>
      </c>
      <c r="H691">
        <v>38.46</v>
      </c>
      <c r="I691">
        <v>2515.4299999999998</v>
      </c>
      <c r="J691" t="s">
        <v>15</v>
      </c>
    </row>
    <row r="692" spans="1:10" x14ac:dyDescent="0.35">
      <c r="A692" t="s">
        <v>714</v>
      </c>
      <c r="B692" t="s">
        <v>17</v>
      </c>
      <c r="C692">
        <v>51</v>
      </c>
      <c r="D692">
        <v>12</v>
      </c>
      <c r="E692" t="s">
        <v>21</v>
      </c>
      <c r="F692" t="s">
        <v>13</v>
      </c>
      <c r="G692" t="s">
        <v>23</v>
      </c>
      <c r="H692">
        <v>59.55</v>
      </c>
      <c r="I692">
        <v>686.01</v>
      </c>
      <c r="J692" t="s">
        <v>15</v>
      </c>
    </row>
    <row r="693" spans="1:10" x14ac:dyDescent="0.35">
      <c r="A693" t="s">
        <v>715</v>
      </c>
      <c r="B693" t="s">
        <v>17</v>
      </c>
      <c r="C693">
        <v>70</v>
      </c>
      <c r="D693">
        <v>32</v>
      </c>
      <c r="E693" t="s">
        <v>12</v>
      </c>
      <c r="F693" t="s">
        <v>22</v>
      </c>
      <c r="G693" t="s">
        <v>23</v>
      </c>
      <c r="H693">
        <v>38.1</v>
      </c>
      <c r="I693">
        <v>1101.95</v>
      </c>
      <c r="J693" t="s">
        <v>27</v>
      </c>
    </row>
    <row r="694" spans="1:10" x14ac:dyDescent="0.35">
      <c r="A694" t="s">
        <v>716</v>
      </c>
      <c r="B694" t="s">
        <v>11</v>
      </c>
      <c r="C694">
        <v>61</v>
      </c>
      <c r="D694">
        <v>13</v>
      </c>
      <c r="E694" t="s">
        <v>21</v>
      </c>
      <c r="F694" t="s">
        <v>33</v>
      </c>
      <c r="G694" t="s">
        <v>23</v>
      </c>
      <c r="H694">
        <v>99.56</v>
      </c>
      <c r="I694">
        <v>1276.68</v>
      </c>
      <c r="J694" t="s">
        <v>15</v>
      </c>
    </row>
    <row r="695" spans="1:10" x14ac:dyDescent="0.35">
      <c r="A695" t="s">
        <v>717</v>
      </c>
      <c r="B695" t="s">
        <v>17</v>
      </c>
      <c r="C695">
        <v>52</v>
      </c>
      <c r="D695">
        <v>31</v>
      </c>
      <c r="E695" t="s">
        <v>12</v>
      </c>
      <c r="F695" t="s">
        <v>29</v>
      </c>
      <c r="G695" t="s">
        <v>23</v>
      </c>
      <c r="H695">
        <v>59.82</v>
      </c>
      <c r="I695">
        <v>1681.22</v>
      </c>
      <c r="J695" t="s">
        <v>15</v>
      </c>
    </row>
    <row r="696" spans="1:10" x14ac:dyDescent="0.35">
      <c r="A696" t="s">
        <v>718</v>
      </c>
      <c r="B696" t="s">
        <v>17</v>
      </c>
      <c r="C696">
        <v>69</v>
      </c>
      <c r="D696">
        <v>20</v>
      </c>
      <c r="E696" t="s">
        <v>12</v>
      </c>
      <c r="F696" t="s">
        <v>33</v>
      </c>
      <c r="G696" t="s">
        <v>23</v>
      </c>
      <c r="H696">
        <v>62.39</v>
      </c>
      <c r="I696">
        <v>1361.08</v>
      </c>
      <c r="J696" t="s">
        <v>15</v>
      </c>
    </row>
    <row r="697" spans="1:10" x14ac:dyDescent="0.35">
      <c r="A697" t="s">
        <v>719</v>
      </c>
      <c r="B697" t="s">
        <v>17</v>
      </c>
      <c r="C697">
        <v>39</v>
      </c>
      <c r="D697">
        <v>18</v>
      </c>
      <c r="E697" t="s">
        <v>21</v>
      </c>
      <c r="F697" t="s">
        <v>22</v>
      </c>
      <c r="G697" t="s">
        <v>14</v>
      </c>
      <c r="H697">
        <v>29.22</v>
      </c>
      <c r="I697">
        <v>495.45</v>
      </c>
      <c r="J697" t="s">
        <v>15</v>
      </c>
    </row>
    <row r="698" spans="1:10" x14ac:dyDescent="0.35">
      <c r="A698" t="s">
        <v>720</v>
      </c>
      <c r="B698" t="s">
        <v>11</v>
      </c>
      <c r="C698">
        <v>61</v>
      </c>
      <c r="D698">
        <v>60</v>
      </c>
      <c r="E698" t="s">
        <v>18</v>
      </c>
      <c r="F698" t="s">
        <v>22</v>
      </c>
      <c r="G698" t="s">
        <v>23</v>
      </c>
      <c r="H698">
        <v>65.47</v>
      </c>
      <c r="I698">
        <v>4155.1899999999996</v>
      </c>
      <c r="J698" t="s">
        <v>15</v>
      </c>
    </row>
    <row r="699" spans="1:10" x14ac:dyDescent="0.35">
      <c r="A699" t="s">
        <v>721</v>
      </c>
      <c r="B699" t="s">
        <v>17</v>
      </c>
      <c r="C699">
        <v>41</v>
      </c>
      <c r="D699">
        <v>63</v>
      </c>
      <c r="E699" t="s">
        <v>21</v>
      </c>
      <c r="F699" t="s">
        <v>29</v>
      </c>
      <c r="G699" t="s">
        <v>14</v>
      </c>
      <c r="H699">
        <v>132.12</v>
      </c>
      <c r="I699">
        <v>8780.64</v>
      </c>
      <c r="J699" t="s">
        <v>27</v>
      </c>
    </row>
    <row r="700" spans="1:10" x14ac:dyDescent="0.35">
      <c r="A700" t="s">
        <v>722</v>
      </c>
      <c r="B700" t="s">
        <v>17</v>
      </c>
      <c r="C700">
        <v>34</v>
      </c>
      <c r="D700">
        <v>6</v>
      </c>
      <c r="E700" t="s">
        <v>12</v>
      </c>
      <c r="F700" t="s">
        <v>29</v>
      </c>
      <c r="G700" t="s">
        <v>14</v>
      </c>
      <c r="H700">
        <v>50.3</v>
      </c>
      <c r="I700">
        <v>284.76</v>
      </c>
      <c r="J700" t="s">
        <v>27</v>
      </c>
    </row>
    <row r="701" spans="1:10" x14ac:dyDescent="0.35">
      <c r="A701" t="s">
        <v>723</v>
      </c>
      <c r="B701" t="s">
        <v>11</v>
      </c>
      <c r="C701">
        <v>27</v>
      </c>
      <c r="D701">
        <v>32</v>
      </c>
      <c r="E701" t="s">
        <v>12</v>
      </c>
      <c r="F701" t="s">
        <v>13</v>
      </c>
      <c r="G701" t="s">
        <v>19</v>
      </c>
      <c r="H701">
        <v>110.37</v>
      </c>
      <c r="I701">
        <v>3617.47</v>
      </c>
      <c r="J701" t="s">
        <v>15</v>
      </c>
    </row>
    <row r="702" spans="1:10" x14ac:dyDescent="0.35">
      <c r="A702" t="s">
        <v>724</v>
      </c>
      <c r="B702" t="s">
        <v>17</v>
      </c>
      <c r="C702">
        <v>47</v>
      </c>
      <c r="D702">
        <v>43</v>
      </c>
      <c r="E702" t="s">
        <v>21</v>
      </c>
      <c r="F702" t="s">
        <v>22</v>
      </c>
      <c r="G702" t="s">
        <v>14</v>
      </c>
      <c r="H702">
        <v>101.85</v>
      </c>
      <c r="I702">
        <v>3983.71</v>
      </c>
      <c r="J702" t="s">
        <v>15</v>
      </c>
    </row>
    <row r="703" spans="1:10" x14ac:dyDescent="0.35">
      <c r="A703" t="s">
        <v>725</v>
      </c>
      <c r="B703" t="s">
        <v>17</v>
      </c>
      <c r="C703">
        <v>63</v>
      </c>
      <c r="D703">
        <v>2</v>
      </c>
      <c r="E703" t="s">
        <v>12</v>
      </c>
      <c r="F703" t="s">
        <v>29</v>
      </c>
      <c r="G703" t="s">
        <v>23</v>
      </c>
      <c r="H703">
        <v>132.25</v>
      </c>
      <c r="I703">
        <v>263.63</v>
      </c>
      <c r="J703" t="s">
        <v>27</v>
      </c>
    </row>
    <row r="704" spans="1:10" x14ac:dyDescent="0.35">
      <c r="A704" t="s">
        <v>726</v>
      </c>
      <c r="B704" t="s">
        <v>11</v>
      </c>
      <c r="C704">
        <v>40</v>
      </c>
      <c r="D704">
        <v>60</v>
      </c>
      <c r="E704" t="s">
        <v>18</v>
      </c>
      <c r="F704" t="s">
        <v>13</v>
      </c>
      <c r="G704" t="s">
        <v>14</v>
      </c>
      <c r="H704">
        <v>37.200000000000003</v>
      </c>
      <c r="I704">
        <v>2015.34</v>
      </c>
      <c r="J704" t="s">
        <v>15</v>
      </c>
    </row>
    <row r="705" spans="1:10" x14ac:dyDescent="0.35">
      <c r="A705" t="s">
        <v>727</v>
      </c>
      <c r="B705" t="s">
        <v>17</v>
      </c>
      <c r="C705">
        <v>49</v>
      </c>
      <c r="D705">
        <v>23</v>
      </c>
      <c r="E705" t="s">
        <v>18</v>
      </c>
      <c r="F705" t="s">
        <v>33</v>
      </c>
      <c r="G705" t="s">
        <v>14</v>
      </c>
      <c r="H705">
        <v>147.09</v>
      </c>
      <c r="I705">
        <v>3668.02</v>
      </c>
      <c r="J705" t="s">
        <v>15</v>
      </c>
    </row>
    <row r="706" spans="1:10" x14ac:dyDescent="0.35">
      <c r="A706" t="s">
        <v>728</v>
      </c>
      <c r="B706" t="s">
        <v>11</v>
      </c>
      <c r="C706">
        <v>34</v>
      </c>
      <c r="D706">
        <v>31</v>
      </c>
      <c r="E706" t="s">
        <v>21</v>
      </c>
      <c r="F706" t="s">
        <v>33</v>
      </c>
      <c r="G706" t="s">
        <v>14</v>
      </c>
      <c r="H706">
        <v>95.74</v>
      </c>
      <c r="I706">
        <v>3250.54</v>
      </c>
      <c r="J706" t="s">
        <v>15</v>
      </c>
    </row>
    <row r="707" spans="1:10" x14ac:dyDescent="0.35">
      <c r="A707" t="s">
        <v>729</v>
      </c>
      <c r="B707" t="s">
        <v>11</v>
      </c>
      <c r="C707">
        <v>67</v>
      </c>
      <c r="D707">
        <v>5</v>
      </c>
      <c r="E707" t="s">
        <v>18</v>
      </c>
      <c r="F707" t="s">
        <v>33</v>
      </c>
      <c r="G707" t="s">
        <v>23</v>
      </c>
      <c r="H707">
        <v>149.41</v>
      </c>
      <c r="I707">
        <v>705.56</v>
      </c>
      <c r="J707" t="s">
        <v>27</v>
      </c>
    </row>
    <row r="708" spans="1:10" x14ac:dyDescent="0.35">
      <c r="A708" t="s">
        <v>730</v>
      </c>
      <c r="B708" t="s">
        <v>17</v>
      </c>
      <c r="C708">
        <v>68</v>
      </c>
      <c r="D708">
        <v>34</v>
      </c>
      <c r="E708" t="s">
        <v>12</v>
      </c>
      <c r="F708" t="s">
        <v>13</v>
      </c>
      <c r="G708" t="s">
        <v>23</v>
      </c>
      <c r="H708">
        <v>138.5</v>
      </c>
      <c r="I708">
        <v>4434.09</v>
      </c>
      <c r="J708" t="s">
        <v>15</v>
      </c>
    </row>
    <row r="709" spans="1:10" x14ac:dyDescent="0.35">
      <c r="A709" t="s">
        <v>731</v>
      </c>
      <c r="B709" t="s">
        <v>17</v>
      </c>
      <c r="C709">
        <v>34</v>
      </c>
      <c r="D709">
        <v>10</v>
      </c>
      <c r="E709" t="s">
        <v>21</v>
      </c>
      <c r="F709" t="s">
        <v>29</v>
      </c>
      <c r="G709" t="s">
        <v>14</v>
      </c>
      <c r="H709">
        <v>48.8</v>
      </c>
      <c r="I709">
        <v>512.76</v>
      </c>
      <c r="J709" t="s">
        <v>27</v>
      </c>
    </row>
    <row r="710" spans="1:10" x14ac:dyDescent="0.35">
      <c r="A710" t="s">
        <v>732</v>
      </c>
      <c r="B710" t="s">
        <v>17</v>
      </c>
      <c r="C710">
        <v>31</v>
      </c>
      <c r="D710">
        <v>2</v>
      </c>
      <c r="E710" t="s">
        <v>12</v>
      </c>
      <c r="F710" t="s">
        <v>22</v>
      </c>
      <c r="G710" t="s">
        <v>14</v>
      </c>
      <c r="H710">
        <v>27.3</v>
      </c>
      <c r="I710">
        <v>51.91</v>
      </c>
      <c r="J710" t="s">
        <v>15</v>
      </c>
    </row>
    <row r="711" spans="1:10" x14ac:dyDescent="0.35">
      <c r="A711" t="s">
        <v>733</v>
      </c>
      <c r="B711" t="s">
        <v>17</v>
      </c>
      <c r="C711">
        <v>26</v>
      </c>
      <c r="D711">
        <v>11</v>
      </c>
      <c r="E711" t="s">
        <v>18</v>
      </c>
      <c r="F711" t="s">
        <v>13</v>
      </c>
      <c r="G711" t="s">
        <v>19</v>
      </c>
      <c r="H711">
        <v>53.23</v>
      </c>
      <c r="I711">
        <v>631.79999999999995</v>
      </c>
      <c r="J711" t="s">
        <v>15</v>
      </c>
    </row>
    <row r="712" spans="1:10" x14ac:dyDescent="0.35">
      <c r="A712" t="s">
        <v>734</v>
      </c>
      <c r="B712" t="s">
        <v>11</v>
      </c>
      <c r="C712">
        <v>57</v>
      </c>
      <c r="D712">
        <v>50</v>
      </c>
      <c r="E712" t="s">
        <v>12</v>
      </c>
      <c r="F712" t="s">
        <v>29</v>
      </c>
      <c r="G712" t="s">
        <v>23</v>
      </c>
      <c r="H712">
        <v>88.58</v>
      </c>
      <c r="I712">
        <v>4494.49</v>
      </c>
      <c r="J712" t="s">
        <v>15</v>
      </c>
    </row>
    <row r="713" spans="1:10" x14ac:dyDescent="0.35">
      <c r="A713" t="s">
        <v>735</v>
      </c>
      <c r="B713" t="s">
        <v>17</v>
      </c>
      <c r="C713">
        <v>19</v>
      </c>
      <c r="D713">
        <v>31</v>
      </c>
      <c r="E713" t="s">
        <v>21</v>
      </c>
      <c r="F713" t="s">
        <v>29</v>
      </c>
      <c r="G713" t="s">
        <v>19</v>
      </c>
      <c r="H713">
        <v>42.31</v>
      </c>
      <c r="I713">
        <v>1272.47</v>
      </c>
      <c r="J713" t="s">
        <v>15</v>
      </c>
    </row>
    <row r="714" spans="1:10" x14ac:dyDescent="0.35">
      <c r="A714" t="s">
        <v>736</v>
      </c>
      <c r="B714" t="s">
        <v>11</v>
      </c>
      <c r="C714">
        <v>62</v>
      </c>
      <c r="D714">
        <v>56</v>
      </c>
      <c r="E714" t="s">
        <v>18</v>
      </c>
      <c r="F714" t="s">
        <v>13</v>
      </c>
      <c r="G714" t="s">
        <v>23</v>
      </c>
      <c r="H714">
        <v>41.77</v>
      </c>
      <c r="I714">
        <v>2494.7600000000002</v>
      </c>
      <c r="J714" t="s">
        <v>15</v>
      </c>
    </row>
    <row r="715" spans="1:10" x14ac:dyDescent="0.35">
      <c r="A715" t="s">
        <v>737</v>
      </c>
      <c r="B715" t="s">
        <v>17</v>
      </c>
      <c r="C715">
        <v>42</v>
      </c>
      <c r="D715">
        <v>9</v>
      </c>
      <c r="E715" t="s">
        <v>12</v>
      </c>
      <c r="F715" t="s">
        <v>29</v>
      </c>
      <c r="G715" t="s">
        <v>14</v>
      </c>
      <c r="H715">
        <v>80.14</v>
      </c>
      <c r="I715">
        <v>720.31</v>
      </c>
      <c r="J715" t="s">
        <v>27</v>
      </c>
    </row>
    <row r="716" spans="1:10" x14ac:dyDescent="0.35">
      <c r="A716" t="s">
        <v>738</v>
      </c>
      <c r="B716" t="s">
        <v>17</v>
      </c>
      <c r="C716">
        <v>56</v>
      </c>
      <c r="D716">
        <v>21</v>
      </c>
      <c r="E716" t="s">
        <v>12</v>
      </c>
      <c r="F716" t="s">
        <v>29</v>
      </c>
      <c r="G716" t="s">
        <v>23</v>
      </c>
      <c r="H716">
        <v>24.32</v>
      </c>
      <c r="I716">
        <v>552.77</v>
      </c>
      <c r="J716" t="s">
        <v>15</v>
      </c>
    </row>
    <row r="717" spans="1:10" x14ac:dyDescent="0.35">
      <c r="A717" t="s">
        <v>739</v>
      </c>
      <c r="B717" t="s">
        <v>17</v>
      </c>
      <c r="C717">
        <v>26</v>
      </c>
      <c r="D717">
        <v>28</v>
      </c>
      <c r="E717" t="s">
        <v>21</v>
      </c>
      <c r="F717" t="s">
        <v>29</v>
      </c>
      <c r="G717" t="s">
        <v>19</v>
      </c>
      <c r="H717">
        <v>35.85</v>
      </c>
      <c r="I717">
        <v>1089.73</v>
      </c>
      <c r="J717" t="s">
        <v>15</v>
      </c>
    </row>
    <row r="718" spans="1:10" x14ac:dyDescent="0.35">
      <c r="A718" t="s">
        <v>740</v>
      </c>
      <c r="B718" t="s">
        <v>11</v>
      </c>
      <c r="C718">
        <v>39</v>
      </c>
      <c r="D718">
        <v>62</v>
      </c>
      <c r="E718" t="s">
        <v>12</v>
      </c>
      <c r="F718" t="s">
        <v>29</v>
      </c>
      <c r="G718" t="s">
        <v>14</v>
      </c>
      <c r="H718">
        <v>74.06</v>
      </c>
      <c r="I718">
        <v>4284.46</v>
      </c>
      <c r="J718" t="s">
        <v>15</v>
      </c>
    </row>
    <row r="719" spans="1:10" x14ac:dyDescent="0.35">
      <c r="A719" t="s">
        <v>741</v>
      </c>
      <c r="B719" t="s">
        <v>17</v>
      </c>
      <c r="C719">
        <v>60</v>
      </c>
      <c r="D719">
        <v>7</v>
      </c>
      <c r="E719" t="s">
        <v>12</v>
      </c>
      <c r="F719" t="s">
        <v>22</v>
      </c>
      <c r="G719" t="s">
        <v>23</v>
      </c>
      <c r="H719">
        <v>28.21</v>
      </c>
      <c r="I719">
        <v>177.81</v>
      </c>
      <c r="J719" t="s">
        <v>27</v>
      </c>
    </row>
    <row r="720" spans="1:10" x14ac:dyDescent="0.35">
      <c r="A720" t="s">
        <v>742</v>
      </c>
      <c r="B720" t="s">
        <v>17</v>
      </c>
      <c r="C720">
        <v>63</v>
      </c>
      <c r="D720">
        <v>16</v>
      </c>
      <c r="E720" t="s">
        <v>12</v>
      </c>
      <c r="F720" t="s">
        <v>13</v>
      </c>
      <c r="G720" t="s">
        <v>23</v>
      </c>
      <c r="H720">
        <v>71.58</v>
      </c>
      <c r="I720">
        <v>1256.1300000000001</v>
      </c>
      <c r="J720" t="s">
        <v>15</v>
      </c>
    </row>
    <row r="721" spans="1:10" x14ac:dyDescent="0.35">
      <c r="A721" t="s">
        <v>743</v>
      </c>
      <c r="B721" t="s">
        <v>17</v>
      </c>
      <c r="C721">
        <v>21</v>
      </c>
      <c r="D721">
        <v>4</v>
      </c>
      <c r="E721" t="s">
        <v>12</v>
      </c>
      <c r="F721" t="s">
        <v>22</v>
      </c>
      <c r="G721" t="s">
        <v>19</v>
      </c>
      <c r="H721">
        <v>81.62</v>
      </c>
      <c r="I721">
        <v>353</v>
      </c>
      <c r="J721" t="s">
        <v>27</v>
      </c>
    </row>
    <row r="722" spans="1:10" x14ac:dyDescent="0.35">
      <c r="A722" t="s">
        <v>744</v>
      </c>
      <c r="B722" t="s">
        <v>17</v>
      </c>
      <c r="C722">
        <v>43</v>
      </c>
      <c r="D722">
        <v>4</v>
      </c>
      <c r="E722" t="s">
        <v>18</v>
      </c>
      <c r="F722" t="s">
        <v>29</v>
      </c>
      <c r="G722" t="s">
        <v>14</v>
      </c>
      <c r="H722">
        <v>78.66</v>
      </c>
      <c r="I722">
        <v>286.67</v>
      </c>
      <c r="J722" t="s">
        <v>27</v>
      </c>
    </row>
    <row r="723" spans="1:10" x14ac:dyDescent="0.35">
      <c r="A723" t="s">
        <v>745</v>
      </c>
      <c r="B723" t="s">
        <v>11</v>
      </c>
      <c r="C723">
        <v>46</v>
      </c>
      <c r="D723">
        <v>40</v>
      </c>
      <c r="E723" t="s">
        <v>21</v>
      </c>
      <c r="F723" t="s">
        <v>29</v>
      </c>
      <c r="G723" t="s">
        <v>14</v>
      </c>
      <c r="H723">
        <v>132.99</v>
      </c>
      <c r="I723">
        <v>5673.92</v>
      </c>
      <c r="J723" t="s">
        <v>27</v>
      </c>
    </row>
    <row r="724" spans="1:10" x14ac:dyDescent="0.35">
      <c r="A724" t="s">
        <v>746</v>
      </c>
      <c r="B724" t="s">
        <v>17</v>
      </c>
      <c r="C724">
        <v>62</v>
      </c>
      <c r="D724">
        <v>17</v>
      </c>
      <c r="E724" t="s">
        <v>12</v>
      </c>
      <c r="F724" t="s">
        <v>22</v>
      </c>
      <c r="G724" t="s">
        <v>23</v>
      </c>
      <c r="H724">
        <v>88.91</v>
      </c>
      <c r="I724">
        <v>1498.71</v>
      </c>
      <c r="J724" t="s">
        <v>15</v>
      </c>
    </row>
    <row r="725" spans="1:10" x14ac:dyDescent="0.35">
      <c r="A725" t="s">
        <v>747</v>
      </c>
      <c r="B725" t="s">
        <v>11</v>
      </c>
      <c r="C725">
        <v>51</v>
      </c>
      <c r="D725">
        <v>52</v>
      </c>
      <c r="E725" t="s">
        <v>12</v>
      </c>
      <c r="F725" t="s">
        <v>13</v>
      </c>
      <c r="G725" t="s">
        <v>23</v>
      </c>
      <c r="H725">
        <v>80.84</v>
      </c>
      <c r="I725">
        <v>4001.03</v>
      </c>
      <c r="J725" t="s">
        <v>15</v>
      </c>
    </row>
    <row r="726" spans="1:10" x14ac:dyDescent="0.35">
      <c r="A726" t="s">
        <v>748</v>
      </c>
      <c r="B726" t="s">
        <v>11</v>
      </c>
      <c r="C726">
        <v>40</v>
      </c>
      <c r="D726">
        <v>52</v>
      </c>
      <c r="E726" t="s">
        <v>12</v>
      </c>
      <c r="F726" t="s">
        <v>13</v>
      </c>
      <c r="G726" t="s">
        <v>14</v>
      </c>
      <c r="H726">
        <v>73.39</v>
      </c>
      <c r="I726">
        <v>4105.3599999999997</v>
      </c>
      <c r="J726" t="s">
        <v>15</v>
      </c>
    </row>
    <row r="727" spans="1:10" x14ac:dyDescent="0.35">
      <c r="A727" t="s">
        <v>749</v>
      </c>
      <c r="B727" t="s">
        <v>11</v>
      </c>
      <c r="C727">
        <v>54</v>
      </c>
      <c r="D727">
        <v>36</v>
      </c>
      <c r="E727" t="s">
        <v>12</v>
      </c>
      <c r="F727" t="s">
        <v>13</v>
      </c>
      <c r="G727" t="s">
        <v>23</v>
      </c>
      <c r="H727">
        <v>126.29</v>
      </c>
      <c r="I727">
        <v>4270.62</v>
      </c>
      <c r="J727" t="s">
        <v>27</v>
      </c>
    </row>
    <row r="728" spans="1:10" x14ac:dyDescent="0.35">
      <c r="A728" t="s">
        <v>750</v>
      </c>
      <c r="B728" t="s">
        <v>11</v>
      </c>
      <c r="C728">
        <v>28</v>
      </c>
      <c r="D728">
        <v>38</v>
      </c>
      <c r="E728" t="s">
        <v>12</v>
      </c>
      <c r="F728" t="s">
        <v>33</v>
      </c>
      <c r="G728" t="s">
        <v>19</v>
      </c>
      <c r="H728">
        <v>136.36000000000001</v>
      </c>
      <c r="I728">
        <v>5645.23</v>
      </c>
      <c r="J728" t="s">
        <v>27</v>
      </c>
    </row>
    <row r="729" spans="1:10" x14ac:dyDescent="0.35">
      <c r="A729" t="s">
        <v>751</v>
      </c>
      <c r="B729" t="s">
        <v>11</v>
      </c>
      <c r="C729">
        <v>23</v>
      </c>
      <c r="D729">
        <v>50</v>
      </c>
      <c r="E729" t="s">
        <v>12</v>
      </c>
      <c r="F729" t="s">
        <v>29</v>
      </c>
      <c r="G729" t="s">
        <v>19</v>
      </c>
      <c r="H729">
        <v>130.91999999999999</v>
      </c>
      <c r="I729">
        <v>6160.6</v>
      </c>
      <c r="J729" t="s">
        <v>27</v>
      </c>
    </row>
    <row r="730" spans="1:10" x14ac:dyDescent="0.35">
      <c r="A730" t="s">
        <v>752</v>
      </c>
      <c r="B730" t="s">
        <v>11</v>
      </c>
      <c r="C730">
        <v>35</v>
      </c>
      <c r="D730">
        <v>63</v>
      </c>
      <c r="E730" t="s">
        <v>12</v>
      </c>
      <c r="F730" t="s">
        <v>13</v>
      </c>
      <c r="G730" t="s">
        <v>14</v>
      </c>
      <c r="H730">
        <v>107.56</v>
      </c>
      <c r="I730">
        <v>6930.35</v>
      </c>
      <c r="J730" t="s">
        <v>15</v>
      </c>
    </row>
    <row r="731" spans="1:10" x14ac:dyDescent="0.35">
      <c r="A731" t="s">
        <v>753</v>
      </c>
      <c r="B731" t="s">
        <v>17</v>
      </c>
      <c r="C731">
        <v>38</v>
      </c>
      <c r="D731">
        <v>63</v>
      </c>
      <c r="E731" t="s">
        <v>21</v>
      </c>
      <c r="F731" t="s">
        <v>22</v>
      </c>
      <c r="G731" t="s">
        <v>14</v>
      </c>
      <c r="H731">
        <v>37.86</v>
      </c>
      <c r="I731">
        <v>2253.08</v>
      </c>
      <c r="J731" t="s">
        <v>15</v>
      </c>
    </row>
    <row r="732" spans="1:10" x14ac:dyDescent="0.35">
      <c r="A732" t="s">
        <v>754</v>
      </c>
      <c r="B732" t="s">
        <v>11</v>
      </c>
      <c r="C732">
        <v>59</v>
      </c>
      <c r="D732">
        <v>62</v>
      </c>
      <c r="E732" t="s">
        <v>12</v>
      </c>
      <c r="F732" t="s">
        <v>13</v>
      </c>
      <c r="G732" t="s">
        <v>23</v>
      </c>
      <c r="H732">
        <v>55.99</v>
      </c>
      <c r="I732">
        <v>3503.09</v>
      </c>
      <c r="J732" t="s">
        <v>15</v>
      </c>
    </row>
    <row r="733" spans="1:10" x14ac:dyDescent="0.35">
      <c r="A733" t="s">
        <v>755</v>
      </c>
      <c r="B733" t="s">
        <v>11</v>
      </c>
      <c r="C733">
        <v>53</v>
      </c>
      <c r="D733">
        <v>7</v>
      </c>
      <c r="E733" t="s">
        <v>21</v>
      </c>
      <c r="F733" t="s">
        <v>29</v>
      </c>
      <c r="G733" t="s">
        <v>23</v>
      </c>
      <c r="H733">
        <v>25.99</v>
      </c>
      <c r="I733">
        <v>188.62</v>
      </c>
      <c r="J733" t="s">
        <v>27</v>
      </c>
    </row>
    <row r="734" spans="1:10" x14ac:dyDescent="0.35">
      <c r="A734" t="s">
        <v>756</v>
      </c>
      <c r="B734" t="s">
        <v>11</v>
      </c>
      <c r="C734">
        <v>58</v>
      </c>
      <c r="D734">
        <v>27</v>
      </c>
      <c r="E734" t="s">
        <v>21</v>
      </c>
      <c r="F734" t="s">
        <v>13</v>
      </c>
      <c r="G734" t="s">
        <v>23</v>
      </c>
      <c r="H734">
        <v>141.01</v>
      </c>
      <c r="I734">
        <v>3571.39</v>
      </c>
      <c r="J734" t="s">
        <v>27</v>
      </c>
    </row>
    <row r="735" spans="1:10" x14ac:dyDescent="0.35">
      <c r="A735" t="s">
        <v>757</v>
      </c>
      <c r="B735" t="s">
        <v>17</v>
      </c>
      <c r="C735">
        <v>55</v>
      </c>
      <c r="D735">
        <v>14</v>
      </c>
      <c r="E735" t="s">
        <v>21</v>
      </c>
      <c r="F735" t="s">
        <v>22</v>
      </c>
      <c r="G735" t="s">
        <v>23</v>
      </c>
      <c r="H735">
        <v>105.9</v>
      </c>
      <c r="I735">
        <v>1488.79</v>
      </c>
      <c r="J735" t="s">
        <v>27</v>
      </c>
    </row>
    <row r="736" spans="1:10" x14ac:dyDescent="0.35">
      <c r="A736" t="s">
        <v>758</v>
      </c>
      <c r="B736" t="s">
        <v>17</v>
      </c>
      <c r="C736">
        <v>51</v>
      </c>
      <c r="D736">
        <v>71</v>
      </c>
      <c r="E736" t="s">
        <v>21</v>
      </c>
      <c r="F736" t="s">
        <v>29</v>
      </c>
      <c r="G736" t="s">
        <v>23</v>
      </c>
      <c r="H736">
        <v>117.03</v>
      </c>
      <c r="I736">
        <v>8257.7099999999991</v>
      </c>
      <c r="J736" t="s">
        <v>27</v>
      </c>
    </row>
    <row r="737" spans="1:10" x14ac:dyDescent="0.35">
      <c r="A737" t="s">
        <v>759</v>
      </c>
      <c r="B737" t="s">
        <v>11</v>
      </c>
      <c r="C737">
        <v>34</v>
      </c>
      <c r="D737">
        <v>5</v>
      </c>
      <c r="E737" t="s">
        <v>12</v>
      </c>
      <c r="F737" t="s">
        <v>29</v>
      </c>
      <c r="G737" t="s">
        <v>14</v>
      </c>
      <c r="H737">
        <v>60.5</v>
      </c>
      <c r="I737">
        <v>276.55</v>
      </c>
      <c r="J737" t="s">
        <v>15</v>
      </c>
    </row>
    <row r="738" spans="1:10" x14ac:dyDescent="0.35">
      <c r="A738" t="s">
        <v>760</v>
      </c>
      <c r="B738" t="s">
        <v>17</v>
      </c>
      <c r="C738">
        <v>54</v>
      </c>
      <c r="D738">
        <v>55</v>
      </c>
      <c r="E738" t="s">
        <v>18</v>
      </c>
      <c r="F738" t="s">
        <v>29</v>
      </c>
      <c r="G738" t="s">
        <v>23</v>
      </c>
      <c r="H738">
        <v>129.93</v>
      </c>
      <c r="I738">
        <v>7601.09</v>
      </c>
      <c r="J738" t="s">
        <v>27</v>
      </c>
    </row>
    <row r="739" spans="1:10" x14ac:dyDescent="0.35">
      <c r="A739" t="s">
        <v>761</v>
      </c>
      <c r="B739" t="s">
        <v>11</v>
      </c>
      <c r="C739">
        <v>42</v>
      </c>
      <c r="D739">
        <v>2</v>
      </c>
      <c r="E739" t="s">
        <v>21</v>
      </c>
      <c r="F739" t="s">
        <v>33</v>
      </c>
      <c r="G739" t="s">
        <v>14</v>
      </c>
      <c r="H739">
        <v>53.75</v>
      </c>
      <c r="I739">
        <v>103.97</v>
      </c>
      <c r="J739" t="s">
        <v>15</v>
      </c>
    </row>
    <row r="740" spans="1:10" x14ac:dyDescent="0.35">
      <c r="A740" t="s">
        <v>762</v>
      </c>
      <c r="B740" t="s">
        <v>11</v>
      </c>
      <c r="C740">
        <v>55</v>
      </c>
      <c r="D740">
        <v>62</v>
      </c>
      <c r="E740" t="s">
        <v>12</v>
      </c>
      <c r="F740" t="s">
        <v>29</v>
      </c>
      <c r="G740" t="s">
        <v>23</v>
      </c>
      <c r="H740">
        <v>20.21</v>
      </c>
      <c r="I740">
        <v>1271.71</v>
      </c>
      <c r="J740" t="s">
        <v>15</v>
      </c>
    </row>
    <row r="741" spans="1:10" x14ac:dyDescent="0.35">
      <c r="A741" t="s">
        <v>763</v>
      </c>
      <c r="B741" t="s">
        <v>17</v>
      </c>
      <c r="C741">
        <v>29</v>
      </c>
      <c r="D741">
        <v>21</v>
      </c>
      <c r="E741" t="s">
        <v>18</v>
      </c>
      <c r="F741" t="s">
        <v>33</v>
      </c>
      <c r="G741" t="s">
        <v>19</v>
      </c>
      <c r="H741">
        <v>68.930000000000007</v>
      </c>
      <c r="I741">
        <v>1451.81</v>
      </c>
      <c r="J741" t="s">
        <v>15</v>
      </c>
    </row>
    <row r="742" spans="1:10" x14ac:dyDescent="0.35">
      <c r="A742" t="s">
        <v>764</v>
      </c>
      <c r="B742" t="s">
        <v>11</v>
      </c>
      <c r="C742">
        <v>40</v>
      </c>
      <c r="D742">
        <v>21</v>
      </c>
      <c r="E742" t="s">
        <v>21</v>
      </c>
      <c r="F742" t="s">
        <v>13</v>
      </c>
      <c r="G742" t="s">
        <v>14</v>
      </c>
      <c r="H742">
        <v>94.2</v>
      </c>
      <c r="I742">
        <v>1983.45</v>
      </c>
      <c r="J742" t="s">
        <v>15</v>
      </c>
    </row>
    <row r="743" spans="1:10" x14ac:dyDescent="0.35">
      <c r="A743" t="s">
        <v>765</v>
      </c>
      <c r="B743" t="s">
        <v>17</v>
      </c>
      <c r="C743">
        <v>70</v>
      </c>
      <c r="D743">
        <v>10</v>
      </c>
      <c r="E743" t="s">
        <v>12</v>
      </c>
      <c r="F743" t="s">
        <v>33</v>
      </c>
      <c r="G743" t="s">
        <v>23</v>
      </c>
      <c r="H743">
        <v>82.23</v>
      </c>
      <c r="I743">
        <v>757.7</v>
      </c>
      <c r="J743" t="s">
        <v>15</v>
      </c>
    </row>
    <row r="744" spans="1:10" x14ac:dyDescent="0.35">
      <c r="A744" t="s">
        <v>766</v>
      </c>
      <c r="B744" t="s">
        <v>17</v>
      </c>
      <c r="C744">
        <v>59</v>
      </c>
      <c r="D744">
        <v>58</v>
      </c>
      <c r="E744" t="s">
        <v>12</v>
      </c>
      <c r="F744" t="s">
        <v>33</v>
      </c>
      <c r="G744" t="s">
        <v>23</v>
      </c>
      <c r="H744">
        <v>132.07</v>
      </c>
      <c r="I744">
        <v>7542.83</v>
      </c>
      <c r="J744" t="s">
        <v>27</v>
      </c>
    </row>
    <row r="745" spans="1:10" x14ac:dyDescent="0.35">
      <c r="A745" t="s">
        <v>767</v>
      </c>
      <c r="B745" t="s">
        <v>11</v>
      </c>
      <c r="C745">
        <v>39</v>
      </c>
      <c r="D745">
        <v>39</v>
      </c>
      <c r="E745" t="s">
        <v>12</v>
      </c>
      <c r="F745" t="s">
        <v>13</v>
      </c>
      <c r="G745" t="s">
        <v>14</v>
      </c>
      <c r="H745">
        <v>33.700000000000003</v>
      </c>
      <c r="I745">
        <v>1301.78</v>
      </c>
      <c r="J745" t="s">
        <v>15</v>
      </c>
    </row>
    <row r="746" spans="1:10" x14ac:dyDescent="0.35">
      <c r="A746" t="s">
        <v>768</v>
      </c>
      <c r="B746" t="s">
        <v>11</v>
      </c>
      <c r="C746">
        <v>38</v>
      </c>
      <c r="D746">
        <v>5</v>
      </c>
      <c r="E746" t="s">
        <v>18</v>
      </c>
      <c r="F746" t="s">
        <v>29</v>
      </c>
      <c r="G746" t="s">
        <v>14</v>
      </c>
      <c r="H746">
        <v>92</v>
      </c>
      <c r="I746">
        <v>481.5</v>
      </c>
      <c r="J746" t="s">
        <v>15</v>
      </c>
    </row>
    <row r="747" spans="1:10" x14ac:dyDescent="0.35">
      <c r="A747" t="s">
        <v>769</v>
      </c>
      <c r="B747" t="s">
        <v>17</v>
      </c>
      <c r="C747">
        <v>44</v>
      </c>
      <c r="D747">
        <v>65</v>
      </c>
      <c r="E747" t="s">
        <v>21</v>
      </c>
      <c r="F747" t="s">
        <v>29</v>
      </c>
      <c r="G747" t="s">
        <v>14</v>
      </c>
      <c r="H747">
        <v>86.69</v>
      </c>
      <c r="I747">
        <v>6018.04</v>
      </c>
      <c r="J747" t="s">
        <v>27</v>
      </c>
    </row>
    <row r="748" spans="1:10" x14ac:dyDescent="0.35">
      <c r="A748" t="s">
        <v>770</v>
      </c>
      <c r="B748" t="s">
        <v>11</v>
      </c>
      <c r="C748">
        <v>48</v>
      </c>
      <c r="D748">
        <v>13</v>
      </c>
      <c r="E748" t="s">
        <v>18</v>
      </c>
      <c r="F748" t="s">
        <v>29</v>
      </c>
      <c r="G748" t="s">
        <v>14</v>
      </c>
      <c r="H748">
        <v>56.58</v>
      </c>
      <c r="I748">
        <v>742.16</v>
      </c>
      <c r="J748" t="s">
        <v>15</v>
      </c>
    </row>
    <row r="749" spans="1:10" x14ac:dyDescent="0.35">
      <c r="A749" t="s">
        <v>771</v>
      </c>
      <c r="B749" t="s">
        <v>11</v>
      </c>
      <c r="C749">
        <v>23</v>
      </c>
      <c r="D749">
        <v>53</v>
      </c>
      <c r="E749" t="s">
        <v>21</v>
      </c>
      <c r="F749" t="s">
        <v>22</v>
      </c>
      <c r="G749" t="s">
        <v>19</v>
      </c>
      <c r="H749">
        <v>126.89</v>
      </c>
      <c r="I749">
        <v>6169.38</v>
      </c>
      <c r="J749" t="s">
        <v>15</v>
      </c>
    </row>
    <row r="750" spans="1:10" x14ac:dyDescent="0.35">
      <c r="A750" t="s">
        <v>772</v>
      </c>
      <c r="B750" t="s">
        <v>11</v>
      </c>
      <c r="C750">
        <v>44</v>
      </c>
      <c r="D750">
        <v>45</v>
      </c>
      <c r="E750" t="s">
        <v>12</v>
      </c>
      <c r="F750" t="s">
        <v>29</v>
      </c>
      <c r="G750" t="s">
        <v>14</v>
      </c>
      <c r="H750">
        <v>117.87</v>
      </c>
      <c r="I750">
        <v>5024.99</v>
      </c>
      <c r="J750" t="s">
        <v>15</v>
      </c>
    </row>
    <row r="751" spans="1:10" x14ac:dyDescent="0.35">
      <c r="A751" t="s">
        <v>773</v>
      </c>
      <c r="B751" t="s">
        <v>17</v>
      </c>
      <c r="C751">
        <v>57</v>
      </c>
      <c r="D751">
        <v>32</v>
      </c>
      <c r="E751" t="s">
        <v>12</v>
      </c>
      <c r="F751" t="s">
        <v>29</v>
      </c>
      <c r="G751" t="s">
        <v>23</v>
      </c>
      <c r="H751">
        <v>115.27</v>
      </c>
      <c r="I751">
        <v>3441.45</v>
      </c>
      <c r="J751" t="s">
        <v>27</v>
      </c>
    </row>
    <row r="752" spans="1:10" x14ac:dyDescent="0.35">
      <c r="A752" t="s">
        <v>774</v>
      </c>
      <c r="B752" t="s">
        <v>17</v>
      </c>
      <c r="C752">
        <v>51</v>
      </c>
      <c r="D752">
        <v>36</v>
      </c>
      <c r="E752" t="s">
        <v>21</v>
      </c>
      <c r="F752" t="s">
        <v>13</v>
      </c>
      <c r="G752" t="s">
        <v>23</v>
      </c>
      <c r="H752">
        <v>133.91</v>
      </c>
      <c r="I752">
        <v>4458.83</v>
      </c>
      <c r="J752" t="s">
        <v>27</v>
      </c>
    </row>
    <row r="753" spans="1:10" x14ac:dyDescent="0.35">
      <c r="A753" t="s">
        <v>775</v>
      </c>
      <c r="B753" t="s">
        <v>11</v>
      </c>
      <c r="C753">
        <v>29</v>
      </c>
      <c r="D753">
        <v>60</v>
      </c>
      <c r="E753" t="s">
        <v>21</v>
      </c>
      <c r="F753" t="s">
        <v>33</v>
      </c>
      <c r="G753" t="s">
        <v>19</v>
      </c>
      <c r="H753">
        <v>113.96</v>
      </c>
      <c r="I753">
        <v>6654.21</v>
      </c>
      <c r="J753" t="s">
        <v>15</v>
      </c>
    </row>
    <row r="754" spans="1:10" x14ac:dyDescent="0.35">
      <c r="A754" t="s">
        <v>776</v>
      </c>
      <c r="B754" t="s">
        <v>17</v>
      </c>
      <c r="C754">
        <v>62</v>
      </c>
      <c r="D754">
        <v>11</v>
      </c>
      <c r="E754" t="s">
        <v>18</v>
      </c>
      <c r="F754" t="s">
        <v>29</v>
      </c>
      <c r="G754" t="s">
        <v>23</v>
      </c>
      <c r="H754">
        <v>50.14</v>
      </c>
      <c r="I754">
        <v>521.69000000000005</v>
      </c>
      <c r="J754" t="s">
        <v>27</v>
      </c>
    </row>
    <row r="755" spans="1:10" x14ac:dyDescent="0.35">
      <c r="A755" t="s">
        <v>777</v>
      </c>
      <c r="B755" t="s">
        <v>17</v>
      </c>
      <c r="C755">
        <v>70</v>
      </c>
      <c r="D755">
        <v>63</v>
      </c>
      <c r="E755" t="s">
        <v>12</v>
      </c>
      <c r="F755" t="s">
        <v>29</v>
      </c>
      <c r="G755" t="s">
        <v>23</v>
      </c>
      <c r="H755">
        <v>111.72</v>
      </c>
      <c r="I755">
        <v>6641.82</v>
      </c>
      <c r="J755" t="s">
        <v>15</v>
      </c>
    </row>
    <row r="756" spans="1:10" x14ac:dyDescent="0.35">
      <c r="A756" t="s">
        <v>778</v>
      </c>
      <c r="B756" t="s">
        <v>17</v>
      </c>
      <c r="C756">
        <v>24</v>
      </c>
      <c r="D756">
        <v>21</v>
      </c>
      <c r="E756" t="s">
        <v>12</v>
      </c>
      <c r="F756" t="s">
        <v>29</v>
      </c>
      <c r="G756" t="s">
        <v>19</v>
      </c>
      <c r="H756">
        <v>60</v>
      </c>
      <c r="I756">
        <v>1147.78</v>
      </c>
      <c r="J756" t="s">
        <v>15</v>
      </c>
    </row>
    <row r="757" spans="1:10" x14ac:dyDescent="0.35">
      <c r="A757" t="s">
        <v>779</v>
      </c>
      <c r="B757" t="s">
        <v>17</v>
      </c>
      <c r="C757">
        <v>27</v>
      </c>
      <c r="D757">
        <v>52</v>
      </c>
      <c r="E757" t="s">
        <v>21</v>
      </c>
      <c r="F757" t="s">
        <v>33</v>
      </c>
      <c r="G757" t="s">
        <v>19</v>
      </c>
      <c r="H757">
        <v>51.48</v>
      </c>
      <c r="I757">
        <v>2418.7199999999998</v>
      </c>
      <c r="J757" t="s">
        <v>15</v>
      </c>
    </row>
    <row r="758" spans="1:10" x14ac:dyDescent="0.35">
      <c r="A758" t="s">
        <v>780</v>
      </c>
      <c r="B758" t="s">
        <v>17</v>
      </c>
      <c r="C758">
        <v>62</v>
      </c>
      <c r="D758">
        <v>55</v>
      </c>
      <c r="E758" t="s">
        <v>21</v>
      </c>
      <c r="F758" t="s">
        <v>22</v>
      </c>
      <c r="G758" t="s">
        <v>23</v>
      </c>
      <c r="H758">
        <v>29.49</v>
      </c>
      <c r="I758">
        <v>1493.09</v>
      </c>
      <c r="J758" t="s">
        <v>15</v>
      </c>
    </row>
    <row r="759" spans="1:10" x14ac:dyDescent="0.35">
      <c r="A759" t="s">
        <v>781</v>
      </c>
      <c r="B759" t="s">
        <v>11</v>
      </c>
      <c r="C759">
        <v>34</v>
      </c>
      <c r="D759">
        <v>26</v>
      </c>
      <c r="E759" t="s">
        <v>21</v>
      </c>
      <c r="F759" t="s">
        <v>29</v>
      </c>
      <c r="G759" t="s">
        <v>14</v>
      </c>
      <c r="H759">
        <v>116.72</v>
      </c>
      <c r="I759">
        <v>2835.76</v>
      </c>
      <c r="J759" t="s">
        <v>15</v>
      </c>
    </row>
    <row r="760" spans="1:10" x14ac:dyDescent="0.35">
      <c r="A760" t="s">
        <v>782</v>
      </c>
      <c r="B760" t="s">
        <v>11</v>
      </c>
      <c r="C760">
        <v>43</v>
      </c>
      <c r="D760">
        <v>68</v>
      </c>
      <c r="E760" t="s">
        <v>21</v>
      </c>
      <c r="F760" t="s">
        <v>29</v>
      </c>
      <c r="G760" t="s">
        <v>14</v>
      </c>
      <c r="H760">
        <v>112.43</v>
      </c>
      <c r="I760">
        <v>7539.71</v>
      </c>
      <c r="J760" t="s">
        <v>27</v>
      </c>
    </row>
    <row r="761" spans="1:10" x14ac:dyDescent="0.35">
      <c r="A761" t="s">
        <v>783</v>
      </c>
      <c r="B761" t="s">
        <v>11</v>
      </c>
      <c r="C761">
        <v>38</v>
      </c>
      <c r="D761">
        <v>34</v>
      </c>
      <c r="E761" t="s">
        <v>12</v>
      </c>
      <c r="F761" t="s">
        <v>29</v>
      </c>
      <c r="G761" t="s">
        <v>14</v>
      </c>
      <c r="H761">
        <v>50.48</v>
      </c>
      <c r="I761">
        <v>1719.93</v>
      </c>
      <c r="J761" t="s">
        <v>15</v>
      </c>
    </row>
    <row r="762" spans="1:10" x14ac:dyDescent="0.35">
      <c r="A762" t="s">
        <v>784</v>
      </c>
      <c r="B762" t="s">
        <v>17</v>
      </c>
      <c r="C762">
        <v>45</v>
      </c>
      <c r="D762">
        <v>52</v>
      </c>
      <c r="E762" t="s">
        <v>21</v>
      </c>
      <c r="F762" t="s">
        <v>29</v>
      </c>
      <c r="G762" t="s">
        <v>14</v>
      </c>
      <c r="H762">
        <v>117.42</v>
      </c>
      <c r="I762">
        <v>5666.94</v>
      </c>
      <c r="J762" t="s">
        <v>15</v>
      </c>
    </row>
    <row r="763" spans="1:10" x14ac:dyDescent="0.35">
      <c r="A763" t="s">
        <v>785</v>
      </c>
      <c r="B763" t="s">
        <v>17</v>
      </c>
      <c r="C763">
        <v>63</v>
      </c>
      <c r="D763">
        <v>52</v>
      </c>
      <c r="E763" t="s">
        <v>21</v>
      </c>
      <c r="F763" t="s">
        <v>33</v>
      </c>
      <c r="G763" t="s">
        <v>23</v>
      </c>
      <c r="H763">
        <v>139.32</v>
      </c>
      <c r="I763">
        <v>7135.66</v>
      </c>
      <c r="J763" t="s">
        <v>15</v>
      </c>
    </row>
    <row r="764" spans="1:10" x14ac:dyDescent="0.35">
      <c r="A764" t="s">
        <v>786</v>
      </c>
      <c r="B764" t="s">
        <v>11</v>
      </c>
      <c r="C764">
        <v>19</v>
      </c>
      <c r="D764">
        <v>29</v>
      </c>
      <c r="E764" t="s">
        <v>18</v>
      </c>
      <c r="F764" t="s">
        <v>22</v>
      </c>
      <c r="G764" t="s">
        <v>19</v>
      </c>
      <c r="H764">
        <v>34.04</v>
      </c>
      <c r="I764">
        <v>955.92</v>
      </c>
      <c r="J764" t="s">
        <v>15</v>
      </c>
    </row>
    <row r="765" spans="1:10" x14ac:dyDescent="0.35">
      <c r="A765" t="s">
        <v>787</v>
      </c>
      <c r="B765" t="s">
        <v>17</v>
      </c>
      <c r="C765">
        <v>60</v>
      </c>
      <c r="D765">
        <v>38</v>
      </c>
      <c r="E765" t="s">
        <v>18</v>
      </c>
      <c r="F765" t="s">
        <v>13</v>
      </c>
      <c r="G765" t="s">
        <v>23</v>
      </c>
      <c r="H765">
        <v>50.24</v>
      </c>
      <c r="I765">
        <v>1788.24</v>
      </c>
      <c r="J765" t="s">
        <v>15</v>
      </c>
    </row>
    <row r="766" spans="1:10" x14ac:dyDescent="0.35">
      <c r="A766" t="s">
        <v>788</v>
      </c>
      <c r="B766" t="s">
        <v>11</v>
      </c>
      <c r="C766">
        <v>18</v>
      </c>
      <c r="D766">
        <v>42</v>
      </c>
      <c r="E766" t="s">
        <v>12</v>
      </c>
      <c r="F766" t="s">
        <v>33</v>
      </c>
      <c r="G766" t="s">
        <v>19</v>
      </c>
      <c r="H766">
        <v>117.53</v>
      </c>
      <c r="I766">
        <v>4449.3900000000003</v>
      </c>
      <c r="J766" t="s">
        <v>15</v>
      </c>
    </row>
    <row r="767" spans="1:10" x14ac:dyDescent="0.35">
      <c r="A767" t="s">
        <v>789</v>
      </c>
      <c r="B767" t="s">
        <v>11</v>
      </c>
      <c r="C767">
        <v>68</v>
      </c>
      <c r="D767">
        <v>21</v>
      </c>
      <c r="E767" t="s">
        <v>12</v>
      </c>
      <c r="F767" t="s">
        <v>29</v>
      </c>
      <c r="G767" t="s">
        <v>23</v>
      </c>
      <c r="H767">
        <v>55.69</v>
      </c>
      <c r="I767">
        <v>1161.78</v>
      </c>
      <c r="J767" t="s">
        <v>15</v>
      </c>
    </row>
    <row r="768" spans="1:10" x14ac:dyDescent="0.35">
      <c r="A768" t="s">
        <v>790</v>
      </c>
      <c r="B768" t="s">
        <v>11</v>
      </c>
      <c r="C768">
        <v>70</v>
      </c>
      <c r="D768">
        <v>42</v>
      </c>
      <c r="E768" t="s">
        <v>18</v>
      </c>
      <c r="F768" t="s">
        <v>22</v>
      </c>
      <c r="G768" t="s">
        <v>23</v>
      </c>
      <c r="H768">
        <v>101.21</v>
      </c>
      <c r="I768">
        <v>4408.6499999999996</v>
      </c>
      <c r="J768" t="s">
        <v>15</v>
      </c>
    </row>
    <row r="769" spans="1:10" x14ac:dyDescent="0.35">
      <c r="A769" t="s">
        <v>791</v>
      </c>
      <c r="B769" t="s">
        <v>17</v>
      </c>
      <c r="C769">
        <v>53</v>
      </c>
      <c r="D769">
        <v>13</v>
      </c>
      <c r="E769" t="s">
        <v>12</v>
      </c>
      <c r="F769" t="s">
        <v>33</v>
      </c>
      <c r="G769" t="s">
        <v>23</v>
      </c>
      <c r="H769">
        <v>30.55</v>
      </c>
      <c r="I769">
        <v>375.41</v>
      </c>
      <c r="J769" t="s">
        <v>15</v>
      </c>
    </row>
    <row r="770" spans="1:10" x14ac:dyDescent="0.35">
      <c r="A770" t="s">
        <v>792</v>
      </c>
      <c r="B770" t="s">
        <v>17</v>
      </c>
      <c r="C770">
        <v>68</v>
      </c>
      <c r="D770">
        <v>64</v>
      </c>
      <c r="E770" t="s">
        <v>18</v>
      </c>
      <c r="F770" t="s">
        <v>13</v>
      </c>
      <c r="G770" t="s">
        <v>23</v>
      </c>
      <c r="H770">
        <v>78.790000000000006</v>
      </c>
      <c r="I770">
        <v>4671.2299999999996</v>
      </c>
      <c r="J770" t="s">
        <v>15</v>
      </c>
    </row>
    <row r="771" spans="1:10" x14ac:dyDescent="0.35">
      <c r="A771" t="s">
        <v>793</v>
      </c>
      <c r="B771" t="s">
        <v>11</v>
      </c>
      <c r="C771">
        <v>43</v>
      </c>
      <c r="D771">
        <v>17</v>
      </c>
      <c r="E771" t="s">
        <v>12</v>
      </c>
      <c r="F771" t="s">
        <v>22</v>
      </c>
      <c r="G771" t="s">
        <v>14</v>
      </c>
      <c r="H771">
        <v>116.08</v>
      </c>
      <c r="I771">
        <v>2126.11</v>
      </c>
      <c r="J771" t="s">
        <v>27</v>
      </c>
    </row>
    <row r="772" spans="1:10" x14ac:dyDescent="0.35">
      <c r="A772" t="s">
        <v>794</v>
      </c>
      <c r="B772" t="s">
        <v>11</v>
      </c>
      <c r="C772">
        <v>46</v>
      </c>
      <c r="D772">
        <v>9</v>
      </c>
      <c r="E772" t="s">
        <v>21</v>
      </c>
      <c r="F772" t="s">
        <v>29</v>
      </c>
      <c r="G772" t="s">
        <v>14</v>
      </c>
      <c r="H772">
        <v>109.25</v>
      </c>
      <c r="I772">
        <v>939.01</v>
      </c>
      <c r="J772" t="s">
        <v>15</v>
      </c>
    </row>
    <row r="773" spans="1:10" x14ac:dyDescent="0.35">
      <c r="A773" t="s">
        <v>795</v>
      </c>
      <c r="B773" t="s">
        <v>11</v>
      </c>
      <c r="C773">
        <v>38</v>
      </c>
      <c r="D773">
        <v>41</v>
      </c>
      <c r="E773" t="s">
        <v>18</v>
      </c>
      <c r="F773" t="s">
        <v>29</v>
      </c>
      <c r="G773" t="s">
        <v>14</v>
      </c>
      <c r="H773">
        <v>125.96</v>
      </c>
      <c r="I773">
        <v>4878.8900000000003</v>
      </c>
      <c r="J773" t="s">
        <v>15</v>
      </c>
    </row>
    <row r="774" spans="1:10" x14ac:dyDescent="0.35">
      <c r="A774" t="s">
        <v>796</v>
      </c>
      <c r="B774" t="s">
        <v>11</v>
      </c>
      <c r="C774">
        <v>28</v>
      </c>
      <c r="D774">
        <v>1</v>
      </c>
      <c r="E774" t="s">
        <v>18</v>
      </c>
      <c r="F774" t="s">
        <v>29</v>
      </c>
      <c r="G774" t="s">
        <v>19</v>
      </c>
      <c r="H774">
        <v>134.07</v>
      </c>
      <c r="I774">
        <v>143.65</v>
      </c>
      <c r="J774" t="s">
        <v>27</v>
      </c>
    </row>
    <row r="775" spans="1:10" x14ac:dyDescent="0.35">
      <c r="A775" t="s">
        <v>797</v>
      </c>
      <c r="B775" t="s">
        <v>17</v>
      </c>
      <c r="C775">
        <v>57</v>
      </c>
      <c r="D775">
        <v>2</v>
      </c>
      <c r="E775" t="s">
        <v>12</v>
      </c>
      <c r="F775" t="s">
        <v>13</v>
      </c>
      <c r="G775" t="s">
        <v>23</v>
      </c>
      <c r="H775">
        <v>120.51</v>
      </c>
      <c r="I775">
        <v>256.31</v>
      </c>
      <c r="J775" t="s">
        <v>15</v>
      </c>
    </row>
    <row r="776" spans="1:10" x14ac:dyDescent="0.35">
      <c r="A776" t="s">
        <v>798</v>
      </c>
      <c r="B776" t="s">
        <v>17</v>
      </c>
      <c r="C776">
        <v>28</v>
      </c>
      <c r="D776">
        <v>60</v>
      </c>
      <c r="E776" t="s">
        <v>21</v>
      </c>
      <c r="F776" t="s">
        <v>22</v>
      </c>
      <c r="G776" t="s">
        <v>19</v>
      </c>
      <c r="H776">
        <v>107.31</v>
      </c>
      <c r="I776">
        <v>6372.08</v>
      </c>
      <c r="J776" t="s">
        <v>15</v>
      </c>
    </row>
    <row r="777" spans="1:10" x14ac:dyDescent="0.35">
      <c r="A777" t="s">
        <v>799</v>
      </c>
      <c r="B777" t="s">
        <v>11</v>
      </c>
      <c r="C777">
        <v>53</v>
      </c>
      <c r="D777">
        <v>48</v>
      </c>
      <c r="E777" t="s">
        <v>12</v>
      </c>
      <c r="F777" t="s">
        <v>33</v>
      </c>
      <c r="G777" t="s">
        <v>23</v>
      </c>
      <c r="H777">
        <v>24.12</v>
      </c>
      <c r="I777">
        <v>1155.27</v>
      </c>
      <c r="J777" t="s">
        <v>27</v>
      </c>
    </row>
    <row r="778" spans="1:10" x14ac:dyDescent="0.35">
      <c r="A778" t="s">
        <v>800</v>
      </c>
      <c r="B778" t="s">
        <v>11</v>
      </c>
      <c r="C778">
        <v>66</v>
      </c>
      <c r="D778">
        <v>29</v>
      </c>
      <c r="E778" t="s">
        <v>12</v>
      </c>
      <c r="F778" t="s">
        <v>22</v>
      </c>
      <c r="G778" t="s">
        <v>23</v>
      </c>
      <c r="H778">
        <v>89.55</v>
      </c>
      <c r="I778">
        <v>2450.35</v>
      </c>
      <c r="J778" t="s">
        <v>15</v>
      </c>
    </row>
    <row r="779" spans="1:10" x14ac:dyDescent="0.35">
      <c r="A779" t="s">
        <v>801</v>
      </c>
      <c r="B779" t="s">
        <v>17</v>
      </c>
      <c r="C779">
        <v>56</v>
      </c>
      <c r="D779">
        <v>10</v>
      </c>
      <c r="E779" t="s">
        <v>21</v>
      </c>
      <c r="F779" t="s">
        <v>33</v>
      </c>
      <c r="G779" t="s">
        <v>23</v>
      </c>
      <c r="H779">
        <v>24.9</v>
      </c>
      <c r="I779">
        <v>228</v>
      </c>
      <c r="J779" t="s">
        <v>15</v>
      </c>
    </row>
    <row r="780" spans="1:10" x14ac:dyDescent="0.35">
      <c r="A780" t="s">
        <v>802</v>
      </c>
      <c r="B780" t="s">
        <v>17</v>
      </c>
      <c r="C780">
        <v>57</v>
      </c>
      <c r="D780">
        <v>58</v>
      </c>
      <c r="E780" t="s">
        <v>21</v>
      </c>
      <c r="F780" t="s">
        <v>33</v>
      </c>
      <c r="G780" t="s">
        <v>23</v>
      </c>
      <c r="H780">
        <v>125.05</v>
      </c>
      <c r="I780">
        <v>7359.42</v>
      </c>
      <c r="J780" t="s">
        <v>27</v>
      </c>
    </row>
    <row r="781" spans="1:10" x14ac:dyDescent="0.35">
      <c r="A781" t="s">
        <v>803</v>
      </c>
      <c r="B781" t="s">
        <v>11</v>
      </c>
      <c r="C781">
        <v>52</v>
      </c>
      <c r="D781">
        <v>60</v>
      </c>
      <c r="E781" t="s">
        <v>18</v>
      </c>
      <c r="F781" t="s">
        <v>29</v>
      </c>
      <c r="G781" t="s">
        <v>23</v>
      </c>
      <c r="H781">
        <v>61.69</v>
      </c>
      <c r="I781">
        <v>3404.06</v>
      </c>
      <c r="J781" t="s">
        <v>15</v>
      </c>
    </row>
    <row r="782" spans="1:10" x14ac:dyDescent="0.35">
      <c r="A782" t="s">
        <v>804</v>
      </c>
      <c r="B782" t="s">
        <v>11</v>
      </c>
      <c r="C782">
        <v>51</v>
      </c>
      <c r="D782">
        <v>21</v>
      </c>
      <c r="E782" t="s">
        <v>12</v>
      </c>
      <c r="F782" t="s">
        <v>13</v>
      </c>
      <c r="G782" t="s">
        <v>23</v>
      </c>
      <c r="H782">
        <v>93.12</v>
      </c>
      <c r="I782">
        <v>1935.68</v>
      </c>
      <c r="J782" t="s">
        <v>15</v>
      </c>
    </row>
    <row r="783" spans="1:10" x14ac:dyDescent="0.35">
      <c r="A783" t="s">
        <v>805</v>
      </c>
      <c r="B783" t="s">
        <v>11</v>
      </c>
      <c r="C783">
        <v>64</v>
      </c>
      <c r="D783">
        <v>28</v>
      </c>
      <c r="E783" t="s">
        <v>12</v>
      </c>
      <c r="F783" t="s">
        <v>29</v>
      </c>
      <c r="G783" t="s">
        <v>23</v>
      </c>
      <c r="H783">
        <v>56.33</v>
      </c>
      <c r="I783">
        <v>1716.19</v>
      </c>
      <c r="J783" t="s">
        <v>27</v>
      </c>
    </row>
    <row r="784" spans="1:10" x14ac:dyDescent="0.35">
      <c r="A784" t="s">
        <v>806</v>
      </c>
      <c r="B784" t="s">
        <v>17</v>
      </c>
      <c r="C784">
        <v>41</v>
      </c>
      <c r="D784">
        <v>34</v>
      </c>
      <c r="E784" t="s">
        <v>12</v>
      </c>
      <c r="F784" t="s">
        <v>22</v>
      </c>
      <c r="G784" t="s">
        <v>14</v>
      </c>
      <c r="H784">
        <v>121.73</v>
      </c>
      <c r="I784">
        <v>4513.66</v>
      </c>
      <c r="J784" t="s">
        <v>15</v>
      </c>
    </row>
    <row r="785" spans="1:10" x14ac:dyDescent="0.35">
      <c r="A785" t="s">
        <v>807</v>
      </c>
      <c r="B785" t="s">
        <v>17</v>
      </c>
      <c r="C785">
        <v>39</v>
      </c>
      <c r="D785">
        <v>8</v>
      </c>
      <c r="E785" t="s">
        <v>12</v>
      </c>
      <c r="F785" t="s">
        <v>33</v>
      </c>
      <c r="G785" t="s">
        <v>14</v>
      </c>
      <c r="H785">
        <v>135.25</v>
      </c>
      <c r="I785">
        <v>1025.5899999999999</v>
      </c>
      <c r="J785" t="s">
        <v>15</v>
      </c>
    </row>
    <row r="786" spans="1:10" x14ac:dyDescent="0.35">
      <c r="A786" t="s">
        <v>808</v>
      </c>
      <c r="B786" t="s">
        <v>17</v>
      </c>
      <c r="C786">
        <v>22</v>
      </c>
      <c r="D786">
        <v>59</v>
      </c>
      <c r="E786" t="s">
        <v>12</v>
      </c>
      <c r="F786" t="s">
        <v>29</v>
      </c>
      <c r="G786" t="s">
        <v>19</v>
      </c>
      <c r="H786">
        <v>71.819999999999993</v>
      </c>
      <c r="I786">
        <v>4342.5600000000004</v>
      </c>
      <c r="J786" t="s">
        <v>15</v>
      </c>
    </row>
    <row r="787" spans="1:10" x14ac:dyDescent="0.35">
      <c r="A787" t="s">
        <v>809</v>
      </c>
      <c r="B787" t="s">
        <v>11</v>
      </c>
      <c r="C787">
        <v>50</v>
      </c>
      <c r="D787">
        <v>72</v>
      </c>
      <c r="E787" t="s">
        <v>21</v>
      </c>
      <c r="F787" t="s">
        <v>22</v>
      </c>
      <c r="G787" t="s">
        <v>23</v>
      </c>
      <c r="H787">
        <v>132.18</v>
      </c>
      <c r="I787">
        <v>9467.6200000000008</v>
      </c>
      <c r="J787" t="s">
        <v>15</v>
      </c>
    </row>
    <row r="788" spans="1:10" x14ac:dyDescent="0.35">
      <c r="A788" t="s">
        <v>810</v>
      </c>
      <c r="B788" t="s">
        <v>11</v>
      </c>
      <c r="C788">
        <v>53</v>
      </c>
      <c r="D788">
        <v>49</v>
      </c>
      <c r="E788" t="s">
        <v>12</v>
      </c>
      <c r="F788" t="s">
        <v>22</v>
      </c>
      <c r="G788" t="s">
        <v>23</v>
      </c>
      <c r="H788">
        <v>54.72</v>
      </c>
      <c r="I788">
        <v>2882.74</v>
      </c>
      <c r="J788" t="s">
        <v>15</v>
      </c>
    </row>
    <row r="789" spans="1:10" x14ac:dyDescent="0.35">
      <c r="A789" t="s">
        <v>811</v>
      </c>
      <c r="B789" t="s">
        <v>17</v>
      </c>
      <c r="C789">
        <v>64</v>
      </c>
      <c r="D789">
        <v>17</v>
      </c>
      <c r="E789" t="s">
        <v>18</v>
      </c>
      <c r="F789" t="s">
        <v>13</v>
      </c>
      <c r="G789" t="s">
        <v>23</v>
      </c>
      <c r="H789">
        <v>89.51</v>
      </c>
      <c r="I789">
        <v>1452.11</v>
      </c>
      <c r="J789" t="s">
        <v>15</v>
      </c>
    </row>
    <row r="790" spans="1:10" x14ac:dyDescent="0.35">
      <c r="A790" t="s">
        <v>812</v>
      </c>
      <c r="B790" t="s">
        <v>17</v>
      </c>
      <c r="C790">
        <v>37</v>
      </c>
      <c r="D790">
        <v>60</v>
      </c>
      <c r="E790" t="s">
        <v>18</v>
      </c>
      <c r="F790" t="s">
        <v>13</v>
      </c>
      <c r="G790" t="s">
        <v>14</v>
      </c>
      <c r="H790">
        <v>131.63999999999999</v>
      </c>
      <c r="I790">
        <v>7114.41</v>
      </c>
      <c r="J790" t="s">
        <v>15</v>
      </c>
    </row>
    <row r="791" spans="1:10" x14ac:dyDescent="0.35">
      <c r="A791" t="s">
        <v>813</v>
      </c>
      <c r="B791" t="s">
        <v>11</v>
      </c>
      <c r="C791">
        <v>36</v>
      </c>
      <c r="D791">
        <v>45</v>
      </c>
      <c r="E791" t="s">
        <v>21</v>
      </c>
      <c r="F791" t="s">
        <v>13</v>
      </c>
      <c r="G791" t="s">
        <v>14</v>
      </c>
      <c r="H791">
        <v>62.36</v>
      </c>
      <c r="I791">
        <v>2616.8200000000002</v>
      </c>
      <c r="J791" t="s">
        <v>15</v>
      </c>
    </row>
    <row r="792" spans="1:10" x14ac:dyDescent="0.35">
      <c r="A792" t="s">
        <v>814</v>
      </c>
      <c r="B792" t="s">
        <v>17</v>
      </c>
      <c r="C792">
        <v>52</v>
      </c>
      <c r="D792">
        <v>69</v>
      </c>
      <c r="E792" t="s">
        <v>18</v>
      </c>
      <c r="F792" t="s">
        <v>29</v>
      </c>
      <c r="G792" t="s">
        <v>23</v>
      </c>
      <c r="H792">
        <v>144.03</v>
      </c>
      <c r="I792">
        <v>9638.98</v>
      </c>
      <c r="J792" t="s">
        <v>15</v>
      </c>
    </row>
    <row r="793" spans="1:10" x14ac:dyDescent="0.35">
      <c r="A793" t="s">
        <v>815</v>
      </c>
      <c r="B793" t="s">
        <v>17</v>
      </c>
      <c r="C793">
        <v>69</v>
      </c>
      <c r="D793">
        <v>32</v>
      </c>
      <c r="E793" t="s">
        <v>21</v>
      </c>
      <c r="F793" t="s">
        <v>29</v>
      </c>
      <c r="G793" t="s">
        <v>23</v>
      </c>
      <c r="H793">
        <v>35.840000000000003</v>
      </c>
      <c r="I793">
        <v>1104.6099999999999</v>
      </c>
      <c r="J793" t="s">
        <v>27</v>
      </c>
    </row>
    <row r="794" spans="1:10" x14ac:dyDescent="0.35">
      <c r="A794" t="s">
        <v>816</v>
      </c>
      <c r="B794" t="s">
        <v>11</v>
      </c>
      <c r="C794">
        <v>60</v>
      </c>
      <c r="D794">
        <v>44</v>
      </c>
      <c r="E794" t="s">
        <v>12</v>
      </c>
      <c r="F794" t="s">
        <v>29</v>
      </c>
      <c r="G794" t="s">
        <v>23</v>
      </c>
      <c r="H794">
        <v>22.38</v>
      </c>
      <c r="I794">
        <v>1042.0999999999999</v>
      </c>
      <c r="J794" t="s">
        <v>15</v>
      </c>
    </row>
    <row r="795" spans="1:10" x14ac:dyDescent="0.35">
      <c r="A795" t="s">
        <v>817</v>
      </c>
      <c r="B795" t="s">
        <v>17</v>
      </c>
      <c r="C795">
        <v>34</v>
      </c>
      <c r="D795">
        <v>65</v>
      </c>
      <c r="E795" t="s">
        <v>12</v>
      </c>
      <c r="F795" t="s">
        <v>13</v>
      </c>
      <c r="G795" t="s">
        <v>14</v>
      </c>
      <c r="H795">
        <v>137.54</v>
      </c>
      <c r="I795">
        <v>9262.9500000000007</v>
      </c>
      <c r="J795" t="s">
        <v>15</v>
      </c>
    </row>
    <row r="796" spans="1:10" x14ac:dyDescent="0.35">
      <c r="A796" t="s">
        <v>818</v>
      </c>
      <c r="B796" t="s">
        <v>11</v>
      </c>
      <c r="C796">
        <v>62</v>
      </c>
      <c r="D796">
        <v>8</v>
      </c>
      <c r="E796" t="s">
        <v>12</v>
      </c>
      <c r="F796" t="s">
        <v>29</v>
      </c>
      <c r="G796" t="s">
        <v>23</v>
      </c>
      <c r="H796">
        <v>28.92</v>
      </c>
      <c r="I796">
        <v>222.09</v>
      </c>
      <c r="J796" t="s">
        <v>27</v>
      </c>
    </row>
    <row r="797" spans="1:10" x14ac:dyDescent="0.35">
      <c r="A797" t="s">
        <v>819</v>
      </c>
      <c r="B797" t="s">
        <v>11</v>
      </c>
      <c r="C797">
        <v>60</v>
      </c>
      <c r="D797">
        <v>72</v>
      </c>
      <c r="E797" t="s">
        <v>21</v>
      </c>
      <c r="F797" t="s">
        <v>33</v>
      </c>
      <c r="G797" t="s">
        <v>23</v>
      </c>
      <c r="H797">
        <v>148.94999999999999</v>
      </c>
      <c r="I797">
        <v>10633.77</v>
      </c>
      <c r="J797" t="s">
        <v>27</v>
      </c>
    </row>
    <row r="798" spans="1:10" x14ac:dyDescent="0.35">
      <c r="A798" t="s">
        <v>820</v>
      </c>
      <c r="B798" t="s">
        <v>11</v>
      </c>
      <c r="C798">
        <v>51</v>
      </c>
      <c r="D798">
        <v>43</v>
      </c>
      <c r="E798" t="s">
        <v>18</v>
      </c>
      <c r="F798" t="s">
        <v>13</v>
      </c>
      <c r="G798" t="s">
        <v>23</v>
      </c>
      <c r="H798">
        <v>143.68</v>
      </c>
      <c r="I798">
        <v>5678.49</v>
      </c>
      <c r="J798" t="s">
        <v>15</v>
      </c>
    </row>
    <row r="799" spans="1:10" x14ac:dyDescent="0.35">
      <c r="A799" t="s">
        <v>821</v>
      </c>
      <c r="B799" t="s">
        <v>11</v>
      </c>
      <c r="C799">
        <v>26</v>
      </c>
      <c r="D799">
        <v>1</v>
      </c>
      <c r="E799" t="s">
        <v>12</v>
      </c>
      <c r="F799" t="s">
        <v>22</v>
      </c>
      <c r="G799" t="s">
        <v>19</v>
      </c>
      <c r="H799">
        <v>37.81</v>
      </c>
      <c r="I799">
        <v>40.82</v>
      </c>
      <c r="J799" t="s">
        <v>15</v>
      </c>
    </row>
    <row r="800" spans="1:10" x14ac:dyDescent="0.35">
      <c r="A800" t="s">
        <v>822</v>
      </c>
      <c r="B800" t="s">
        <v>11</v>
      </c>
      <c r="C800">
        <v>43</v>
      </c>
      <c r="D800">
        <v>51</v>
      </c>
      <c r="E800" t="s">
        <v>18</v>
      </c>
      <c r="F800" t="s">
        <v>13</v>
      </c>
      <c r="G800" t="s">
        <v>14</v>
      </c>
      <c r="H800">
        <v>89.89</v>
      </c>
      <c r="I800">
        <v>4983.62</v>
      </c>
      <c r="J800" t="s">
        <v>15</v>
      </c>
    </row>
    <row r="801" spans="1:10" x14ac:dyDescent="0.35">
      <c r="A801" t="s">
        <v>823</v>
      </c>
      <c r="B801" t="s">
        <v>11</v>
      </c>
      <c r="C801">
        <v>19</v>
      </c>
      <c r="D801">
        <v>24</v>
      </c>
      <c r="E801" t="s">
        <v>21</v>
      </c>
      <c r="F801" t="s">
        <v>13</v>
      </c>
      <c r="G801" t="s">
        <v>19</v>
      </c>
      <c r="H801">
        <v>44.04</v>
      </c>
      <c r="I801">
        <v>1158.3900000000001</v>
      </c>
      <c r="J801" t="s">
        <v>15</v>
      </c>
    </row>
    <row r="802" spans="1:10" x14ac:dyDescent="0.35">
      <c r="A802" t="s">
        <v>824</v>
      </c>
      <c r="B802" t="s">
        <v>11</v>
      </c>
      <c r="C802">
        <v>70</v>
      </c>
      <c r="D802">
        <v>24</v>
      </c>
      <c r="E802" t="s">
        <v>12</v>
      </c>
      <c r="F802" t="s">
        <v>33</v>
      </c>
      <c r="G802" t="s">
        <v>23</v>
      </c>
      <c r="H802">
        <v>75.66</v>
      </c>
      <c r="I802">
        <v>1949.69</v>
      </c>
      <c r="J802" t="s">
        <v>15</v>
      </c>
    </row>
    <row r="803" spans="1:10" x14ac:dyDescent="0.35">
      <c r="A803" t="s">
        <v>825</v>
      </c>
      <c r="B803" t="s">
        <v>17</v>
      </c>
      <c r="C803">
        <v>26</v>
      </c>
      <c r="D803">
        <v>17</v>
      </c>
      <c r="E803" t="s">
        <v>18</v>
      </c>
      <c r="F803" t="s">
        <v>29</v>
      </c>
      <c r="G803" t="s">
        <v>19</v>
      </c>
      <c r="H803">
        <v>27.99</v>
      </c>
      <c r="I803">
        <v>444.8</v>
      </c>
      <c r="J803" t="s">
        <v>15</v>
      </c>
    </row>
    <row r="804" spans="1:10" x14ac:dyDescent="0.35">
      <c r="A804" t="s">
        <v>826</v>
      </c>
      <c r="B804" t="s">
        <v>11</v>
      </c>
      <c r="C804">
        <v>26</v>
      </c>
      <c r="D804">
        <v>5</v>
      </c>
      <c r="E804" t="s">
        <v>12</v>
      </c>
      <c r="F804" t="s">
        <v>29</v>
      </c>
      <c r="G804" t="s">
        <v>19</v>
      </c>
      <c r="H804">
        <v>49.11</v>
      </c>
      <c r="I804">
        <v>223.26</v>
      </c>
      <c r="J804" t="s">
        <v>27</v>
      </c>
    </row>
    <row r="805" spans="1:10" x14ac:dyDescent="0.35">
      <c r="A805" t="s">
        <v>827</v>
      </c>
      <c r="B805" t="s">
        <v>11</v>
      </c>
      <c r="C805">
        <v>57</v>
      </c>
      <c r="D805">
        <v>20</v>
      </c>
      <c r="E805" t="s">
        <v>12</v>
      </c>
      <c r="F805" t="s">
        <v>22</v>
      </c>
      <c r="G805" t="s">
        <v>23</v>
      </c>
      <c r="H805">
        <v>67.23</v>
      </c>
      <c r="I805">
        <v>1366.01</v>
      </c>
      <c r="J805" t="s">
        <v>15</v>
      </c>
    </row>
    <row r="806" spans="1:10" x14ac:dyDescent="0.35">
      <c r="A806" t="s">
        <v>828</v>
      </c>
      <c r="B806" t="s">
        <v>17</v>
      </c>
      <c r="C806">
        <v>34</v>
      </c>
      <c r="D806">
        <v>21</v>
      </c>
      <c r="E806" t="s">
        <v>21</v>
      </c>
      <c r="F806" t="s">
        <v>29</v>
      </c>
      <c r="G806" t="s">
        <v>14</v>
      </c>
      <c r="H806">
        <v>77.02</v>
      </c>
      <c r="I806">
        <v>1750.89</v>
      </c>
      <c r="J806" t="s">
        <v>15</v>
      </c>
    </row>
    <row r="807" spans="1:10" x14ac:dyDescent="0.35">
      <c r="A807" t="s">
        <v>829</v>
      </c>
      <c r="B807" t="s">
        <v>17</v>
      </c>
      <c r="C807">
        <v>18</v>
      </c>
      <c r="D807">
        <v>58</v>
      </c>
      <c r="E807" t="s">
        <v>12</v>
      </c>
      <c r="F807" t="s">
        <v>29</v>
      </c>
      <c r="G807" t="s">
        <v>19</v>
      </c>
      <c r="H807">
        <v>147.07</v>
      </c>
      <c r="I807">
        <v>7979.62</v>
      </c>
      <c r="J807" t="s">
        <v>15</v>
      </c>
    </row>
    <row r="808" spans="1:10" x14ac:dyDescent="0.35">
      <c r="A808" t="s">
        <v>830</v>
      </c>
      <c r="B808" t="s">
        <v>17</v>
      </c>
      <c r="C808">
        <v>42</v>
      </c>
      <c r="D808">
        <v>31</v>
      </c>
      <c r="E808" t="s">
        <v>21</v>
      </c>
      <c r="F808" t="s">
        <v>13</v>
      </c>
      <c r="G808" t="s">
        <v>14</v>
      </c>
      <c r="H808">
        <v>125.02</v>
      </c>
      <c r="I808">
        <v>3493.52</v>
      </c>
      <c r="J808" t="s">
        <v>15</v>
      </c>
    </row>
    <row r="809" spans="1:10" x14ac:dyDescent="0.35">
      <c r="A809" t="s">
        <v>831</v>
      </c>
      <c r="B809" t="s">
        <v>11</v>
      </c>
      <c r="C809">
        <v>60</v>
      </c>
      <c r="D809">
        <v>11</v>
      </c>
      <c r="E809" t="s">
        <v>12</v>
      </c>
      <c r="F809" t="s">
        <v>29</v>
      </c>
      <c r="G809" t="s">
        <v>23</v>
      </c>
      <c r="H809">
        <v>115.86</v>
      </c>
      <c r="I809">
        <v>1352.33</v>
      </c>
      <c r="J809" t="s">
        <v>27</v>
      </c>
    </row>
    <row r="810" spans="1:10" x14ac:dyDescent="0.35">
      <c r="A810" t="s">
        <v>832</v>
      </c>
      <c r="B810" t="s">
        <v>17</v>
      </c>
      <c r="C810">
        <v>57</v>
      </c>
      <c r="D810">
        <v>52</v>
      </c>
      <c r="E810" t="s">
        <v>12</v>
      </c>
      <c r="F810" t="s">
        <v>1024</v>
      </c>
      <c r="G810" t="s">
        <v>23</v>
      </c>
      <c r="H810">
        <v>89.82</v>
      </c>
      <c r="I810">
        <v>4275.3100000000004</v>
      </c>
      <c r="J810" t="s">
        <v>15</v>
      </c>
    </row>
    <row r="811" spans="1:10" x14ac:dyDescent="0.35">
      <c r="A811" t="s">
        <v>833</v>
      </c>
      <c r="B811" t="s">
        <v>11</v>
      </c>
      <c r="C811">
        <v>59</v>
      </c>
      <c r="D811">
        <v>15</v>
      </c>
      <c r="E811" t="s">
        <v>18</v>
      </c>
      <c r="F811" t="s">
        <v>29</v>
      </c>
      <c r="G811" t="s">
        <v>23</v>
      </c>
      <c r="H811">
        <v>129.19999999999999</v>
      </c>
      <c r="I811">
        <v>1904.55</v>
      </c>
      <c r="J811" t="s">
        <v>15</v>
      </c>
    </row>
    <row r="812" spans="1:10" x14ac:dyDescent="0.35">
      <c r="A812" t="s">
        <v>834</v>
      </c>
      <c r="B812" t="s">
        <v>11</v>
      </c>
      <c r="C812">
        <v>42</v>
      </c>
      <c r="D812">
        <v>7</v>
      </c>
      <c r="E812" t="s">
        <v>12</v>
      </c>
      <c r="F812" t="s">
        <v>33</v>
      </c>
      <c r="G812" t="s">
        <v>14</v>
      </c>
      <c r="H812">
        <v>64.11</v>
      </c>
      <c r="I812">
        <v>464.83</v>
      </c>
      <c r="J812" t="s">
        <v>27</v>
      </c>
    </row>
    <row r="813" spans="1:10" x14ac:dyDescent="0.35">
      <c r="A813" t="s">
        <v>835</v>
      </c>
      <c r="B813" t="s">
        <v>11</v>
      </c>
      <c r="C813">
        <v>56</v>
      </c>
      <c r="D813">
        <v>28</v>
      </c>
      <c r="E813" t="s">
        <v>12</v>
      </c>
      <c r="F813" t="s">
        <v>22</v>
      </c>
      <c r="G813" t="s">
        <v>23</v>
      </c>
      <c r="H813">
        <v>112.16</v>
      </c>
      <c r="I813">
        <v>2975.16</v>
      </c>
      <c r="J813" t="s">
        <v>27</v>
      </c>
    </row>
    <row r="814" spans="1:10" x14ac:dyDescent="0.35">
      <c r="A814" t="s">
        <v>836</v>
      </c>
      <c r="B814" t="s">
        <v>11</v>
      </c>
      <c r="C814">
        <v>52</v>
      </c>
      <c r="D814">
        <v>51</v>
      </c>
      <c r="E814" t="s">
        <v>12</v>
      </c>
      <c r="F814" t="s">
        <v>22</v>
      </c>
      <c r="G814" t="s">
        <v>23</v>
      </c>
      <c r="H814">
        <v>149.19</v>
      </c>
      <c r="I814">
        <v>6975.59</v>
      </c>
      <c r="J814" t="s">
        <v>15</v>
      </c>
    </row>
    <row r="815" spans="1:10" x14ac:dyDescent="0.35">
      <c r="A815" t="s">
        <v>837</v>
      </c>
      <c r="B815" t="s">
        <v>17</v>
      </c>
      <c r="C815">
        <v>20</v>
      </c>
      <c r="D815">
        <v>58</v>
      </c>
      <c r="E815" t="s">
        <v>18</v>
      </c>
      <c r="F815" t="s">
        <v>22</v>
      </c>
      <c r="G815" t="s">
        <v>19</v>
      </c>
      <c r="H815">
        <v>60.9</v>
      </c>
      <c r="I815">
        <v>3722.95</v>
      </c>
      <c r="J815" t="s">
        <v>15</v>
      </c>
    </row>
    <row r="816" spans="1:10" x14ac:dyDescent="0.35">
      <c r="A816" t="s">
        <v>838</v>
      </c>
      <c r="B816" t="s">
        <v>17</v>
      </c>
      <c r="C816">
        <v>67</v>
      </c>
      <c r="D816">
        <v>5</v>
      </c>
      <c r="E816" t="s">
        <v>12</v>
      </c>
      <c r="F816" t="s">
        <v>33</v>
      </c>
      <c r="G816" t="s">
        <v>23</v>
      </c>
      <c r="H816">
        <v>107.62</v>
      </c>
      <c r="I816">
        <v>552.11</v>
      </c>
      <c r="J816" t="s">
        <v>27</v>
      </c>
    </row>
    <row r="817" spans="1:10" x14ac:dyDescent="0.35">
      <c r="A817" t="s">
        <v>839</v>
      </c>
      <c r="B817" t="s">
        <v>11</v>
      </c>
      <c r="C817">
        <v>54</v>
      </c>
      <c r="D817">
        <v>5</v>
      </c>
      <c r="E817" t="s">
        <v>12</v>
      </c>
      <c r="F817" t="s">
        <v>29</v>
      </c>
      <c r="G817" t="s">
        <v>23</v>
      </c>
      <c r="H817">
        <v>129.76</v>
      </c>
      <c r="I817">
        <v>712.19</v>
      </c>
      <c r="J817" t="s">
        <v>15</v>
      </c>
    </row>
    <row r="818" spans="1:10" x14ac:dyDescent="0.35">
      <c r="A818" t="s">
        <v>840</v>
      </c>
      <c r="B818" t="s">
        <v>11</v>
      </c>
      <c r="C818">
        <v>61</v>
      </c>
      <c r="D818">
        <v>8</v>
      </c>
      <c r="E818" t="s">
        <v>12</v>
      </c>
      <c r="F818" t="s">
        <v>33</v>
      </c>
      <c r="G818" t="s">
        <v>23</v>
      </c>
      <c r="H818">
        <v>139.05000000000001</v>
      </c>
      <c r="I818">
        <v>1077.76</v>
      </c>
      <c r="J818" t="s">
        <v>27</v>
      </c>
    </row>
    <row r="819" spans="1:10" x14ac:dyDescent="0.35">
      <c r="A819" t="s">
        <v>841</v>
      </c>
      <c r="B819" t="s">
        <v>11</v>
      </c>
      <c r="C819">
        <v>61</v>
      </c>
      <c r="D819">
        <v>64</v>
      </c>
      <c r="E819" t="s">
        <v>12</v>
      </c>
      <c r="F819" t="s">
        <v>22</v>
      </c>
      <c r="G819" t="s">
        <v>23</v>
      </c>
      <c r="H819">
        <v>113.33</v>
      </c>
      <c r="I819">
        <v>6617.4</v>
      </c>
      <c r="J819" t="s">
        <v>27</v>
      </c>
    </row>
    <row r="820" spans="1:10" x14ac:dyDescent="0.35">
      <c r="A820" t="s">
        <v>842</v>
      </c>
      <c r="B820" t="s">
        <v>17</v>
      </c>
      <c r="C820">
        <v>68</v>
      </c>
      <c r="D820">
        <v>10</v>
      </c>
      <c r="E820" t="s">
        <v>18</v>
      </c>
      <c r="F820" t="s">
        <v>22</v>
      </c>
      <c r="G820" t="s">
        <v>23</v>
      </c>
      <c r="H820">
        <v>56.87</v>
      </c>
      <c r="I820">
        <v>595.35</v>
      </c>
      <c r="J820" t="s">
        <v>27</v>
      </c>
    </row>
    <row r="821" spans="1:10" x14ac:dyDescent="0.35">
      <c r="A821" t="s">
        <v>843</v>
      </c>
      <c r="B821" t="s">
        <v>11</v>
      </c>
      <c r="C821">
        <v>47</v>
      </c>
      <c r="D821">
        <v>38</v>
      </c>
      <c r="E821" t="s">
        <v>21</v>
      </c>
      <c r="F821" t="s">
        <v>13</v>
      </c>
      <c r="G821" t="s">
        <v>14</v>
      </c>
      <c r="H821">
        <v>62.42</v>
      </c>
      <c r="I821">
        <v>2382.27</v>
      </c>
      <c r="J821" t="s">
        <v>15</v>
      </c>
    </row>
    <row r="822" spans="1:10" x14ac:dyDescent="0.35">
      <c r="A822" t="s">
        <v>844</v>
      </c>
      <c r="B822" t="s">
        <v>11</v>
      </c>
      <c r="C822">
        <v>55</v>
      </c>
      <c r="D822">
        <v>8</v>
      </c>
      <c r="E822" t="s">
        <v>12</v>
      </c>
      <c r="F822" t="s">
        <v>29</v>
      </c>
      <c r="G822" t="s">
        <v>23</v>
      </c>
      <c r="H822">
        <v>22.7</v>
      </c>
      <c r="I822">
        <v>171.18</v>
      </c>
      <c r="J822" t="s">
        <v>15</v>
      </c>
    </row>
    <row r="823" spans="1:10" x14ac:dyDescent="0.35">
      <c r="A823" t="s">
        <v>845</v>
      </c>
      <c r="B823" t="s">
        <v>17</v>
      </c>
      <c r="C823">
        <v>51</v>
      </c>
      <c r="D823">
        <v>25</v>
      </c>
      <c r="E823" t="s">
        <v>21</v>
      </c>
      <c r="F823" t="s">
        <v>13</v>
      </c>
      <c r="G823" t="s">
        <v>23</v>
      </c>
      <c r="H823">
        <v>118.92</v>
      </c>
      <c r="I823">
        <v>3140.52</v>
      </c>
      <c r="J823" t="s">
        <v>15</v>
      </c>
    </row>
    <row r="824" spans="1:10" x14ac:dyDescent="0.35">
      <c r="A824" t="s">
        <v>846</v>
      </c>
      <c r="B824" t="s">
        <v>17</v>
      </c>
      <c r="C824">
        <v>29</v>
      </c>
      <c r="D824">
        <v>66</v>
      </c>
      <c r="E824" t="s">
        <v>12</v>
      </c>
      <c r="F824" t="s">
        <v>22</v>
      </c>
      <c r="G824" t="s">
        <v>19</v>
      </c>
      <c r="H824">
        <v>25.56</v>
      </c>
      <c r="I824">
        <v>1587.01</v>
      </c>
      <c r="J824" t="s">
        <v>15</v>
      </c>
    </row>
    <row r="825" spans="1:10" x14ac:dyDescent="0.35">
      <c r="A825" t="s">
        <v>847</v>
      </c>
      <c r="B825" t="s">
        <v>11</v>
      </c>
      <c r="C825">
        <v>36</v>
      </c>
      <c r="D825">
        <v>50</v>
      </c>
      <c r="E825" t="s">
        <v>18</v>
      </c>
      <c r="F825" t="s">
        <v>29</v>
      </c>
      <c r="G825" t="s">
        <v>14</v>
      </c>
      <c r="H825">
        <v>132.4</v>
      </c>
      <c r="I825">
        <v>6303.12</v>
      </c>
      <c r="J825" t="s">
        <v>15</v>
      </c>
    </row>
    <row r="826" spans="1:10" x14ac:dyDescent="0.35">
      <c r="A826" t="s">
        <v>848</v>
      </c>
      <c r="B826" t="s">
        <v>17</v>
      </c>
      <c r="C826">
        <v>54</v>
      </c>
      <c r="D826">
        <v>67</v>
      </c>
      <c r="E826" t="s">
        <v>18</v>
      </c>
      <c r="F826" t="s">
        <v>22</v>
      </c>
      <c r="G826" t="s">
        <v>23</v>
      </c>
      <c r="H826">
        <v>35.43</v>
      </c>
      <c r="I826">
        <v>2180.36</v>
      </c>
      <c r="J826" t="s">
        <v>15</v>
      </c>
    </row>
    <row r="827" spans="1:10" x14ac:dyDescent="0.35">
      <c r="A827" t="s">
        <v>849</v>
      </c>
      <c r="B827" t="s">
        <v>17</v>
      </c>
      <c r="C827">
        <v>61</v>
      </c>
      <c r="D827">
        <v>49</v>
      </c>
      <c r="E827" t="s">
        <v>12</v>
      </c>
      <c r="F827" t="s">
        <v>29</v>
      </c>
      <c r="G827" t="s">
        <v>23</v>
      </c>
      <c r="H827">
        <v>42.34</v>
      </c>
      <c r="I827">
        <v>2032.93</v>
      </c>
      <c r="J827" t="s">
        <v>15</v>
      </c>
    </row>
    <row r="828" spans="1:10" x14ac:dyDescent="0.35">
      <c r="A828" t="s">
        <v>850</v>
      </c>
      <c r="B828" t="s">
        <v>11</v>
      </c>
      <c r="C828">
        <v>66</v>
      </c>
      <c r="D828">
        <v>36</v>
      </c>
      <c r="E828" t="s">
        <v>18</v>
      </c>
      <c r="F828" t="s">
        <v>29</v>
      </c>
      <c r="G828" t="s">
        <v>23</v>
      </c>
      <c r="H828">
        <v>81.95</v>
      </c>
      <c r="I828">
        <v>2902.36</v>
      </c>
      <c r="J828" t="s">
        <v>15</v>
      </c>
    </row>
    <row r="829" spans="1:10" x14ac:dyDescent="0.35">
      <c r="A829" t="s">
        <v>851</v>
      </c>
      <c r="B829" t="s">
        <v>17</v>
      </c>
      <c r="C829">
        <v>34</v>
      </c>
      <c r="D829">
        <v>68</v>
      </c>
      <c r="E829" t="s">
        <v>21</v>
      </c>
      <c r="F829" t="s">
        <v>29</v>
      </c>
      <c r="G829" t="s">
        <v>14</v>
      </c>
      <c r="H829">
        <v>115.92</v>
      </c>
      <c r="I829">
        <v>7905.52</v>
      </c>
      <c r="J829" t="s">
        <v>15</v>
      </c>
    </row>
    <row r="830" spans="1:10" x14ac:dyDescent="0.35">
      <c r="A830" t="s">
        <v>852</v>
      </c>
      <c r="B830" t="s">
        <v>11</v>
      </c>
      <c r="C830">
        <v>27</v>
      </c>
      <c r="D830">
        <v>41</v>
      </c>
      <c r="E830" t="s">
        <v>12</v>
      </c>
      <c r="F830" t="s">
        <v>29</v>
      </c>
      <c r="G830" t="s">
        <v>19</v>
      </c>
      <c r="H830">
        <v>38.07</v>
      </c>
      <c r="I830">
        <v>1626.1</v>
      </c>
      <c r="J830" t="s">
        <v>27</v>
      </c>
    </row>
    <row r="831" spans="1:10" x14ac:dyDescent="0.35">
      <c r="A831" t="s">
        <v>853</v>
      </c>
      <c r="B831" t="s">
        <v>17</v>
      </c>
      <c r="C831">
        <v>66</v>
      </c>
      <c r="D831">
        <v>62</v>
      </c>
      <c r="E831" t="s">
        <v>12</v>
      </c>
      <c r="F831" t="s">
        <v>13</v>
      </c>
      <c r="G831" t="s">
        <v>23</v>
      </c>
      <c r="H831">
        <v>77.209999999999994</v>
      </c>
      <c r="I831">
        <v>5175.82</v>
      </c>
      <c r="J831" t="s">
        <v>27</v>
      </c>
    </row>
    <row r="832" spans="1:10" x14ac:dyDescent="0.35">
      <c r="A832" t="s">
        <v>854</v>
      </c>
      <c r="B832" t="s">
        <v>11</v>
      </c>
      <c r="C832">
        <v>64</v>
      </c>
      <c r="D832">
        <v>10</v>
      </c>
      <c r="E832" t="s">
        <v>12</v>
      </c>
      <c r="F832" t="s">
        <v>29</v>
      </c>
      <c r="G832" t="s">
        <v>23</v>
      </c>
      <c r="H832">
        <v>82.77</v>
      </c>
      <c r="I832">
        <v>767.73</v>
      </c>
      <c r="J832" t="s">
        <v>27</v>
      </c>
    </row>
    <row r="833" spans="1:10" x14ac:dyDescent="0.35">
      <c r="A833" t="s">
        <v>855</v>
      </c>
      <c r="B833" t="s">
        <v>11</v>
      </c>
      <c r="C833">
        <v>29</v>
      </c>
      <c r="D833">
        <v>21</v>
      </c>
      <c r="E833" t="s">
        <v>21</v>
      </c>
      <c r="F833" t="s">
        <v>33</v>
      </c>
      <c r="G833" t="s">
        <v>19</v>
      </c>
      <c r="H833">
        <v>47.6</v>
      </c>
      <c r="I833">
        <v>910.51</v>
      </c>
      <c r="J833" t="s">
        <v>15</v>
      </c>
    </row>
    <row r="834" spans="1:10" x14ac:dyDescent="0.35">
      <c r="A834" t="s">
        <v>856</v>
      </c>
      <c r="B834" t="s">
        <v>11</v>
      </c>
      <c r="C834">
        <v>33</v>
      </c>
      <c r="D834">
        <v>36</v>
      </c>
      <c r="E834" t="s">
        <v>18</v>
      </c>
      <c r="F834" t="s">
        <v>13</v>
      </c>
      <c r="G834" t="s">
        <v>14</v>
      </c>
      <c r="H834">
        <v>35.020000000000003</v>
      </c>
      <c r="I834">
        <v>1139.32</v>
      </c>
      <c r="J834" t="s">
        <v>15</v>
      </c>
    </row>
    <row r="835" spans="1:10" x14ac:dyDescent="0.35">
      <c r="A835" t="s">
        <v>857</v>
      </c>
      <c r="B835" t="s">
        <v>17</v>
      </c>
      <c r="C835">
        <v>41</v>
      </c>
      <c r="D835">
        <v>12</v>
      </c>
      <c r="E835" t="s">
        <v>21</v>
      </c>
      <c r="F835" t="s">
        <v>29</v>
      </c>
      <c r="G835" t="s">
        <v>14</v>
      </c>
      <c r="H835">
        <v>128.72999999999999</v>
      </c>
      <c r="I835">
        <v>1434.66</v>
      </c>
      <c r="J835" t="s">
        <v>15</v>
      </c>
    </row>
    <row r="836" spans="1:10" x14ac:dyDescent="0.35">
      <c r="A836" t="s">
        <v>858</v>
      </c>
      <c r="B836" t="s">
        <v>11</v>
      </c>
      <c r="C836">
        <v>36</v>
      </c>
      <c r="D836">
        <v>2</v>
      </c>
      <c r="E836" t="s">
        <v>18</v>
      </c>
      <c r="F836" t="s">
        <v>22</v>
      </c>
      <c r="G836" t="s">
        <v>14</v>
      </c>
      <c r="H836">
        <v>85.32</v>
      </c>
      <c r="I836">
        <v>176.03</v>
      </c>
      <c r="J836" t="s">
        <v>27</v>
      </c>
    </row>
    <row r="837" spans="1:10" x14ac:dyDescent="0.35">
      <c r="A837" t="s">
        <v>859</v>
      </c>
      <c r="B837" t="s">
        <v>17</v>
      </c>
      <c r="C837">
        <v>25</v>
      </c>
      <c r="D837">
        <v>13</v>
      </c>
      <c r="E837" t="s">
        <v>21</v>
      </c>
      <c r="F837" t="s">
        <v>33</v>
      </c>
      <c r="G837" t="s">
        <v>19</v>
      </c>
      <c r="H837">
        <v>21.87</v>
      </c>
      <c r="I837">
        <v>297.24</v>
      </c>
      <c r="J837" t="s">
        <v>15</v>
      </c>
    </row>
    <row r="838" spans="1:10" x14ac:dyDescent="0.35">
      <c r="A838" t="s">
        <v>860</v>
      </c>
      <c r="B838" t="s">
        <v>11</v>
      </c>
      <c r="C838">
        <v>48</v>
      </c>
      <c r="D838">
        <v>53</v>
      </c>
      <c r="E838" t="s">
        <v>18</v>
      </c>
      <c r="F838" t="s">
        <v>22</v>
      </c>
      <c r="G838" t="s">
        <v>14</v>
      </c>
      <c r="H838">
        <v>124.39</v>
      </c>
      <c r="I838">
        <v>6970.44</v>
      </c>
      <c r="J838" t="s">
        <v>15</v>
      </c>
    </row>
    <row r="839" spans="1:10" x14ac:dyDescent="0.35">
      <c r="A839" t="s">
        <v>861</v>
      </c>
      <c r="B839" t="s">
        <v>11</v>
      </c>
      <c r="C839">
        <v>38</v>
      </c>
      <c r="D839">
        <v>32</v>
      </c>
      <c r="E839" t="s">
        <v>21</v>
      </c>
      <c r="F839" t="s">
        <v>29</v>
      </c>
      <c r="G839" t="s">
        <v>14</v>
      </c>
      <c r="H839">
        <v>147.5</v>
      </c>
      <c r="I839">
        <v>4478.0600000000004</v>
      </c>
      <c r="J839" t="s">
        <v>15</v>
      </c>
    </row>
    <row r="840" spans="1:10" x14ac:dyDescent="0.35">
      <c r="A840" t="s">
        <v>862</v>
      </c>
      <c r="B840" t="s">
        <v>17</v>
      </c>
      <c r="C840">
        <v>34</v>
      </c>
      <c r="D840">
        <v>16</v>
      </c>
      <c r="E840" t="s">
        <v>12</v>
      </c>
      <c r="F840" t="s">
        <v>33</v>
      </c>
      <c r="G840" t="s">
        <v>14</v>
      </c>
      <c r="H840">
        <v>98.77</v>
      </c>
      <c r="I840">
        <v>1518.97</v>
      </c>
      <c r="J840" t="s">
        <v>15</v>
      </c>
    </row>
    <row r="841" spans="1:10" x14ac:dyDescent="0.35">
      <c r="A841" t="s">
        <v>863</v>
      </c>
      <c r="B841" t="s">
        <v>11</v>
      </c>
      <c r="C841">
        <v>40</v>
      </c>
      <c r="D841">
        <v>32</v>
      </c>
      <c r="E841" t="s">
        <v>21</v>
      </c>
      <c r="F841" t="s">
        <v>22</v>
      </c>
      <c r="G841" t="s">
        <v>14</v>
      </c>
      <c r="H841">
        <v>85.48</v>
      </c>
      <c r="I841">
        <v>2726.13</v>
      </c>
      <c r="J841" t="s">
        <v>15</v>
      </c>
    </row>
    <row r="842" spans="1:10" x14ac:dyDescent="0.35">
      <c r="A842" t="s">
        <v>864</v>
      </c>
      <c r="B842" t="s">
        <v>11</v>
      </c>
      <c r="C842">
        <v>54</v>
      </c>
      <c r="D842">
        <v>32</v>
      </c>
      <c r="E842" t="s">
        <v>18</v>
      </c>
      <c r="F842" t="s">
        <v>29</v>
      </c>
      <c r="G842" t="s">
        <v>23</v>
      </c>
      <c r="H842">
        <v>134.19</v>
      </c>
      <c r="I842">
        <v>3918.93</v>
      </c>
      <c r="J842" t="s">
        <v>15</v>
      </c>
    </row>
    <row r="843" spans="1:10" x14ac:dyDescent="0.35">
      <c r="A843" t="s">
        <v>865</v>
      </c>
      <c r="B843" t="s">
        <v>17</v>
      </c>
      <c r="C843">
        <v>33</v>
      </c>
      <c r="D843">
        <v>11</v>
      </c>
      <c r="E843" t="s">
        <v>12</v>
      </c>
      <c r="F843" t="s">
        <v>29</v>
      </c>
      <c r="G843" t="s">
        <v>14</v>
      </c>
      <c r="H843">
        <v>143.83000000000001</v>
      </c>
      <c r="I843">
        <v>1617.3</v>
      </c>
      <c r="J843" t="s">
        <v>15</v>
      </c>
    </row>
    <row r="844" spans="1:10" x14ac:dyDescent="0.35">
      <c r="A844" t="s">
        <v>866</v>
      </c>
      <c r="B844" t="s">
        <v>11</v>
      </c>
      <c r="C844">
        <v>23</v>
      </c>
      <c r="D844">
        <v>10</v>
      </c>
      <c r="E844" t="s">
        <v>18</v>
      </c>
      <c r="F844" t="s">
        <v>13</v>
      </c>
      <c r="G844" t="s">
        <v>19</v>
      </c>
      <c r="H844">
        <v>118.09</v>
      </c>
      <c r="I844">
        <v>1295.1500000000001</v>
      </c>
      <c r="J844" t="s">
        <v>15</v>
      </c>
    </row>
    <row r="845" spans="1:10" x14ac:dyDescent="0.35">
      <c r="A845" t="s">
        <v>867</v>
      </c>
      <c r="B845" t="s">
        <v>11</v>
      </c>
      <c r="C845">
        <v>25</v>
      </c>
      <c r="D845">
        <v>15</v>
      </c>
      <c r="E845" t="s">
        <v>12</v>
      </c>
      <c r="F845" t="s">
        <v>29</v>
      </c>
      <c r="G845" t="s">
        <v>19</v>
      </c>
      <c r="H845">
        <v>77.91</v>
      </c>
      <c r="I845">
        <v>1136.1199999999999</v>
      </c>
      <c r="J845" t="s">
        <v>27</v>
      </c>
    </row>
    <row r="846" spans="1:10" x14ac:dyDescent="0.35">
      <c r="A846" t="s">
        <v>868</v>
      </c>
      <c r="B846" t="s">
        <v>11</v>
      </c>
      <c r="C846">
        <v>42</v>
      </c>
      <c r="D846">
        <v>17</v>
      </c>
      <c r="E846" t="s">
        <v>12</v>
      </c>
      <c r="F846" t="s">
        <v>33</v>
      </c>
      <c r="G846" t="s">
        <v>14</v>
      </c>
      <c r="H846">
        <v>96.99</v>
      </c>
      <c r="I846">
        <v>1732.21</v>
      </c>
      <c r="J846" t="s">
        <v>27</v>
      </c>
    </row>
    <row r="847" spans="1:10" x14ac:dyDescent="0.35">
      <c r="A847" t="s">
        <v>869</v>
      </c>
      <c r="B847" t="s">
        <v>11</v>
      </c>
      <c r="C847">
        <v>35</v>
      </c>
      <c r="D847">
        <v>40</v>
      </c>
      <c r="E847" t="s">
        <v>18</v>
      </c>
      <c r="F847" t="s">
        <v>13</v>
      </c>
      <c r="G847" t="s">
        <v>14</v>
      </c>
      <c r="H847">
        <v>111.12</v>
      </c>
      <c r="I847">
        <v>4444.83</v>
      </c>
      <c r="J847" t="s">
        <v>15</v>
      </c>
    </row>
    <row r="848" spans="1:10" x14ac:dyDescent="0.35">
      <c r="A848" t="s">
        <v>870</v>
      </c>
      <c r="B848" t="s">
        <v>17</v>
      </c>
      <c r="C848">
        <v>42</v>
      </c>
      <c r="D848">
        <v>18</v>
      </c>
      <c r="E848" t="s">
        <v>12</v>
      </c>
      <c r="F848" t="s">
        <v>33</v>
      </c>
      <c r="G848" t="s">
        <v>14</v>
      </c>
      <c r="H848">
        <v>45.26</v>
      </c>
      <c r="I848">
        <v>754.04</v>
      </c>
      <c r="J848" t="s">
        <v>27</v>
      </c>
    </row>
    <row r="849" spans="1:10" x14ac:dyDescent="0.35">
      <c r="A849" t="s">
        <v>871</v>
      </c>
      <c r="B849" t="s">
        <v>17</v>
      </c>
      <c r="C849">
        <v>29</v>
      </c>
      <c r="D849">
        <v>55</v>
      </c>
      <c r="E849" t="s">
        <v>12</v>
      </c>
      <c r="F849" t="s">
        <v>13</v>
      </c>
      <c r="G849" t="s">
        <v>19</v>
      </c>
      <c r="H849">
        <v>83.07</v>
      </c>
      <c r="I849">
        <v>4368.3900000000003</v>
      </c>
      <c r="J849" t="s">
        <v>15</v>
      </c>
    </row>
    <row r="850" spans="1:10" x14ac:dyDescent="0.35">
      <c r="A850" t="s">
        <v>872</v>
      </c>
      <c r="B850" t="s">
        <v>11</v>
      </c>
      <c r="C850">
        <v>32</v>
      </c>
      <c r="D850">
        <v>25</v>
      </c>
      <c r="E850" t="s">
        <v>12</v>
      </c>
      <c r="F850" t="s">
        <v>29</v>
      </c>
      <c r="G850" t="s">
        <v>14</v>
      </c>
      <c r="H850">
        <v>127.88</v>
      </c>
      <c r="I850">
        <v>3069.04</v>
      </c>
      <c r="J850" t="s">
        <v>27</v>
      </c>
    </row>
    <row r="851" spans="1:10" x14ac:dyDescent="0.35">
      <c r="A851" t="s">
        <v>873</v>
      </c>
      <c r="B851" t="s">
        <v>17</v>
      </c>
      <c r="C851">
        <v>43</v>
      </c>
      <c r="D851">
        <v>59</v>
      </c>
      <c r="E851" t="s">
        <v>18</v>
      </c>
      <c r="F851" t="s">
        <v>29</v>
      </c>
      <c r="G851" t="s">
        <v>14</v>
      </c>
      <c r="H851">
        <v>105.11</v>
      </c>
      <c r="I851">
        <v>5624.01</v>
      </c>
      <c r="J851" t="s">
        <v>15</v>
      </c>
    </row>
    <row r="852" spans="1:10" x14ac:dyDescent="0.35">
      <c r="A852" t="s">
        <v>874</v>
      </c>
      <c r="B852" t="s">
        <v>11</v>
      </c>
      <c r="C852">
        <v>58</v>
      </c>
      <c r="D852">
        <v>22</v>
      </c>
      <c r="E852" t="s">
        <v>12</v>
      </c>
      <c r="F852" t="s">
        <v>13</v>
      </c>
      <c r="G852" t="s">
        <v>23</v>
      </c>
      <c r="H852">
        <v>73.459999999999994</v>
      </c>
      <c r="I852">
        <v>1659.73</v>
      </c>
      <c r="J852" t="s">
        <v>15</v>
      </c>
    </row>
    <row r="853" spans="1:10" x14ac:dyDescent="0.35">
      <c r="A853" t="s">
        <v>875</v>
      </c>
      <c r="B853" t="s">
        <v>17</v>
      </c>
      <c r="C853">
        <v>62</v>
      </c>
      <c r="D853">
        <v>30</v>
      </c>
      <c r="E853" t="s">
        <v>18</v>
      </c>
      <c r="F853" t="s">
        <v>22</v>
      </c>
      <c r="G853" t="s">
        <v>23</v>
      </c>
      <c r="H853">
        <v>106.24</v>
      </c>
      <c r="I853">
        <v>3416</v>
      </c>
      <c r="J853" t="s">
        <v>15</v>
      </c>
    </row>
    <row r="854" spans="1:10" x14ac:dyDescent="0.35">
      <c r="A854" t="s">
        <v>876</v>
      </c>
      <c r="B854" t="s">
        <v>11</v>
      </c>
      <c r="C854">
        <v>43</v>
      </c>
      <c r="D854">
        <v>44</v>
      </c>
      <c r="E854" t="s">
        <v>12</v>
      </c>
      <c r="F854" t="s">
        <v>22</v>
      </c>
      <c r="G854" t="s">
        <v>14</v>
      </c>
      <c r="H854">
        <v>35.369999999999997</v>
      </c>
      <c r="I854">
        <v>1507.96</v>
      </c>
      <c r="J854" t="s">
        <v>15</v>
      </c>
    </row>
    <row r="855" spans="1:10" x14ac:dyDescent="0.35">
      <c r="A855" t="s">
        <v>877</v>
      </c>
      <c r="B855" t="s">
        <v>11</v>
      </c>
      <c r="C855">
        <v>64</v>
      </c>
      <c r="D855">
        <v>32</v>
      </c>
      <c r="E855" t="s">
        <v>18</v>
      </c>
      <c r="F855" t="s">
        <v>29</v>
      </c>
      <c r="G855" t="s">
        <v>23</v>
      </c>
      <c r="H855">
        <v>72.19</v>
      </c>
      <c r="I855">
        <v>2259.39</v>
      </c>
      <c r="J855" t="s">
        <v>15</v>
      </c>
    </row>
    <row r="856" spans="1:10" x14ac:dyDescent="0.35">
      <c r="A856" t="s">
        <v>878</v>
      </c>
      <c r="B856" t="s">
        <v>11</v>
      </c>
      <c r="C856">
        <v>49</v>
      </c>
      <c r="D856">
        <v>51</v>
      </c>
      <c r="E856" t="s">
        <v>18</v>
      </c>
      <c r="F856" t="s">
        <v>29</v>
      </c>
      <c r="G856" t="s">
        <v>14</v>
      </c>
      <c r="H856">
        <v>123.11</v>
      </c>
      <c r="I856">
        <v>6769.62</v>
      </c>
      <c r="J856" t="s">
        <v>15</v>
      </c>
    </row>
    <row r="857" spans="1:10" x14ac:dyDescent="0.35">
      <c r="A857" t="s">
        <v>879</v>
      </c>
      <c r="B857" t="s">
        <v>11</v>
      </c>
      <c r="C857">
        <v>27</v>
      </c>
      <c r="D857">
        <v>46</v>
      </c>
      <c r="E857" t="s">
        <v>12</v>
      </c>
      <c r="F857" t="s">
        <v>29</v>
      </c>
      <c r="G857" t="s">
        <v>19</v>
      </c>
      <c r="H857">
        <v>48.67</v>
      </c>
      <c r="I857">
        <v>2379.2399999999998</v>
      </c>
      <c r="J857" t="s">
        <v>27</v>
      </c>
    </row>
    <row r="858" spans="1:10" x14ac:dyDescent="0.35">
      <c r="A858" t="s">
        <v>880</v>
      </c>
      <c r="B858" t="s">
        <v>11</v>
      </c>
      <c r="C858">
        <v>33</v>
      </c>
      <c r="D858">
        <v>21</v>
      </c>
      <c r="E858" t="s">
        <v>12</v>
      </c>
      <c r="F858" t="s">
        <v>22</v>
      </c>
      <c r="G858" t="s">
        <v>14</v>
      </c>
      <c r="H858">
        <v>44.17</v>
      </c>
      <c r="I858">
        <v>967.45</v>
      </c>
      <c r="J858" t="s">
        <v>15</v>
      </c>
    </row>
    <row r="859" spans="1:10" x14ac:dyDescent="0.35">
      <c r="A859" t="s">
        <v>881</v>
      </c>
      <c r="B859" t="s">
        <v>11</v>
      </c>
      <c r="C859">
        <v>24</v>
      </c>
      <c r="D859">
        <v>32</v>
      </c>
      <c r="E859" t="s">
        <v>12</v>
      </c>
      <c r="F859" t="s">
        <v>29</v>
      </c>
      <c r="G859" t="s">
        <v>19</v>
      </c>
      <c r="H859">
        <v>143.61000000000001</v>
      </c>
      <c r="I859">
        <v>4364.6400000000003</v>
      </c>
      <c r="J859" t="s">
        <v>27</v>
      </c>
    </row>
    <row r="860" spans="1:10" x14ac:dyDescent="0.35">
      <c r="A860" t="s">
        <v>882</v>
      </c>
      <c r="B860" t="s">
        <v>17</v>
      </c>
      <c r="C860">
        <v>34</v>
      </c>
      <c r="D860">
        <v>39</v>
      </c>
      <c r="E860" t="s">
        <v>21</v>
      </c>
      <c r="F860" t="s">
        <v>13</v>
      </c>
      <c r="G860" t="s">
        <v>14</v>
      </c>
      <c r="H860">
        <v>47.29</v>
      </c>
      <c r="I860">
        <v>1995.62</v>
      </c>
      <c r="J860" t="s">
        <v>15</v>
      </c>
    </row>
    <row r="861" spans="1:10" x14ac:dyDescent="0.35">
      <c r="A861" t="s">
        <v>883</v>
      </c>
      <c r="B861" t="s">
        <v>11</v>
      </c>
      <c r="C861">
        <v>40</v>
      </c>
      <c r="D861">
        <v>12</v>
      </c>
      <c r="E861" t="s">
        <v>12</v>
      </c>
      <c r="F861" t="s">
        <v>22</v>
      </c>
      <c r="G861" t="s">
        <v>14</v>
      </c>
      <c r="H861">
        <v>53.92</v>
      </c>
      <c r="I861">
        <v>602.32000000000005</v>
      </c>
      <c r="J861" t="s">
        <v>15</v>
      </c>
    </row>
    <row r="862" spans="1:10" x14ac:dyDescent="0.35">
      <c r="A862" t="s">
        <v>884</v>
      </c>
      <c r="B862" t="s">
        <v>17</v>
      </c>
      <c r="C862">
        <v>43</v>
      </c>
      <c r="D862">
        <v>47</v>
      </c>
      <c r="E862" t="s">
        <v>12</v>
      </c>
      <c r="F862" t="s">
        <v>33</v>
      </c>
      <c r="G862" t="s">
        <v>14</v>
      </c>
      <c r="H862">
        <v>146.05000000000001</v>
      </c>
      <c r="I862">
        <v>7038.39</v>
      </c>
      <c r="J862" t="s">
        <v>15</v>
      </c>
    </row>
    <row r="863" spans="1:10" x14ac:dyDescent="0.35">
      <c r="A863" t="s">
        <v>885</v>
      </c>
      <c r="B863" t="s">
        <v>11</v>
      </c>
      <c r="C863">
        <v>38</v>
      </c>
      <c r="D863">
        <v>18</v>
      </c>
      <c r="E863" t="s">
        <v>12</v>
      </c>
      <c r="F863" t="s">
        <v>29</v>
      </c>
      <c r="G863" t="s">
        <v>14</v>
      </c>
      <c r="H863">
        <v>115.51</v>
      </c>
      <c r="I863">
        <v>1883.24</v>
      </c>
      <c r="J863" t="s">
        <v>15</v>
      </c>
    </row>
    <row r="864" spans="1:10" x14ac:dyDescent="0.35">
      <c r="A864" t="s">
        <v>886</v>
      </c>
      <c r="B864" t="s">
        <v>17</v>
      </c>
      <c r="C864">
        <v>39</v>
      </c>
      <c r="D864">
        <v>21</v>
      </c>
      <c r="E864" t="s">
        <v>12</v>
      </c>
      <c r="F864" t="s">
        <v>29</v>
      </c>
      <c r="G864" t="s">
        <v>14</v>
      </c>
      <c r="H864">
        <v>110.95</v>
      </c>
      <c r="I864">
        <v>2396.92</v>
      </c>
      <c r="J864" t="s">
        <v>15</v>
      </c>
    </row>
    <row r="865" spans="1:10" x14ac:dyDescent="0.35">
      <c r="A865" t="s">
        <v>887</v>
      </c>
      <c r="B865" t="s">
        <v>17</v>
      </c>
      <c r="C865">
        <v>24</v>
      </c>
      <c r="D865">
        <v>13</v>
      </c>
      <c r="E865" t="s">
        <v>12</v>
      </c>
      <c r="F865" t="s">
        <v>22</v>
      </c>
      <c r="G865" t="s">
        <v>19</v>
      </c>
      <c r="H865">
        <v>130.88</v>
      </c>
      <c r="I865">
        <v>1625.6</v>
      </c>
      <c r="J865" t="s">
        <v>15</v>
      </c>
    </row>
    <row r="866" spans="1:10" x14ac:dyDescent="0.35">
      <c r="A866" t="s">
        <v>888</v>
      </c>
      <c r="B866" t="s">
        <v>17</v>
      </c>
      <c r="C866">
        <v>31</v>
      </c>
      <c r="D866">
        <v>21</v>
      </c>
      <c r="E866" t="s">
        <v>21</v>
      </c>
      <c r="F866" t="s">
        <v>22</v>
      </c>
      <c r="G866" t="s">
        <v>14</v>
      </c>
      <c r="H866">
        <v>35.06</v>
      </c>
      <c r="I866">
        <v>728.85</v>
      </c>
      <c r="J866" t="s">
        <v>15</v>
      </c>
    </row>
    <row r="867" spans="1:10" x14ac:dyDescent="0.35">
      <c r="A867" t="s">
        <v>889</v>
      </c>
      <c r="B867" t="s">
        <v>11</v>
      </c>
      <c r="C867">
        <v>32</v>
      </c>
      <c r="D867">
        <v>8</v>
      </c>
      <c r="E867" t="s">
        <v>18</v>
      </c>
      <c r="F867" t="s">
        <v>29</v>
      </c>
      <c r="G867" t="s">
        <v>14</v>
      </c>
      <c r="H867">
        <v>111.77</v>
      </c>
      <c r="I867">
        <v>866.49</v>
      </c>
      <c r="J867" t="s">
        <v>27</v>
      </c>
    </row>
    <row r="868" spans="1:10" x14ac:dyDescent="0.35">
      <c r="A868" t="s">
        <v>890</v>
      </c>
      <c r="B868" t="s">
        <v>11</v>
      </c>
      <c r="C868">
        <v>70</v>
      </c>
      <c r="D868">
        <v>46</v>
      </c>
      <c r="E868" t="s">
        <v>12</v>
      </c>
      <c r="F868" t="s">
        <v>33</v>
      </c>
      <c r="G868" t="s">
        <v>23</v>
      </c>
      <c r="H868">
        <v>85.48</v>
      </c>
      <c r="I868">
        <v>3674.73</v>
      </c>
      <c r="J868" t="s">
        <v>15</v>
      </c>
    </row>
    <row r="869" spans="1:10" x14ac:dyDescent="0.35">
      <c r="A869" t="s">
        <v>891</v>
      </c>
      <c r="B869" t="s">
        <v>17</v>
      </c>
      <c r="C869">
        <v>24</v>
      </c>
      <c r="D869">
        <v>7</v>
      </c>
      <c r="E869" t="s">
        <v>21</v>
      </c>
      <c r="F869" t="s">
        <v>33</v>
      </c>
      <c r="G869" t="s">
        <v>19</v>
      </c>
      <c r="H869">
        <v>127.79</v>
      </c>
      <c r="I869">
        <v>916.35</v>
      </c>
      <c r="J869" t="s">
        <v>15</v>
      </c>
    </row>
    <row r="870" spans="1:10" x14ac:dyDescent="0.35">
      <c r="A870" t="s">
        <v>892</v>
      </c>
      <c r="B870" t="s">
        <v>11</v>
      </c>
      <c r="C870">
        <v>26</v>
      </c>
      <c r="D870">
        <v>23</v>
      </c>
      <c r="E870" t="s">
        <v>12</v>
      </c>
      <c r="F870" t="s">
        <v>29</v>
      </c>
      <c r="G870" t="s">
        <v>19</v>
      </c>
      <c r="H870">
        <v>86.06</v>
      </c>
      <c r="I870">
        <v>2130.59</v>
      </c>
      <c r="J870" t="s">
        <v>15</v>
      </c>
    </row>
    <row r="871" spans="1:10" x14ac:dyDescent="0.35">
      <c r="A871" t="s">
        <v>893</v>
      </c>
      <c r="B871" t="s">
        <v>17</v>
      </c>
      <c r="C871">
        <v>68</v>
      </c>
      <c r="D871">
        <v>22</v>
      </c>
      <c r="E871" t="s">
        <v>18</v>
      </c>
      <c r="F871" t="s">
        <v>29</v>
      </c>
      <c r="G871" t="s">
        <v>23</v>
      </c>
      <c r="H871">
        <v>100.63</v>
      </c>
      <c r="I871">
        <v>2417.13</v>
      </c>
      <c r="J871" t="s">
        <v>15</v>
      </c>
    </row>
    <row r="872" spans="1:10" x14ac:dyDescent="0.35">
      <c r="A872" t="s">
        <v>894</v>
      </c>
      <c r="B872" t="s">
        <v>11</v>
      </c>
      <c r="C872">
        <v>65</v>
      </c>
      <c r="D872">
        <v>22</v>
      </c>
      <c r="E872" t="s">
        <v>18</v>
      </c>
      <c r="F872" t="s">
        <v>13</v>
      </c>
      <c r="G872" t="s">
        <v>23</v>
      </c>
      <c r="H872">
        <v>82.11</v>
      </c>
      <c r="I872">
        <v>1695.27</v>
      </c>
      <c r="J872" t="s">
        <v>15</v>
      </c>
    </row>
    <row r="873" spans="1:10" x14ac:dyDescent="0.35">
      <c r="A873" t="s">
        <v>895</v>
      </c>
      <c r="B873" t="s">
        <v>17</v>
      </c>
      <c r="C873">
        <v>25</v>
      </c>
      <c r="D873">
        <v>29</v>
      </c>
      <c r="E873" t="s">
        <v>18</v>
      </c>
      <c r="F873" t="s">
        <v>22</v>
      </c>
      <c r="G873" t="s">
        <v>19</v>
      </c>
      <c r="H873">
        <v>82.16</v>
      </c>
      <c r="I873">
        <v>2486.2199999999998</v>
      </c>
      <c r="J873" t="s">
        <v>15</v>
      </c>
    </row>
    <row r="874" spans="1:10" x14ac:dyDescent="0.35">
      <c r="A874" t="s">
        <v>896</v>
      </c>
      <c r="B874" t="s">
        <v>17</v>
      </c>
      <c r="C874">
        <v>67</v>
      </c>
      <c r="D874">
        <v>13</v>
      </c>
      <c r="E874" t="s">
        <v>18</v>
      </c>
      <c r="F874" t="s">
        <v>29</v>
      </c>
      <c r="G874" t="s">
        <v>23</v>
      </c>
      <c r="H874">
        <v>119.84</v>
      </c>
      <c r="I874">
        <v>1609.13</v>
      </c>
      <c r="J874" t="s">
        <v>15</v>
      </c>
    </row>
    <row r="875" spans="1:10" x14ac:dyDescent="0.35">
      <c r="A875" t="s">
        <v>897</v>
      </c>
      <c r="B875" t="s">
        <v>11</v>
      </c>
      <c r="C875">
        <v>40</v>
      </c>
      <c r="D875">
        <v>2</v>
      </c>
      <c r="E875" t="s">
        <v>12</v>
      </c>
      <c r="F875" t="s">
        <v>22</v>
      </c>
      <c r="G875" t="s">
        <v>14</v>
      </c>
      <c r="H875">
        <v>101.71</v>
      </c>
      <c r="I875">
        <v>197.05</v>
      </c>
      <c r="J875" t="s">
        <v>27</v>
      </c>
    </row>
    <row r="876" spans="1:10" x14ac:dyDescent="0.35">
      <c r="A876" t="s">
        <v>898</v>
      </c>
      <c r="B876" t="s">
        <v>17</v>
      </c>
      <c r="C876">
        <v>46</v>
      </c>
      <c r="D876">
        <v>29</v>
      </c>
      <c r="E876" t="s">
        <v>18</v>
      </c>
      <c r="F876" t="s">
        <v>22</v>
      </c>
      <c r="G876" t="s">
        <v>14</v>
      </c>
      <c r="H876">
        <v>102.32</v>
      </c>
      <c r="I876">
        <v>2681.89</v>
      </c>
      <c r="J876" t="s">
        <v>15</v>
      </c>
    </row>
    <row r="877" spans="1:10" x14ac:dyDescent="0.35">
      <c r="A877" t="s">
        <v>899</v>
      </c>
      <c r="B877" t="s">
        <v>11</v>
      </c>
      <c r="C877">
        <v>35</v>
      </c>
      <c r="D877">
        <v>52</v>
      </c>
      <c r="E877" t="s">
        <v>21</v>
      </c>
      <c r="F877" t="s">
        <v>29</v>
      </c>
      <c r="G877" t="s">
        <v>14</v>
      </c>
      <c r="H877">
        <v>78.540000000000006</v>
      </c>
      <c r="I877">
        <v>4239.1000000000004</v>
      </c>
      <c r="J877" t="s">
        <v>15</v>
      </c>
    </row>
    <row r="878" spans="1:10" x14ac:dyDescent="0.35">
      <c r="A878" t="s">
        <v>900</v>
      </c>
      <c r="B878" t="s">
        <v>17</v>
      </c>
      <c r="C878">
        <v>48</v>
      </c>
      <c r="D878">
        <v>27</v>
      </c>
      <c r="E878" t="s">
        <v>12</v>
      </c>
      <c r="F878" t="s">
        <v>22</v>
      </c>
      <c r="G878" t="s">
        <v>14</v>
      </c>
      <c r="H878">
        <v>89.04</v>
      </c>
      <c r="I878">
        <v>2618.2800000000002</v>
      </c>
      <c r="J878" t="s">
        <v>15</v>
      </c>
    </row>
    <row r="879" spans="1:10" x14ac:dyDescent="0.35">
      <c r="A879" t="s">
        <v>901</v>
      </c>
      <c r="B879" t="s">
        <v>17</v>
      </c>
      <c r="C879">
        <v>47</v>
      </c>
      <c r="D879">
        <v>50</v>
      </c>
      <c r="E879" t="s">
        <v>18</v>
      </c>
      <c r="F879" t="s">
        <v>33</v>
      </c>
      <c r="G879" t="s">
        <v>14</v>
      </c>
      <c r="H879">
        <v>116.94</v>
      </c>
      <c r="I879">
        <v>6001.5</v>
      </c>
      <c r="J879" t="s">
        <v>15</v>
      </c>
    </row>
    <row r="880" spans="1:10" x14ac:dyDescent="0.35">
      <c r="A880" t="s">
        <v>902</v>
      </c>
      <c r="B880" t="s">
        <v>11</v>
      </c>
      <c r="C880">
        <v>69</v>
      </c>
      <c r="D880">
        <v>23</v>
      </c>
      <c r="E880" t="s">
        <v>12</v>
      </c>
      <c r="F880" t="s">
        <v>29</v>
      </c>
      <c r="G880" t="s">
        <v>23</v>
      </c>
      <c r="H880">
        <v>127.37</v>
      </c>
      <c r="I880">
        <v>2891.6</v>
      </c>
      <c r="J880" t="s">
        <v>27</v>
      </c>
    </row>
    <row r="881" spans="1:10" x14ac:dyDescent="0.35">
      <c r="A881" t="s">
        <v>903</v>
      </c>
      <c r="B881" t="s">
        <v>11</v>
      </c>
      <c r="C881">
        <v>56</v>
      </c>
      <c r="D881">
        <v>44</v>
      </c>
      <c r="E881" t="s">
        <v>21</v>
      </c>
      <c r="F881" t="s">
        <v>29</v>
      </c>
      <c r="G881" t="s">
        <v>23</v>
      </c>
      <c r="H881">
        <v>110.55</v>
      </c>
      <c r="I881">
        <v>4888.67</v>
      </c>
      <c r="J881" t="s">
        <v>27</v>
      </c>
    </row>
    <row r="882" spans="1:10" x14ac:dyDescent="0.35">
      <c r="A882" t="s">
        <v>904</v>
      </c>
      <c r="B882" t="s">
        <v>11</v>
      </c>
      <c r="C882">
        <v>52</v>
      </c>
      <c r="D882">
        <v>22</v>
      </c>
      <c r="E882" t="s">
        <v>12</v>
      </c>
      <c r="F882" t="s">
        <v>13</v>
      </c>
      <c r="G882" t="s">
        <v>23</v>
      </c>
      <c r="H882">
        <v>140.13</v>
      </c>
      <c r="I882">
        <v>2897.66</v>
      </c>
      <c r="J882" t="s">
        <v>15</v>
      </c>
    </row>
    <row r="883" spans="1:10" x14ac:dyDescent="0.35">
      <c r="A883" t="s">
        <v>905</v>
      </c>
      <c r="B883" t="s">
        <v>17</v>
      </c>
      <c r="C883">
        <v>35</v>
      </c>
      <c r="D883">
        <v>43</v>
      </c>
      <c r="E883" t="s">
        <v>12</v>
      </c>
      <c r="F883" t="s">
        <v>33</v>
      </c>
      <c r="G883" t="s">
        <v>14</v>
      </c>
      <c r="H883">
        <v>126.64</v>
      </c>
      <c r="I883">
        <v>5718.39</v>
      </c>
      <c r="J883" t="s">
        <v>15</v>
      </c>
    </row>
    <row r="884" spans="1:10" x14ac:dyDescent="0.35">
      <c r="A884" t="s">
        <v>906</v>
      </c>
      <c r="B884" t="s">
        <v>11</v>
      </c>
      <c r="C884">
        <v>59</v>
      </c>
      <c r="D884">
        <v>37</v>
      </c>
      <c r="E884" t="s">
        <v>21</v>
      </c>
      <c r="F884" t="s">
        <v>33</v>
      </c>
      <c r="G884" t="s">
        <v>23</v>
      </c>
      <c r="H884">
        <v>93.04</v>
      </c>
      <c r="I884">
        <v>3612.14</v>
      </c>
      <c r="J884" t="s">
        <v>15</v>
      </c>
    </row>
    <row r="885" spans="1:10" x14ac:dyDescent="0.35">
      <c r="A885" t="s">
        <v>907</v>
      </c>
      <c r="B885" t="s">
        <v>17</v>
      </c>
      <c r="C885">
        <v>56</v>
      </c>
      <c r="D885">
        <v>61</v>
      </c>
      <c r="E885" t="s">
        <v>21</v>
      </c>
      <c r="F885" t="s">
        <v>13</v>
      </c>
      <c r="G885" t="s">
        <v>23</v>
      </c>
      <c r="H885">
        <v>107.28</v>
      </c>
      <c r="I885">
        <v>6080.13</v>
      </c>
      <c r="J885" t="s">
        <v>15</v>
      </c>
    </row>
    <row r="886" spans="1:10" x14ac:dyDescent="0.35">
      <c r="A886" t="s">
        <v>908</v>
      </c>
      <c r="B886" t="s">
        <v>17</v>
      </c>
      <c r="C886">
        <v>34</v>
      </c>
      <c r="D886">
        <v>56</v>
      </c>
      <c r="E886" t="s">
        <v>12</v>
      </c>
      <c r="F886" t="s">
        <v>22</v>
      </c>
      <c r="G886" t="s">
        <v>14</v>
      </c>
      <c r="H886">
        <v>140.41999999999999</v>
      </c>
      <c r="I886">
        <v>8457.9699999999993</v>
      </c>
      <c r="J886" t="s">
        <v>15</v>
      </c>
    </row>
    <row r="887" spans="1:10" x14ac:dyDescent="0.35">
      <c r="A887" t="s">
        <v>909</v>
      </c>
      <c r="B887" t="s">
        <v>11</v>
      </c>
      <c r="C887">
        <v>31</v>
      </c>
      <c r="D887">
        <v>3</v>
      </c>
      <c r="E887" t="s">
        <v>12</v>
      </c>
      <c r="F887" t="s">
        <v>13</v>
      </c>
      <c r="G887" t="s">
        <v>14</v>
      </c>
      <c r="H887">
        <v>100.49</v>
      </c>
      <c r="I887">
        <v>287.55</v>
      </c>
      <c r="J887" t="s">
        <v>27</v>
      </c>
    </row>
    <row r="888" spans="1:10" x14ac:dyDescent="0.35">
      <c r="A888" t="s">
        <v>910</v>
      </c>
      <c r="B888" t="s">
        <v>11</v>
      </c>
      <c r="C888">
        <v>48</v>
      </c>
      <c r="D888">
        <v>63</v>
      </c>
      <c r="E888" t="s">
        <v>18</v>
      </c>
      <c r="F888" t="s">
        <v>13</v>
      </c>
      <c r="G888" t="s">
        <v>14</v>
      </c>
      <c r="H888">
        <v>127.22</v>
      </c>
      <c r="I888">
        <v>8787.9</v>
      </c>
      <c r="J888" t="s">
        <v>15</v>
      </c>
    </row>
    <row r="889" spans="1:10" x14ac:dyDescent="0.35">
      <c r="A889" t="s">
        <v>911</v>
      </c>
      <c r="B889" t="s">
        <v>17</v>
      </c>
      <c r="C889">
        <v>41</v>
      </c>
      <c r="D889">
        <v>19</v>
      </c>
      <c r="E889" t="s">
        <v>12</v>
      </c>
      <c r="F889" t="s">
        <v>29</v>
      </c>
      <c r="G889" t="s">
        <v>14</v>
      </c>
      <c r="H889">
        <v>109.55</v>
      </c>
      <c r="I889">
        <v>2032.7</v>
      </c>
      <c r="J889" t="s">
        <v>27</v>
      </c>
    </row>
    <row r="890" spans="1:10" x14ac:dyDescent="0.35">
      <c r="A890" t="s">
        <v>912</v>
      </c>
      <c r="B890" t="s">
        <v>17</v>
      </c>
      <c r="C890">
        <v>52</v>
      </c>
      <c r="D890">
        <v>23</v>
      </c>
      <c r="E890" t="s">
        <v>12</v>
      </c>
      <c r="F890" t="s">
        <v>29</v>
      </c>
      <c r="G890" t="s">
        <v>23</v>
      </c>
      <c r="H890">
        <v>91.75</v>
      </c>
      <c r="I890">
        <v>1974.3</v>
      </c>
      <c r="J890" t="s">
        <v>27</v>
      </c>
    </row>
    <row r="891" spans="1:10" x14ac:dyDescent="0.35">
      <c r="A891" t="s">
        <v>913</v>
      </c>
      <c r="B891" t="s">
        <v>11</v>
      </c>
      <c r="C891">
        <v>61</v>
      </c>
      <c r="D891">
        <v>29</v>
      </c>
      <c r="E891" t="s">
        <v>18</v>
      </c>
      <c r="F891" t="s">
        <v>29</v>
      </c>
      <c r="G891" t="s">
        <v>23</v>
      </c>
      <c r="H891">
        <v>51.44</v>
      </c>
      <c r="I891">
        <v>1447.52</v>
      </c>
      <c r="J891" t="s">
        <v>15</v>
      </c>
    </row>
    <row r="892" spans="1:10" x14ac:dyDescent="0.35">
      <c r="A892" t="s">
        <v>914</v>
      </c>
      <c r="B892" t="s">
        <v>11</v>
      </c>
      <c r="C892">
        <v>62</v>
      </c>
      <c r="D892">
        <v>30</v>
      </c>
      <c r="E892" t="s">
        <v>18</v>
      </c>
      <c r="F892" t="s">
        <v>13</v>
      </c>
      <c r="G892" t="s">
        <v>23</v>
      </c>
      <c r="H892">
        <v>75.38</v>
      </c>
      <c r="I892">
        <v>2234.34</v>
      </c>
      <c r="J892" t="s">
        <v>15</v>
      </c>
    </row>
    <row r="893" spans="1:10" x14ac:dyDescent="0.35">
      <c r="A893" t="s">
        <v>915</v>
      </c>
      <c r="B893" t="s">
        <v>11</v>
      </c>
      <c r="C893">
        <v>51</v>
      </c>
      <c r="D893">
        <v>39</v>
      </c>
      <c r="E893" t="s">
        <v>12</v>
      </c>
      <c r="F893" t="s">
        <v>29</v>
      </c>
      <c r="G893" t="s">
        <v>23</v>
      </c>
      <c r="H893">
        <v>145.81</v>
      </c>
      <c r="I893">
        <v>5196.76</v>
      </c>
      <c r="J893" t="s">
        <v>27</v>
      </c>
    </row>
    <row r="894" spans="1:10" x14ac:dyDescent="0.35">
      <c r="A894" t="s">
        <v>916</v>
      </c>
      <c r="B894" t="s">
        <v>11</v>
      </c>
      <c r="C894">
        <v>20</v>
      </c>
      <c r="D894">
        <v>25</v>
      </c>
      <c r="E894" t="s">
        <v>21</v>
      </c>
      <c r="F894" t="s">
        <v>33</v>
      </c>
      <c r="G894" t="s">
        <v>19</v>
      </c>
      <c r="H894">
        <v>105.51</v>
      </c>
      <c r="I894">
        <v>2679.01</v>
      </c>
      <c r="J894" t="s">
        <v>15</v>
      </c>
    </row>
    <row r="895" spans="1:10" x14ac:dyDescent="0.35">
      <c r="A895" t="s">
        <v>917</v>
      </c>
      <c r="B895" t="s">
        <v>11</v>
      </c>
      <c r="C895">
        <v>54</v>
      </c>
      <c r="D895">
        <v>8</v>
      </c>
      <c r="E895" t="s">
        <v>18</v>
      </c>
      <c r="F895" t="s">
        <v>29</v>
      </c>
      <c r="G895" t="s">
        <v>23</v>
      </c>
      <c r="H895">
        <v>93.37</v>
      </c>
      <c r="I895">
        <v>761.55</v>
      </c>
      <c r="J895" t="s">
        <v>27</v>
      </c>
    </row>
    <row r="896" spans="1:10" x14ac:dyDescent="0.35">
      <c r="A896" t="s">
        <v>918</v>
      </c>
      <c r="B896" t="s">
        <v>17</v>
      </c>
      <c r="C896">
        <v>60</v>
      </c>
      <c r="D896">
        <v>58</v>
      </c>
      <c r="E896" t="s">
        <v>18</v>
      </c>
      <c r="F896" t="s">
        <v>29</v>
      </c>
      <c r="G896" t="s">
        <v>23</v>
      </c>
      <c r="H896">
        <v>141.28</v>
      </c>
      <c r="I896">
        <v>8585.81</v>
      </c>
      <c r="J896" t="s">
        <v>15</v>
      </c>
    </row>
    <row r="897" spans="1:10" x14ac:dyDescent="0.35">
      <c r="A897" t="s">
        <v>919</v>
      </c>
      <c r="B897" t="s">
        <v>17</v>
      </c>
      <c r="C897">
        <v>57</v>
      </c>
      <c r="D897">
        <v>16</v>
      </c>
      <c r="E897" t="s">
        <v>12</v>
      </c>
      <c r="F897" t="s">
        <v>13</v>
      </c>
      <c r="G897" t="s">
        <v>23</v>
      </c>
      <c r="H897">
        <v>96.25</v>
      </c>
      <c r="I897">
        <v>1394.98</v>
      </c>
      <c r="J897" t="s">
        <v>27</v>
      </c>
    </row>
    <row r="898" spans="1:10" x14ac:dyDescent="0.35">
      <c r="A898" t="s">
        <v>920</v>
      </c>
      <c r="B898" t="s">
        <v>17</v>
      </c>
      <c r="C898">
        <v>43</v>
      </c>
      <c r="D898">
        <v>72</v>
      </c>
      <c r="E898" t="s">
        <v>12</v>
      </c>
      <c r="F898" t="s">
        <v>1024</v>
      </c>
      <c r="G898" t="s">
        <v>14</v>
      </c>
      <c r="H898">
        <v>88.39</v>
      </c>
      <c r="I898">
        <v>6416.57</v>
      </c>
      <c r="J898" t="s">
        <v>15</v>
      </c>
    </row>
    <row r="899" spans="1:10" x14ac:dyDescent="0.35">
      <c r="A899" t="s">
        <v>921</v>
      </c>
      <c r="B899" t="s">
        <v>17</v>
      </c>
      <c r="C899">
        <v>40</v>
      </c>
      <c r="D899">
        <v>1</v>
      </c>
      <c r="E899" t="s">
        <v>12</v>
      </c>
      <c r="F899" t="s">
        <v>29</v>
      </c>
      <c r="G899" t="s">
        <v>14</v>
      </c>
      <c r="H899">
        <v>118.71</v>
      </c>
      <c r="I899">
        <v>108.1</v>
      </c>
      <c r="J899" t="s">
        <v>15</v>
      </c>
    </row>
    <row r="900" spans="1:10" x14ac:dyDescent="0.35">
      <c r="A900" t="s">
        <v>922</v>
      </c>
      <c r="B900" t="s">
        <v>11</v>
      </c>
      <c r="C900">
        <v>61</v>
      </c>
      <c r="D900">
        <v>5</v>
      </c>
      <c r="E900" t="s">
        <v>12</v>
      </c>
      <c r="F900" t="s">
        <v>29</v>
      </c>
      <c r="G900" t="s">
        <v>23</v>
      </c>
      <c r="H900">
        <v>112.65</v>
      </c>
      <c r="I900">
        <v>585.91</v>
      </c>
      <c r="J900" t="s">
        <v>27</v>
      </c>
    </row>
    <row r="901" spans="1:10" x14ac:dyDescent="0.35">
      <c r="A901" t="s">
        <v>923</v>
      </c>
      <c r="B901" t="s">
        <v>11</v>
      </c>
      <c r="C901">
        <v>56</v>
      </c>
      <c r="D901">
        <v>3</v>
      </c>
      <c r="E901" t="s">
        <v>21</v>
      </c>
      <c r="F901" t="s">
        <v>33</v>
      </c>
      <c r="G901" t="s">
        <v>23</v>
      </c>
      <c r="H901">
        <v>45.11</v>
      </c>
      <c r="I901">
        <v>123.31</v>
      </c>
      <c r="J901" t="s">
        <v>27</v>
      </c>
    </row>
    <row r="902" spans="1:10" x14ac:dyDescent="0.35">
      <c r="A902" t="s">
        <v>924</v>
      </c>
      <c r="B902" t="s">
        <v>11</v>
      </c>
      <c r="C902">
        <v>32</v>
      </c>
      <c r="D902">
        <v>65</v>
      </c>
      <c r="E902" t="s">
        <v>12</v>
      </c>
      <c r="F902" t="s">
        <v>29</v>
      </c>
      <c r="G902" t="s">
        <v>14</v>
      </c>
      <c r="H902">
        <v>81.27</v>
      </c>
      <c r="I902">
        <v>5717.54</v>
      </c>
      <c r="J902" t="s">
        <v>27</v>
      </c>
    </row>
    <row r="903" spans="1:10" x14ac:dyDescent="0.35">
      <c r="A903" t="s">
        <v>925</v>
      </c>
      <c r="B903" t="s">
        <v>17</v>
      </c>
      <c r="C903">
        <v>66</v>
      </c>
      <c r="D903">
        <v>4</v>
      </c>
      <c r="E903" t="s">
        <v>21</v>
      </c>
      <c r="F903" t="s">
        <v>29</v>
      </c>
      <c r="G903" t="s">
        <v>23</v>
      </c>
      <c r="H903">
        <v>81.430000000000007</v>
      </c>
      <c r="I903">
        <v>338.88</v>
      </c>
      <c r="J903" t="s">
        <v>15</v>
      </c>
    </row>
    <row r="904" spans="1:10" x14ac:dyDescent="0.35">
      <c r="A904" t="s">
        <v>926</v>
      </c>
      <c r="B904" t="s">
        <v>17</v>
      </c>
      <c r="C904">
        <v>21</v>
      </c>
      <c r="D904">
        <v>64</v>
      </c>
      <c r="E904" t="s">
        <v>12</v>
      </c>
      <c r="F904" t="s">
        <v>33</v>
      </c>
      <c r="G904" t="s">
        <v>19</v>
      </c>
      <c r="H904">
        <v>69.17</v>
      </c>
      <c r="I904">
        <v>4433.42</v>
      </c>
      <c r="J904" t="s">
        <v>15</v>
      </c>
    </row>
    <row r="905" spans="1:10" x14ac:dyDescent="0.35">
      <c r="A905" t="s">
        <v>927</v>
      </c>
      <c r="B905" t="s">
        <v>11</v>
      </c>
      <c r="C905">
        <v>46</v>
      </c>
      <c r="D905">
        <v>10</v>
      </c>
      <c r="E905" t="s">
        <v>12</v>
      </c>
      <c r="F905" t="s">
        <v>29</v>
      </c>
      <c r="G905" t="s">
        <v>14</v>
      </c>
      <c r="H905">
        <v>87.25</v>
      </c>
      <c r="I905">
        <v>862.29</v>
      </c>
      <c r="J905" t="s">
        <v>27</v>
      </c>
    </row>
    <row r="906" spans="1:10" x14ac:dyDescent="0.35">
      <c r="A906" t="s">
        <v>928</v>
      </c>
      <c r="B906" t="s">
        <v>11</v>
      </c>
      <c r="C906">
        <v>39</v>
      </c>
      <c r="D906">
        <v>21</v>
      </c>
      <c r="E906" t="s">
        <v>18</v>
      </c>
      <c r="F906" t="s">
        <v>13</v>
      </c>
      <c r="G906" t="s">
        <v>14</v>
      </c>
      <c r="H906">
        <v>73.7</v>
      </c>
      <c r="I906">
        <v>1433.38</v>
      </c>
      <c r="J906" t="s">
        <v>15</v>
      </c>
    </row>
    <row r="907" spans="1:10" x14ac:dyDescent="0.35">
      <c r="A907" t="s">
        <v>929</v>
      </c>
      <c r="B907" t="s">
        <v>17</v>
      </c>
      <c r="C907">
        <v>42</v>
      </c>
      <c r="D907">
        <v>46</v>
      </c>
      <c r="E907" t="s">
        <v>12</v>
      </c>
      <c r="F907" t="s">
        <v>13</v>
      </c>
      <c r="G907" t="s">
        <v>14</v>
      </c>
      <c r="H907">
        <v>45.91</v>
      </c>
      <c r="I907">
        <v>2023.58</v>
      </c>
      <c r="J907" t="s">
        <v>27</v>
      </c>
    </row>
    <row r="908" spans="1:10" x14ac:dyDescent="0.35">
      <c r="A908" t="s">
        <v>930</v>
      </c>
      <c r="B908" t="s">
        <v>17</v>
      </c>
      <c r="C908">
        <v>30</v>
      </c>
      <c r="D908">
        <v>27</v>
      </c>
      <c r="E908" t="s">
        <v>12</v>
      </c>
      <c r="F908" t="s">
        <v>29</v>
      </c>
      <c r="G908" t="s">
        <v>14</v>
      </c>
      <c r="H908">
        <v>73.61</v>
      </c>
      <c r="I908">
        <v>2134.13</v>
      </c>
      <c r="J908" t="s">
        <v>15</v>
      </c>
    </row>
    <row r="909" spans="1:10" x14ac:dyDescent="0.35">
      <c r="A909" t="s">
        <v>931</v>
      </c>
      <c r="B909" t="s">
        <v>11</v>
      </c>
      <c r="C909">
        <v>35</v>
      </c>
      <c r="D909">
        <v>66</v>
      </c>
      <c r="E909" t="s">
        <v>18</v>
      </c>
      <c r="F909" t="s">
        <v>29</v>
      </c>
      <c r="G909" t="s">
        <v>14</v>
      </c>
      <c r="H909">
        <v>29.4</v>
      </c>
      <c r="I909">
        <v>2097.36</v>
      </c>
      <c r="J909" t="s">
        <v>15</v>
      </c>
    </row>
    <row r="910" spans="1:10" x14ac:dyDescent="0.35">
      <c r="A910" t="s">
        <v>932</v>
      </c>
      <c r="B910" t="s">
        <v>11</v>
      </c>
      <c r="C910">
        <v>50</v>
      </c>
      <c r="D910">
        <v>41</v>
      </c>
      <c r="E910" t="s">
        <v>12</v>
      </c>
      <c r="F910" t="s">
        <v>29</v>
      </c>
      <c r="G910" t="s">
        <v>23</v>
      </c>
      <c r="H910">
        <v>94.85</v>
      </c>
      <c r="I910">
        <v>3500.55</v>
      </c>
      <c r="J910" t="s">
        <v>15</v>
      </c>
    </row>
    <row r="911" spans="1:10" x14ac:dyDescent="0.35">
      <c r="A911" t="s">
        <v>933</v>
      </c>
      <c r="B911" t="s">
        <v>17</v>
      </c>
      <c r="C911">
        <v>33</v>
      </c>
      <c r="D911">
        <v>13</v>
      </c>
      <c r="E911" t="s">
        <v>21</v>
      </c>
      <c r="F911" t="s">
        <v>29</v>
      </c>
      <c r="G911" t="s">
        <v>14</v>
      </c>
      <c r="H911">
        <v>130.97999999999999</v>
      </c>
      <c r="I911">
        <v>1734.8</v>
      </c>
      <c r="J911" t="s">
        <v>15</v>
      </c>
    </row>
    <row r="912" spans="1:10" x14ac:dyDescent="0.35">
      <c r="A912" t="s">
        <v>934</v>
      </c>
      <c r="B912" t="s">
        <v>11</v>
      </c>
      <c r="C912">
        <v>62</v>
      </c>
      <c r="D912">
        <v>9</v>
      </c>
      <c r="E912" t="s">
        <v>21</v>
      </c>
      <c r="F912" t="s">
        <v>29</v>
      </c>
      <c r="G912" t="s">
        <v>23</v>
      </c>
      <c r="H912">
        <v>114.29</v>
      </c>
      <c r="I912">
        <v>1073.72</v>
      </c>
      <c r="J912" t="s">
        <v>15</v>
      </c>
    </row>
    <row r="913" spans="1:10" x14ac:dyDescent="0.35">
      <c r="A913" t="s">
        <v>935</v>
      </c>
      <c r="B913" t="s">
        <v>11</v>
      </c>
      <c r="C913">
        <v>59</v>
      </c>
      <c r="D913">
        <v>36</v>
      </c>
      <c r="E913" t="s">
        <v>12</v>
      </c>
      <c r="F913" t="s">
        <v>22</v>
      </c>
      <c r="G913" t="s">
        <v>23</v>
      </c>
      <c r="H913">
        <v>66.849999999999994</v>
      </c>
      <c r="I913">
        <v>2463.7600000000002</v>
      </c>
      <c r="J913" t="s">
        <v>15</v>
      </c>
    </row>
    <row r="914" spans="1:10" x14ac:dyDescent="0.35">
      <c r="A914" t="s">
        <v>936</v>
      </c>
      <c r="B914" t="s">
        <v>11</v>
      </c>
      <c r="C914">
        <v>61</v>
      </c>
      <c r="D914">
        <v>58</v>
      </c>
      <c r="E914" t="s">
        <v>18</v>
      </c>
      <c r="F914" t="s">
        <v>13</v>
      </c>
      <c r="G914" t="s">
        <v>23</v>
      </c>
      <c r="H914">
        <v>31.32</v>
      </c>
      <c r="I914">
        <v>1664.58</v>
      </c>
      <c r="J914" t="s">
        <v>15</v>
      </c>
    </row>
    <row r="915" spans="1:10" x14ac:dyDescent="0.35">
      <c r="A915" t="s">
        <v>937</v>
      </c>
      <c r="B915" t="s">
        <v>17</v>
      </c>
      <c r="C915">
        <v>19</v>
      </c>
      <c r="D915">
        <v>54</v>
      </c>
      <c r="E915" t="s">
        <v>12</v>
      </c>
      <c r="F915" t="s">
        <v>13</v>
      </c>
      <c r="G915" t="s">
        <v>19</v>
      </c>
      <c r="H915">
        <v>46.28</v>
      </c>
      <c r="I915">
        <v>2358.0300000000002</v>
      </c>
      <c r="J915" t="s">
        <v>15</v>
      </c>
    </row>
    <row r="916" spans="1:10" x14ac:dyDescent="0.35">
      <c r="A916" t="s">
        <v>938</v>
      </c>
      <c r="B916" t="s">
        <v>17</v>
      </c>
      <c r="C916">
        <v>52</v>
      </c>
      <c r="D916">
        <v>12</v>
      </c>
      <c r="E916" t="s">
        <v>12</v>
      </c>
      <c r="F916" t="s">
        <v>33</v>
      </c>
      <c r="G916" t="s">
        <v>23</v>
      </c>
      <c r="H916">
        <v>90.91</v>
      </c>
      <c r="I916">
        <v>1036.45</v>
      </c>
      <c r="J916" t="s">
        <v>27</v>
      </c>
    </row>
    <row r="917" spans="1:10" x14ac:dyDescent="0.35">
      <c r="A917" t="s">
        <v>939</v>
      </c>
      <c r="B917" t="s">
        <v>17</v>
      </c>
      <c r="C917">
        <v>59</v>
      </c>
      <c r="D917">
        <v>14</v>
      </c>
      <c r="E917" t="s">
        <v>12</v>
      </c>
      <c r="F917" t="s">
        <v>22</v>
      </c>
      <c r="G917" t="s">
        <v>23</v>
      </c>
      <c r="H917">
        <v>46.92</v>
      </c>
      <c r="I917">
        <v>700.46</v>
      </c>
      <c r="J917" t="s">
        <v>27</v>
      </c>
    </row>
    <row r="918" spans="1:10" x14ac:dyDescent="0.35">
      <c r="A918" t="s">
        <v>940</v>
      </c>
      <c r="B918" t="s">
        <v>17</v>
      </c>
      <c r="C918">
        <v>51</v>
      </c>
      <c r="D918">
        <v>34</v>
      </c>
      <c r="E918" t="s">
        <v>12</v>
      </c>
      <c r="F918" t="s">
        <v>29</v>
      </c>
      <c r="G918" t="s">
        <v>23</v>
      </c>
      <c r="H918">
        <v>90.72</v>
      </c>
      <c r="I918">
        <v>3061.78</v>
      </c>
      <c r="J918" t="s">
        <v>15</v>
      </c>
    </row>
    <row r="919" spans="1:10" x14ac:dyDescent="0.35">
      <c r="A919" t="s">
        <v>941</v>
      </c>
      <c r="B919" t="s">
        <v>17</v>
      </c>
      <c r="C919">
        <v>47</v>
      </c>
      <c r="D919">
        <v>53</v>
      </c>
      <c r="E919" t="s">
        <v>18</v>
      </c>
      <c r="F919" t="s">
        <v>33</v>
      </c>
      <c r="G919" t="s">
        <v>14</v>
      </c>
      <c r="H919">
        <v>50.11</v>
      </c>
      <c r="I919">
        <v>2648.83</v>
      </c>
      <c r="J919" t="s">
        <v>15</v>
      </c>
    </row>
    <row r="920" spans="1:10" x14ac:dyDescent="0.35">
      <c r="A920" t="s">
        <v>942</v>
      </c>
      <c r="B920" t="s">
        <v>17</v>
      </c>
      <c r="C920">
        <v>30</v>
      </c>
      <c r="D920">
        <v>20</v>
      </c>
      <c r="E920" t="s">
        <v>12</v>
      </c>
      <c r="F920" t="s">
        <v>29</v>
      </c>
      <c r="G920" t="s">
        <v>14</v>
      </c>
      <c r="H920">
        <v>130.36000000000001</v>
      </c>
      <c r="I920">
        <v>2833.97</v>
      </c>
      <c r="J920" t="s">
        <v>15</v>
      </c>
    </row>
    <row r="921" spans="1:10" x14ac:dyDescent="0.35">
      <c r="A921" t="s">
        <v>943</v>
      </c>
      <c r="B921" t="s">
        <v>17</v>
      </c>
      <c r="C921">
        <v>30</v>
      </c>
      <c r="D921">
        <v>16</v>
      </c>
      <c r="E921" t="s">
        <v>12</v>
      </c>
      <c r="F921" t="s">
        <v>29</v>
      </c>
      <c r="G921" t="s">
        <v>14</v>
      </c>
      <c r="H921">
        <v>71.650000000000006</v>
      </c>
      <c r="I921">
        <v>1177.83</v>
      </c>
      <c r="J921" t="s">
        <v>15</v>
      </c>
    </row>
    <row r="922" spans="1:10" x14ac:dyDescent="0.35">
      <c r="A922" t="s">
        <v>944</v>
      </c>
      <c r="B922" t="s">
        <v>11</v>
      </c>
      <c r="C922">
        <v>35</v>
      </c>
      <c r="D922">
        <v>70</v>
      </c>
      <c r="E922" t="s">
        <v>12</v>
      </c>
      <c r="F922" t="s">
        <v>22</v>
      </c>
      <c r="G922" t="s">
        <v>14</v>
      </c>
      <c r="H922">
        <v>51.92</v>
      </c>
      <c r="I922">
        <v>3924.18</v>
      </c>
      <c r="J922" t="s">
        <v>15</v>
      </c>
    </row>
    <row r="923" spans="1:10" x14ac:dyDescent="0.35">
      <c r="A923" t="s">
        <v>945</v>
      </c>
      <c r="B923" t="s">
        <v>11</v>
      </c>
      <c r="C923">
        <v>49</v>
      </c>
      <c r="D923">
        <v>56</v>
      </c>
      <c r="E923" t="s">
        <v>21</v>
      </c>
      <c r="F923" t="s">
        <v>13</v>
      </c>
      <c r="G923" t="s">
        <v>14</v>
      </c>
      <c r="H923">
        <v>125.6</v>
      </c>
      <c r="I923">
        <v>6972.42</v>
      </c>
      <c r="J923" t="s">
        <v>15</v>
      </c>
    </row>
    <row r="924" spans="1:10" x14ac:dyDescent="0.35">
      <c r="A924" t="s">
        <v>946</v>
      </c>
      <c r="B924" t="s">
        <v>11</v>
      </c>
      <c r="C924">
        <v>49</v>
      </c>
      <c r="D924">
        <v>58</v>
      </c>
      <c r="E924" t="s">
        <v>12</v>
      </c>
      <c r="F924" t="s">
        <v>13</v>
      </c>
      <c r="G924" t="s">
        <v>14</v>
      </c>
      <c r="H924">
        <v>64.569999999999993</v>
      </c>
      <c r="I924">
        <v>3482.48</v>
      </c>
      <c r="J924" t="s">
        <v>15</v>
      </c>
    </row>
    <row r="925" spans="1:10" x14ac:dyDescent="0.35">
      <c r="A925" t="s">
        <v>947</v>
      </c>
      <c r="B925" t="s">
        <v>11</v>
      </c>
      <c r="C925">
        <v>52</v>
      </c>
      <c r="D925">
        <v>4</v>
      </c>
      <c r="E925" t="s">
        <v>12</v>
      </c>
      <c r="F925" t="s">
        <v>29</v>
      </c>
      <c r="G925" t="s">
        <v>23</v>
      </c>
      <c r="H925">
        <v>34.49</v>
      </c>
      <c r="I925">
        <v>149.82</v>
      </c>
      <c r="J925" t="s">
        <v>15</v>
      </c>
    </row>
    <row r="926" spans="1:10" x14ac:dyDescent="0.35">
      <c r="A926" t="s">
        <v>948</v>
      </c>
      <c r="B926" t="s">
        <v>11</v>
      </c>
      <c r="C926">
        <v>56</v>
      </c>
      <c r="D926">
        <v>4</v>
      </c>
      <c r="E926" t="s">
        <v>21</v>
      </c>
      <c r="F926" t="s">
        <v>13</v>
      </c>
      <c r="G926" t="s">
        <v>23</v>
      </c>
      <c r="H926">
        <v>94.15</v>
      </c>
      <c r="I926">
        <v>373.49</v>
      </c>
      <c r="J926" t="s">
        <v>15</v>
      </c>
    </row>
    <row r="927" spans="1:10" x14ac:dyDescent="0.35">
      <c r="A927" t="s">
        <v>949</v>
      </c>
      <c r="B927" t="s">
        <v>11</v>
      </c>
      <c r="C927">
        <v>63</v>
      </c>
      <c r="D927">
        <v>20</v>
      </c>
      <c r="E927" t="s">
        <v>12</v>
      </c>
      <c r="F927" t="s">
        <v>29</v>
      </c>
      <c r="G927" t="s">
        <v>23</v>
      </c>
      <c r="H927">
        <v>95.6</v>
      </c>
      <c r="I927">
        <v>1790.26</v>
      </c>
      <c r="J927" t="s">
        <v>27</v>
      </c>
    </row>
    <row r="928" spans="1:10" x14ac:dyDescent="0.35">
      <c r="A928" t="s">
        <v>950</v>
      </c>
      <c r="B928" t="s">
        <v>11</v>
      </c>
      <c r="C928">
        <v>69</v>
      </c>
      <c r="D928">
        <v>10</v>
      </c>
      <c r="E928" t="s">
        <v>12</v>
      </c>
      <c r="F928" t="s">
        <v>33</v>
      </c>
      <c r="G928" t="s">
        <v>23</v>
      </c>
      <c r="H928">
        <v>112.91</v>
      </c>
      <c r="I928">
        <v>1084.48</v>
      </c>
      <c r="J928" t="s">
        <v>15</v>
      </c>
    </row>
    <row r="929" spans="1:10" x14ac:dyDescent="0.35">
      <c r="A929" t="s">
        <v>951</v>
      </c>
      <c r="B929" t="s">
        <v>17</v>
      </c>
      <c r="C929">
        <v>46</v>
      </c>
      <c r="D929">
        <v>24</v>
      </c>
      <c r="E929" t="s">
        <v>12</v>
      </c>
      <c r="F929" t="s">
        <v>29</v>
      </c>
      <c r="G929" t="s">
        <v>14</v>
      </c>
      <c r="H929">
        <v>51.23</v>
      </c>
      <c r="I929">
        <v>1119.06</v>
      </c>
      <c r="J929" t="s">
        <v>15</v>
      </c>
    </row>
    <row r="930" spans="1:10" x14ac:dyDescent="0.35">
      <c r="A930" t="s">
        <v>952</v>
      </c>
      <c r="B930" t="s">
        <v>17</v>
      </c>
      <c r="C930">
        <v>66</v>
      </c>
      <c r="D930">
        <v>26</v>
      </c>
      <c r="E930" t="s">
        <v>12</v>
      </c>
      <c r="F930" t="s">
        <v>33</v>
      </c>
      <c r="G930" t="s">
        <v>23</v>
      </c>
      <c r="H930">
        <v>77.69</v>
      </c>
      <c r="I930">
        <v>2007.13</v>
      </c>
      <c r="J930" t="s">
        <v>15</v>
      </c>
    </row>
    <row r="931" spans="1:10" x14ac:dyDescent="0.35">
      <c r="A931" t="s">
        <v>953</v>
      </c>
      <c r="B931" t="s">
        <v>11</v>
      </c>
      <c r="C931">
        <v>46</v>
      </c>
      <c r="D931">
        <v>37</v>
      </c>
      <c r="E931" t="s">
        <v>18</v>
      </c>
      <c r="F931" t="s">
        <v>13</v>
      </c>
      <c r="G931" t="s">
        <v>14</v>
      </c>
      <c r="H931">
        <v>56.71</v>
      </c>
      <c r="I931">
        <v>2246.46</v>
      </c>
      <c r="J931" t="s">
        <v>27</v>
      </c>
    </row>
    <row r="932" spans="1:10" x14ac:dyDescent="0.35">
      <c r="A932" t="s">
        <v>954</v>
      </c>
      <c r="B932" t="s">
        <v>11</v>
      </c>
      <c r="C932">
        <v>70</v>
      </c>
      <c r="D932">
        <v>54</v>
      </c>
      <c r="E932" t="s">
        <v>12</v>
      </c>
      <c r="F932" t="s">
        <v>33</v>
      </c>
      <c r="G932" t="s">
        <v>23</v>
      </c>
      <c r="H932">
        <v>30.52</v>
      </c>
      <c r="I932">
        <v>1791</v>
      </c>
      <c r="J932" t="s">
        <v>27</v>
      </c>
    </row>
    <row r="933" spans="1:10" x14ac:dyDescent="0.35">
      <c r="A933" t="s">
        <v>955</v>
      </c>
      <c r="B933" t="s">
        <v>17</v>
      </c>
      <c r="C933">
        <v>61</v>
      </c>
      <c r="D933">
        <v>21</v>
      </c>
      <c r="E933" t="s">
        <v>12</v>
      </c>
      <c r="F933" t="s">
        <v>22</v>
      </c>
      <c r="G933" t="s">
        <v>23</v>
      </c>
      <c r="H933">
        <v>133.96</v>
      </c>
      <c r="I933">
        <v>3056.56</v>
      </c>
      <c r="J933" t="s">
        <v>15</v>
      </c>
    </row>
    <row r="934" spans="1:10" x14ac:dyDescent="0.35">
      <c r="A934" t="s">
        <v>956</v>
      </c>
      <c r="B934" t="s">
        <v>11</v>
      </c>
      <c r="C934">
        <v>33</v>
      </c>
      <c r="D934">
        <v>38</v>
      </c>
      <c r="E934" t="s">
        <v>12</v>
      </c>
      <c r="F934" t="s">
        <v>22</v>
      </c>
      <c r="G934" t="s">
        <v>14</v>
      </c>
      <c r="H934">
        <v>114.75</v>
      </c>
      <c r="I934">
        <v>4033.66</v>
      </c>
      <c r="J934" t="s">
        <v>15</v>
      </c>
    </row>
    <row r="935" spans="1:10" x14ac:dyDescent="0.35">
      <c r="A935" t="s">
        <v>957</v>
      </c>
      <c r="B935" t="s">
        <v>11</v>
      </c>
      <c r="C935">
        <v>61</v>
      </c>
      <c r="D935">
        <v>46</v>
      </c>
      <c r="E935" t="s">
        <v>21</v>
      </c>
      <c r="F935" t="s">
        <v>29</v>
      </c>
      <c r="G935" t="s">
        <v>23</v>
      </c>
      <c r="H935">
        <v>59.19</v>
      </c>
      <c r="I935">
        <v>2658.51</v>
      </c>
      <c r="J935" t="s">
        <v>15</v>
      </c>
    </row>
    <row r="936" spans="1:10" x14ac:dyDescent="0.35">
      <c r="A936" t="s">
        <v>958</v>
      </c>
      <c r="B936" t="s">
        <v>17</v>
      </c>
      <c r="C936">
        <v>64</v>
      </c>
      <c r="D936">
        <v>4</v>
      </c>
      <c r="E936" t="s">
        <v>21</v>
      </c>
      <c r="F936" t="s">
        <v>29</v>
      </c>
      <c r="G936" t="s">
        <v>23</v>
      </c>
      <c r="H936">
        <v>97.92</v>
      </c>
      <c r="I936">
        <v>354.72</v>
      </c>
      <c r="J936" t="s">
        <v>15</v>
      </c>
    </row>
    <row r="937" spans="1:10" x14ac:dyDescent="0.35">
      <c r="A937" t="s">
        <v>959</v>
      </c>
      <c r="B937" t="s">
        <v>11</v>
      </c>
      <c r="C937">
        <v>27</v>
      </c>
      <c r="D937">
        <v>60</v>
      </c>
      <c r="E937" t="s">
        <v>12</v>
      </c>
      <c r="F937" t="s">
        <v>29</v>
      </c>
      <c r="G937" t="s">
        <v>19</v>
      </c>
      <c r="H937">
        <v>46.16</v>
      </c>
      <c r="I937">
        <v>2966.33</v>
      </c>
      <c r="J937" t="s">
        <v>15</v>
      </c>
    </row>
    <row r="938" spans="1:10" x14ac:dyDescent="0.35">
      <c r="A938" t="s">
        <v>960</v>
      </c>
      <c r="B938" t="s">
        <v>17</v>
      </c>
      <c r="C938">
        <v>47</v>
      </c>
      <c r="D938">
        <v>57</v>
      </c>
      <c r="E938" t="s">
        <v>21</v>
      </c>
      <c r="F938" t="s">
        <v>33</v>
      </c>
      <c r="G938" t="s">
        <v>14</v>
      </c>
      <c r="H938">
        <v>135.72999999999999</v>
      </c>
      <c r="I938">
        <v>7518.06</v>
      </c>
      <c r="J938" t="s">
        <v>15</v>
      </c>
    </row>
    <row r="939" spans="1:10" x14ac:dyDescent="0.35">
      <c r="A939" t="s">
        <v>961</v>
      </c>
      <c r="B939" t="s">
        <v>11</v>
      </c>
      <c r="C939">
        <v>42</v>
      </c>
      <c r="D939">
        <v>45</v>
      </c>
      <c r="E939" t="s">
        <v>21</v>
      </c>
      <c r="F939" t="s">
        <v>33</v>
      </c>
      <c r="G939" t="s">
        <v>14</v>
      </c>
      <c r="H939">
        <v>34.94</v>
      </c>
      <c r="I939">
        <v>1613.53</v>
      </c>
      <c r="J939" t="s">
        <v>27</v>
      </c>
    </row>
    <row r="940" spans="1:10" x14ac:dyDescent="0.35">
      <c r="A940" t="s">
        <v>962</v>
      </c>
      <c r="B940" t="s">
        <v>17</v>
      </c>
      <c r="C940">
        <v>56</v>
      </c>
      <c r="D940">
        <v>20</v>
      </c>
      <c r="E940" t="s">
        <v>18</v>
      </c>
      <c r="F940" t="s">
        <v>13</v>
      </c>
      <c r="G940" t="s">
        <v>23</v>
      </c>
      <c r="H940">
        <v>20.5</v>
      </c>
      <c r="I940">
        <v>427.62</v>
      </c>
      <c r="J940" t="s">
        <v>15</v>
      </c>
    </row>
    <row r="941" spans="1:10" x14ac:dyDescent="0.35">
      <c r="A941" t="s">
        <v>963</v>
      </c>
      <c r="B941" t="s">
        <v>17</v>
      </c>
      <c r="C941">
        <v>37</v>
      </c>
      <c r="D941">
        <v>17</v>
      </c>
      <c r="E941" t="s">
        <v>18</v>
      </c>
      <c r="F941" t="s">
        <v>29</v>
      </c>
      <c r="G941" t="s">
        <v>14</v>
      </c>
      <c r="H941">
        <v>85.26</v>
      </c>
      <c r="I941">
        <v>1429.08</v>
      </c>
      <c r="J941" t="s">
        <v>15</v>
      </c>
    </row>
    <row r="942" spans="1:10" x14ac:dyDescent="0.35">
      <c r="A942" t="s">
        <v>964</v>
      </c>
      <c r="B942" t="s">
        <v>17</v>
      </c>
      <c r="C942">
        <v>22</v>
      </c>
      <c r="D942">
        <v>71</v>
      </c>
      <c r="E942" t="s">
        <v>12</v>
      </c>
      <c r="F942" t="s">
        <v>13</v>
      </c>
      <c r="G942" t="s">
        <v>19</v>
      </c>
      <c r="H942">
        <v>95.81</v>
      </c>
      <c r="I942">
        <v>6539.17</v>
      </c>
      <c r="J942" t="s">
        <v>27</v>
      </c>
    </row>
    <row r="943" spans="1:10" x14ac:dyDescent="0.35">
      <c r="A943" t="s">
        <v>965</v>
      </c>
      <c r="B943" t="s">
        <v>11</v>
      </c>
      <c r="C943">
        <v>18</v>
      </c>
      <c r="D943">
        <v>4</v>
      </c>
      <c r="E943" t="s">
        <v>12</v>
      </c>
      <c r="F943" t="s">
        <v>22</v>
      </c>
      <c r="G943" t="s">
        <v>19</v>
      </c>
      <c r="H943">
        <v>95.27</v>
      </c>
      <c r="I943">
        <v>416.31</v>
      </c>
      <c r="J943" t="s">
        <v>15</v>
      </c>
    </row>
    <row r="944" spans="1:10" x14ac:dyDescent="0.35">
      <c r="A944" t="s">
        <v>966</v>
      </c>
      <c r="B944" t="s">
        <v>17</v>
      </c>
      <c r="C944">
        <v>47</v>
      </c>
      <c r="D944">
        <v>14</v>
      </c>
      <c r="E944" t="s">
        <v>12</v>
      </c>
      <c r="F944" t="s">
        <v>13</v>
      </c>
      <c r="G944" t="s">
        <v>14</v>
      </c>
      <c r="H944">
        <v>27.09</v>
      </c>
      <c r="I944">
        <v>414.49</v>
      </c>
      <c r="J944" t="s">
        <v>15</v>
      </c>
    </row>
    <row r="945" spans="1:10" x14ac:dyDescent="0.35">
      <c r="A945" t="s">
        <v>967</v>
      </c>
      <c r="B945" t="s">
        <v>11</v>
      </c>
      <c r="C945">
        <v>66</v>
      </c>
      <c r="D945">
        <v>3</v>
      </c>
      <c r="E945" t="s">
        <v>12</v>
      </c>
      <c r="F945" t="s">
        <v>22</v>
      </c>
      <c r="G945" t="s">
        <v>23</v>
      </c>
      <c r="H945">
        <v>60.83</v>
      </c>
      <c r="I945">
        <v>174.8</v>
      </c>
      <c r="J945" t="s">
        <v>15</v>
      </c>
    </row>
    <row r="946" spans="1:10" x14ac:dyDescent="0.35">
      <c r="A946" t="s">
        <v>968</v>
      </c>
      <c r="B946" t="s">
        <v>11</v>
      </c>
      <c r="C946">
        <v>20</v>
      </c>
      <c r="D946">
        <v>58</v>
      </c>
      <c r="E946" t="s">
        <v>18</v>
      </c>
      <c r="F946" t="s">
        <v>33</v>
      </c>
      <c r="G946" t="s">
        <v>19</v>
      </c>
      <c r="H946">
        <v>84.9</v>
      </c>
      <c r="I946">
        <v>4904.13</v>
      </c>
      <c r="J946" t="s">
        <v>15</v>
      </c>
    </row>
    <row r="947" spans="1:10" x14ac:dyDescent="0.35">
      <c r="A947" t="s">
        <v>969</v>
      </c>
      <c r="B947" t="s">
        <v>11</v>
      </c>
      <c r="C947">
        <v>62</v>
      </c>
      <c r="D947">
        <v>55</v>
      </c>
      <c r="E947" t="s">
        <v>12</v>
      </c>
      <c r="F947" t="s">
        <v>29</v>
      </c>
      <c r="G947" t="s">
        <v>23</v>
      </c>
      <c r="H947">
        <v>48.16</v>
      </c>
      <c r="I947">
        <v>2899.29</v>
      </c>
      <c r="J947" t="s">
        <v>15</v>
      </c>
    </row>
    <row r="948" spans="1:10" x14ac:dyDescent="0.35">
      <c r="A948" t="s">
        <v>970</v>
      </c>
      <c r="B948" t="s">
        <v>11</v>
      </c>
      <c r="C948">
        <v>31</v>
      </c>
      <c r="D948">
        <v>4</v>
      </c>
      <c r="E948" t="s">
        <v>12</v>
      </c>
      <c r="F948" t="s">
        <v>13</v>
      </c>
      <c r="G948" t="s">
        <v>14</v>
      </c>
      <c r="H948">
        <v>133.44</v>
      </c>
      <c r="I948">
        <v>480.9</v>
      </c>
      <c r="J948" t="s">
        <v>27</v>
      </c>
    </row>
    <row r="949" spans="1:10" x14ac:dyDescent="0.35">
      <c r="A949" t="s">
        <v>971</v>
      </c>
      <c r="B949" t="s">
        <v>17</v>
      </c>
      <c r="C949">
        <v>47</v>
      </c>
      <c r="D949">
        <v>24</v>
      </c>
      <c r="E949" t="s">
        <v>21</v>
      </c>
      <c r="F949" t="s">
        <v>13</v>
      </c>
      <c r="G949" t="s">
        <v>14</v>
      </c>
      <c r="H949">
        <v>31.32</v>
      </c>
      <c r="I949">
        <v>738.55</v>
      </c>
      <c r="J949" t="s">
        <v>15</v>
      </c>
    </row>
    <row r="950" spans="1:10" x14ac:dyDescent="0.35">
      <c r="A950" t="s">
        <v>972</v>
      </c>
      <c r="B950" t="s">
        <v>17</v>
      </c>
      <c r="C950">
        <v>67</v>
      </c>
      <c r="D950">
        <v>34</v>
      </c>
      <c r="E950" t="s">
        <v>12</v>
      </c>
      <c r="F950" t="s">
        <v>29</v>
      </c>
      <c r="G950" t="s">
        <v>23</v>
      </c>
      <c r="H950">
        <v>83.36</v>
      </c>
      <c r="I950">
        <v>2607.7600000000002</v>
      </c>
      <c r="J950" t="s">
        <v>15</v>
      </c>
    </row>
    <row r="951" spans="1:10" x14ac:dyDescent="0.35">
      <c r="A951" t="s">
        <v>973</v>
      </c>
      <c r="B951" t="s">
        <v>11</v>
      </c>
      <c r="C951">
        <v>21</v>
      </c>
      <c r="D951">
        <v>30</v>
      </c>
      <c r="E951" t="s">
        <v>12</v>
      </c>
      <c r="F951" t="s">
        <v>29</v>
      </c>
      <c r="G951" t="s">
        <v>19</v>
      </c>
      <c r="H951">
        <v>109.88</v>
      </c>
      <c r="I951">
        <v>3302.44</v>
      </c>
      <c r="J951" t="s">
        <v>15</v>
      </c>
    </row>
    <row r="952" spans="1:10" x14ac:dyDescent="0.35">
      <c r="A952" t="s">
        <v>974</v>
      </c>
      <c r="B952" t="s">
        <v>11</v>
      </c>
      <c r="C952">
        <v>35</v>
      </c>
      <c r="D952">
        <v>19</v>
      </c>
      <c r="E952" t="s">
        <v>12</v>
      </c>
      <c r="F952" t="s">
        <v>29</v>
      </c>
      <c r="G952" t="s">
        <v>14</v>
      </c>
      <c r="H952">
        <v>54.03</v>
      </c>
      <c r="I952">
        <v>928.98</v>
      </c>
      <c r="J952" t="s">
        <v>15</v>
      </c>
    </row>
    <row r="953" spans="1:10" x14ac:dyDescent="0.35">
      <c r="A953" t="s">
        <v>975</v>
      </c>
      <c r="B953" t="s">
        <v>17</v>
      </c>
      <c r="C953">
        <v>54</v>
      </c>
      <c r="D953">
        <v>31</v>
      </c>
      <c r="E953" t="s">
        <v>12</v>
      </c>
      <c r="F953" t="s">
        <v>33</v>
      </c>
      <c r="G953" t="s">
        <v>23</v>
      </c>
      <c r="H953">
        <v>101.15</v>
      </c>
      <c r="I953">
        <v>3077.26</v>
      </c>
      <c r="J953" t="s">
        <v>27</v>
      </c>
    </row>
    <row r="954" spans="1:10" x14ac:dyDescent="0.35">
      <c r="A954" t="s">
        <v>976</v>
      </c>
      <c r="B954" t="s">
        <v>11</v>
      </c>
      <c r="C954">
        <v>42</v>
      </c>
      <c r="D954">
        <v>60</v>
      </c>
      <c r="E954" t="s">
        <v>21</v>
      </c>
      <c r="F954" t="s">
        <v>13</v>
      </c>
      <c r="G954" t="s">
        <v>14</v>
      </c>
      <c r="H954">
        <v>127.82</v>
      </c>
      <c r="I954">
        <v>7240.8</v>
      </c>
      <c r="J954" t="s">
        <v>27</v>
      </c>
    </row>
    <row r="955" spans="1:10" x14ac:dyDescent="0.35">
      <c r="A955" t="s">
        <v>977</v>
      </c>
      <c r="B955" t="s">
        <v>17</v>
      </c>
      <c r="C955">
        <v>65</v>
      </c>
      <c r="D955">
        <v>60</v>
      </c>
      <c r="E955" t="s">
        <v>12</v>
      </c>
      <c r="F955" t="s">
        <v>13</v>
      </c>
      <c r="G955" t="s">
        <v>23</v>
      </c>
      <c r="H955">
        <v>44.74</v>
      </c>
      <c r="I955">
        <v>2702.28</v>
      </c>
      <c r="J955" t="s">
        <v>15</v>
      </c>
    </row>
    <row r="956" spans="1:10" x14ac:dyDescent="0.35">
      <c r="A956" t="s">
        <v>978</v>
      </c>
      <c r="B956" t="s">
        <v>11</v>
      </c>
      <c r="C956">
        <v>18</v>
      </c>
      <c r="D956">
        <v>19</v>
      </c>
      <c r="E956" t="s">
        <v>12</v>
      </c>
      <c r="F956" t="s">
        <v>33</v>
      </c>
      <c r="G956" t="s">
        <v>19</v>
      </c>
      <c r="H956">
        <v>139.24</v>
      </c>
      <c r="I956">
        <v>2908</v>
      </c>
      <c r="J956" t="s">
        <v>27</v>
      </c>
    </row>
    <row r="957" spans="1:10" x14ac:dyDescent="0.35">
      <c r="A957" t="s">
        <v>979</v>
      </c>
      <c r="B957" t="s">
        <v>11</v>
      </c>
      <c r="C957">
        <v>70</v>
      </c>
      <c r="D957">
        <v>49</v>
      </c>
      <c r="E957" t="s">
        <v>12</v>
      </c>
      <c r="F957" t="s">
        <v>22</v>
      </c>
      <c r="G957" t="s">
        <v>23</v>
      </c>
      <c r="H957">
        <v>91.96</v>
      </c>
      <c r="I957">
        <v>4776.8900000000003</v>
      </c>
      <c r="J957" t="s">
        <v>15</v>
      </c>
    </row>
    <row r="958" spans="1:10" x14ac:dyDescent="0.35">
      <c r="A958" t="s">
        <v>980</v>
      </c>
      <c r="B958" t="s">
        <v>17</v>
      </c>
      <c r="C958">
        <v>63</v>
      </c>
      <c r="D958">
        <v>63</v>
      </c>
      <c r="E958" t="s">
        <v>12</v>
      </c>
      <c r="F958" t="s">
        <v>29</v>
      </c>
      <c r="G958" t="s">
        <v>23</v>
      </c>
      <c r="H958">
        <v>58.9</v>
      </c>
      <c r="I958">
        <v>3967.21</v>
      </c>
      <c r="J958" t="s">
        <v>15</v>
      </c>
    </row>
    <row r="959" spans="1:10" x14ac:dyDescent="0.35">
      <c r="A959" t="s">
        <v>981</v>
      </c>
      <c r="B959" t="s">
        <v>11</v>
      </c>
      <c r="C959">
        <v>32</v>
      </c>
      <c r="D959">
        <v>22</v>
      </c>
      <c r="E959" t="s">
        <v>21</v>
      </c>
      <c r="F959" t="s">
        <v>13</v>
      </c>
      <c r="G959" t="s">
        <v>14</v>
      </c>
      <c r="H959">
        <v>76.010000000000005</v>
      </c>
      <c r="I959">
        <v>1717.46</v>
      </c>
      <c r="J959" t="s">
        <v>15</v>
      </c>
    </row>
    <row r="960" spans="1:10" x14ac:dyDescent="0.35">
      <c r="A960" t="s">
        <v>982</v>
      </c>
      <c r="B960" t="s">
        <v>17</v>
      </c>
      <c r="C960">
        <v>26</v>
      </c>
      <c r="D960">
        <v>24</v>
      </c>
      <c r="E960" t="s">
        <v>12</v>
      </c>
      <c r="F960" t="s">
        <v>13</v>
      </c>
      <c r="G960" t="s">
        <v>19</v>
      </c>
      <c r="H960">
        <v>60.58</v>
      </c>
      <c r="I960">
        <v>1320.61</v>
      </c>
      <c r="J960" t="s">
        <v>15</v>
      </c>
    </row>
    <row r="961" spans="1:10" x14ac:dyDescent="0.35">
      <c r="A961" t="s">
        <v>983</v>
      </c>
      <c r="B961" t="s">
        <v>11</v>
      </c>
      <c r="C961">
        <v>32</v>
      </c>
      <c r="D961">
        <v>30</v>
      </c>
      <c r="E961" t="s">
        <v>12</v>
      </c>
      <c r="F961" t="s">
        <v>22</v>
      </c>
      <c r="G961" t="s">
        <v>14</v>
      </c>
      <c r="H961">
        <v>114.26</v>
      </c>
      <c r="I961">
        <v>3226.79</v>
      </c>
      <c r="J961" t="s">
        <v>15</v>
      </c>
    </row>
    <row r="962" spans="1:10" x14ac:dyDescent="0.35">
      <c r="A962" t="s">
        <v>984</v>
      </c>
      <c r="B962" t="s">
        <v>11</v>
      </c>
      <c r="C962">
        <v>66</v>
      </c>
      <c r="D962">
        <v>58</v>
      </c>
      <c r="E962" t="s">
        <v>18</v>
      </c>
      <c r="F962" t="s">
        <v>22</v>
      </c>
      <c r="G962" t="s">
        <v>23</v>
      </c>
      <c r="H962">
        <v>123.52</v>
      </c>
      <c r="I962">
        <v>7773.21</v>
      </c>
      <c r="J962" t="s">
        <v>15</v>
      </c>
    </row>
    <row r="963" spans="1:10" x14ac:dyDescent="0.35">
      <c r="A963" t="s">
        <v>985</v>
      </c>
      <c r="B963" t="s">
        <v>11</v>
      </c>
      <c r="C963">
        <v>41</v>
      </c>
      <c r="D963">
        <v>31</v>
      </c>
      <c r="E963" t="s">
        <v>21</v>
      </c>
      <c r="F963" t="s">
        <v>22</v>
      </c>
      <c r="G963" t="s">
        <v>14</v>
      </c>
      <c r="H963">
        <v>128.28</v>
      </c>
      <c r="I963">
        <v>3870.19</v>
      </c>
      <c r="J963" t="s">
        <v>27</v>
      </c>
    </row>
    <row r="964" spans="1:10" x14ac:dyDescent="0.35">
      <c r="A964" t="s">
        <v>986</v>
      </c>
      <c r="B964" t="s">
        <v>17</v>
      </c>
      <c r="C964">
        <v>21</v>
      </c>
      <c r="D964">
        <v>64</v>
      </c>
      <c r="E964" t="s">
        <v>12</v>
      </c>
      <c r="F964" t="s">
        <v>29</v>
      </c>
      <c r="G964" t="s">
        <v>19</v>
      </c>
      <c r="H964">
        <v>148.15</v>
      </c>
      <c r="I964">
        <v>8729.9699999999993</v>
      </c>
      <c r="J964" t="s">
        <v>27</v>
      </c>
    </row>
    <row r="965" spans="1:10" x14ac:dyDescent="0.35">
      <c r="A965" t="s">
        <v>987</v>
      </c>
      <c r="B965" t="s">
        <v>11</v>
      </c>
      <c r="C965">
        <v>29</v>
      </c>
      <c r="D965">
        <v>19</v>
      </c>
      <c r="E965" t="s">
        <v>21</v>
      </c>
      <c r="F965" t="s">
        <v>33</v>
      </c>
      <c r="G965" t="s">
        <v>19</v>
      </c>
      <c r="H965">
        <v>122.87</v>
      </c>
      <c r="I965">
        <v>2429.0300000000002</v>
      </c>
      <c r="J965" t="s">
        <v>15</v>
      </c>
    </row>
    <row r="966" spans="1:10" x14ac:dyDescent="0.35">
      <c r="A966" t="s">
        <v>988</v>
      </c>
      <c r="B966" t="s">
        <v>11</v>
      </c>
      <c r="C966">
        <v>54</v>
      </c>
      <c r="D966">
        <v>48</v>
      </c>
      <c r="E966" t="s">
        <v>21</v>
      </c>
      <c r="F966" t="s">
        <v>29</v>
      </c>
      <c r="G966" t="s">
        <v>23</v>
      </c>
      <c r="H966">
        <v>98.18</v>
      </c>
      <c r="I966">
        <v>4523.62</v>
      </c>
      <c r="J966" t="s">
        <v>15</v>
      </c>
    </row>
    <row r="967" spans="1:10" x14ac:dyDescent="0.35">
      <c r="A967" t="s">
        <v>989</v>
      </c>
      <c r="B967" t="s">
        <v>11</v>
      </c>
      <c r="C967">
        <v>54</v>
      </c>
      <c r="D967">
        <v>45</v>
      </c>
      <c r="E967" t="s">
        <v>21</v>
      </c>
      <c r="F967" t="s">
        <v>29</v>
      </c>
      <c r="G967" t="s">
        <v>23</v>
      </c>
      <c r="H967">
        <v>64.099999999999994</v>
      </c>
      <c r="I967">
        <v>2751.15</v>
      </c>
      <c r="J967" t="s">
        <v>27</v>
      </c>
    </row>
    <row r="968" spans="1:10" x14ac:dyDescent="0.35">
      <c r="A968" t="s">
        <v>990</v>
      </c>
      <c r="B968" t="s">
        <v>11</v>
      </c>
      <c r="C968">
        <v>60</v>
      </c>
      <c r="D968">
        <v>55</v>
      </c>
      <c r="E968" t="s">
        <v>12</v>
      </c>
      <c r="F968" t="s">
        <v>29</v>
      </c>
      <c r="G968" t="s">
        <v>23</v>
      </c>
      <c r="H968">
        <v>90.8</v>
      </c>
      <c r="I968">
        <v>5491.38</v>
      </c>
      <c r="J968" t="s">
        <v>15</v>
      </c>
    </row>
    <row r="969" spans="1:10" x14ac:dyDescent="0.35">
      <c r="A969" t="s">
        <v>991</v>
      </c>
      <c r="B969" t="s">
        <v>17</v>
      </c>
      <c r="C969">
        <v>23</v>
      </c>
      <c r="D969">
        <v>55</v>
      </c>
      <c r="E969" t="s">
        <v>18</v>
      </c>
      <c r="F969" t="s">
        <v>29</v>
      </c>
      <c r="G969" t="s">
        <v>19</v>
      </c>
      <c r="H969">
        <v>25.34</v>
      </c>
      <c r="I969">
        <v>1493.53</v>
      </c>
      <c r="J969" t="s">
        <v>15</v>
      </c>
    </row>
    <row r="970" spans="1:10" x14ac:dyDescent="0.35">
      <c r="A970" t="s">
        <v>992</v>
      </c>
      <c r="B970" t="s">
        <v>17</v>
      </c>
      <c r="C970">
        <v>56</v>
      </c>
      <c r="D970">
        <v>18</v>
      </c>
      <c r="E970" t="s">
        <v>12</v>
      </c>
      <c r="F970" t="s">
        <v>29</v>
      </c>
      <c r="G970" t="s">
        <v>23</v>
      </c>
      <c r="H970">
        <v>116.83</v>
      </c>
      <c r="I970">
        <v>2064.2199999999998</v>
      </c>
      <c r="J970" t="s">
        <v>15</v>
      </c>
    </row>
    <row r="971" spans="1:10" x14ac:dyDescent="0.35">
      <c r="A971" t="s">
        <v>993</v>
      </c>
      <c r="B971" t="s">
        <v>11</v>
      </c>
      <c r="C971">
        <v>63</v>
      </c>
      <c r="D971">
        <v>63</v>
      </c>
      <c r="E971" t="s">
        <v>12</v>
      </c>
      <c r="F971" t="s">
        <v>33</v>
      </c>
      <c r="G971" t="s">
        <v>23</v>
      </c>
      <c r="H971">
        <v>77.97</v>
      </c>
      <c r="I971">
        <v>5383.93</v>
      </c>
      <c r="J971" t="s">
        <v>27</v>
      </c>
    </row>
    <row r="972" spans="1:10" x14ac:dyDescent="0.35">
      <c r="A972" t="s">
        <v>994</v>
      </c>
      <c r="B972" t="s">
        <v>17</v>
      </c>
      <c r="C972">
        <v>41</v>
      </c>
      <c r="D972">
        <v>47</v>
      </c>
      <c r="E972" t="s">
        <v>12</v>
      </c>
      <c r="F972" t="s">
        <v>33</v>
      </c>
      <c r="G972" t="s">
        <v>14</v>
      </c>
      <c r="H972">
        <v>22.6</v>
      </c>
      <c r="I972">
        <v>1094.0899999999999</v>
      </c>
      <c r="J972" t="s">
        <v>15</v>
      </c>
    </row>
    <row r="973" spans="1:10" x14ac:dyDescent="0.35">
      <c r="A973" t="s">
        <v>995</v>
      </c>
      <c r="B973" t="s">
        <v>11</v>
      </c>
      <c r="C973">
        <v>28</v>
      </c>
      <c r="D973">
        <v>57</v>
      </c>
      <c r="E973" t="s">
        <v>12</v>
      </c>
      <c r="F973" t="s">
        <v>29</v>
      </c>
      <c r="G973" t="s">
        <v>19</v>
      </c>
      <c r="H973">
        <v>28.13</v>
      </c>
      <c r="I973">
        <v>1681.02</v>
      </c>
      <c r="J973" t="s">
        <v>27</v>
      </c>
    </row>
    <row r="974" spans="1:10" x14ac:dyDescent="0.35">
      <c r="A974" t="s">
        <v>996</v>
      </c>
      <c r="B974" t="s">
        <v>11</v>
      </c>
      <c r="C974">
        <v>30</v>
      </c>
      <c r="D974">
        <v>45</v>
      </c>
      <c r="E974" t="s">
        <v>18</v>
      </c>
      <c r="F974" t="s">
        <v>29</v>
      </c>
      <c r="G974" t="s">
        <v>14</v>
      </c>
      <c r="H974">
        <v>70.37</v>
      </c>
      <c r="I974">
        <v>2869.94</v>
      </c>
      <c r="J974" t="s">
        <v>15</v>
      </c>
    </row>
    <row r="975" spans="1:10" x14ac:dyDescent="0.35">
      <c r="A975" t="s">
        <v>997</v>
      </c>
      <c r="B975" t="s">
        <v>11</v>
      </c>
      <c r="C975">
        <v>51</v>
      </c>
      <c r="D975">
        <v>33</v>
      </c>
      <c r="E975" t="s">
        <v>12</v>
      </c>
      <c r="F975" t="s">
        <v>29</v>
      </c>
      <c r="G975" t="s">
        <v>23</v>
      </c>
      <c r="H975">
        <v>95.84</v>
      </c>
      <c r="I975">
        <v>2923.37</v>
      </c>
      <c r="J975" t="s">
        <v>15</v>
      </c>
    </row>
    <row r="976" spans="1:10" x14ac:dyDescent="0.35">
      <c r="A976" t="s">
        <v>998</v>
      </c>
      <c r="B976" t="s">
        <v>17</v>
      </c>
      <c r="C976">
        <v>42</v>
      </c>
      <c r="D976">
        <v>17</v>
      </c>
      <c r="E976" t="s">
        <v>12</v>
      </c>
      <c r="F976" t="s">
        <v>29</v>
      </c>
      <c r="G976" t="s">
        <v>14</v>
      </c>
      <c r="H976">
        <v>80.349999999999994</v>
      </c>
      <c r="I976">
        <v>1402.31</v>
      </c>
      <c r="J976" t="s">
        <v>15</v>
      </c>
    </row>
    <row r="977" spans="1:10" x14ac:dyDescent="0.35">
      <c r="A977" t="s">
        <v>999</v>
      </c>
      <c r="B977" t="s">
        <v>17</v>
      </c>
      <c r="C977">
        <v>24</v>
      </c>
      <c r="D977">
        <v>70</v>
      </c>
      <c r="E977" t="s">
        <v>18</v>
      </c>
      <c r="F977" t="s">
        <v>29</v>
      </c>
      <c r="G977" t="s">
        <v>19</v>
      </c>
      <c r="H977">
        <v>100.5</v>
      </c>
      <c r="I977">
        <v>7596.43</v>
      </c>
      <c r="J977" t="s">
        <v>15</v>
      </c>
    </row>
    <row r="978" spans="1:10" x14ac:dyDescent="0.35">
      <c r="A978" t="s">
        <v>1000</v>
      </c>
      <c r="B978" t="s">
        <v>17</v>
      </c>
      <c r="C978">
        <v>69</v>
      </c>
      <c r="D978">
        <v>4</v>
      </c>
      <c r="E978" t="s">
        <v>12</v>
      </c>
      <c r="F978" t="s">
        <v>33</v>
      </c>
      <c r="G978" t="s">
        <v>23</v>
      </c>
      <c r="H978">
        <v>82.44</v>
      </c>
      <c r="I978">
        <v>337.92</v>
      </c>
      <c r="J978" t="s">
        <v>27</v>
      </c>
    </row>
    <row r="979" spans="1:10" x14ac:dyDescent="0.35">
      <c r="A979" t="s">
        <v>1001</v>
      </c>
      <c r="B979" t="s">
        <v>17</v>
      </c>
      <c r="C979">
        <v>21</v>
      </c>
      <c r="D979">
        <v>20</v>
      </c>
      <c r="E979" t="s">
        <v>12</v>
      </c>
      <c r="F979" t="s">
        <v>29</v>
      </c>
      <c r="G979" t="s">
        <v>19</v>
      </c>
      <c r="H979">
        <v>106.02</v>
      </c>
      <c r="I979">
        <v>1965.2</v>
      </c>
      <c r="J979" t="s">
        <v>27</v>
      </c>
    </row>
    <row r="980" spans="1:10" x14ac:dyDescent="0.35">
      <c r="A980" t="s">
        <v>1002</v>
      </c>
      <c r="B980" t="s">
        <v>17</v>
      </c>
      <c r="C980">
        <v>25</v>
      </c>
      <c r="D980">
        <v>47</v>
      </c>
      <c r="E980" t="s">
        <v>12</v>
      </c>
      <c r="F980" t="s">
        <v>13</v>
      </c>
      <c r="G980" t="s">
        <v>19</v>
      </c>
      <c r="H980">
        <v>48.49</v>
      </c>
      <c r="I980">
        <v>2103.89</v>
      </c>
      <c r="J980" t="s">
        <v>15</v>
      </c>
    </row>
    <row r="981" spans="1:10" x14ac:dyDescent="0.35">
      <c r="A981" t="s">
        <v>1003</v>
      </c>
      <c r="B981" t="s">
        <v>17</v>
      </c>
      <c r="C981">
        <v>37</v>
      </c>
      <c r="D981">
        <v>15</v>
      </c>
      <c r="E981" t="s">
        <v>12</v>
      </c>
      <c r="F981" t="s">
        <v>29</v>
      </c>
      <c r="G981" t="s">
        <v>14</v>
      </c>
      <c r="H981">
        <v>34.67</v>
      </c>
      <c r="I981">
        <v>555.85</v>
      </c>
      <c r="J981" t="s">
        <v>27</v>
      </c>
    </row>
    <row r="982" spans="1:10" x14ac:dyDescent="0.35">
      <c r="A982" t="s">
        <v>1004</v>
      </c>
      <c r="B982" t="s">
        <v>17</v>
      </c>
      <c r="C982">
        <v>46</v>
      </c>
      <c r="D982">
        <v>70</v>
      </c>
      <c r="E982" t="s">
        <v>12</v>
      </c>
      <c r="F982" t="s">
        <v>33</v>
      </c>
      <c r="G982" t="s">
        <v>14</v>
      </c>
      <c r="H982">
        <v>97.54</v>
      </c>
      <c r="I982">
        <v>6335.25</v>
      </c>
      <c r="J982" t="s">
        <v>15</v>
      </c>
    </row>
    <row r="983" spans="1:10" x14ac:dyDescent="0.35">
      <c r="A983" t="s">
        <v>1005</v>
      </c>
      <c r="B983" t="s">
        <v>17</v>
      </c>
      <c r="C983">
        <v>70</v>
      </c>
      <c r="D983">
        <v>47</v>
      </c>
      <c r="E983" t="s">
        <v>21</v>
      </c>
      <c r="F983" t="s">
        <v>22</v>
      </c>
      <c r="G983" t="s">
        <v>23</v>
      </c>
      <c r="H983">
        <v>83.01</v>
      </c>
      <c r="I983">
        <v>3917.26</v>
      </c>
      <c r="J983" t="s">
        <v>15</v>
      </c>
    </row>
    <row r="984" spans="1:10" x14ac:dyDescent="0.35">
      <c r="A984" t="s">
        <v>1006</v>
      </c>
      <c r="B984" t="s">
        <v>17</v>
      </c>
      <c r="C984">
        <v>68</v>
      </c>
      <c r="D984">
        <v>9</v>
      </c>
      <c r="E984" t="s">
        <v>12</v>
      </c>
      <c r="F984" t="s">
        <v>33</v>
      </c>
      <c r="G984" t="s">
        <v>23</v>
      </c>
      <c r="H984">
        <v>23.49</v>
      </c>
      <c r="I984">
        <v>191.84</v>
      </c>
      <c r="J984" t="s">
        <v>15</v>
      </c>
    </row>
    <row r="985" spans="1:10" x14ac:dyDescent="0.35">
      <c r="A985" t="s">
        <v>1007</v>
      </c>
      <c r="B985" t="s">
        <v>11</v>
      </c>
      <c r="C985">
        <v>62</v>
      </c>
      <c r="D985">
        <v>16</v>
      </c>
      <c r="E985" t="s">
        <v>12</v>
      </c>
      <c r="F985" t="s">
        <v>22</v>
      </c>
      <c r="G985" t="s">
        <v>23</v>
      </c>
      <c r="H985">
        <v>69.459999999999994</v>
      </c>
      <c r="I985">
        <v>1018.15</v>
      </c>
      <c r="J985" t="s">
        <v>15</v>
      </c>
    </row>
    <row r="986" spans="1:10" x14ac:dyDescent="0.35">
      <c r="A986" t="s">
        <v>1008</v>
      </c>
      <c r="B986" t="s">
        <v>17</v>
      </c>
      <c r="C986">
        <v>63</v>
      </c>
      <c r="D986">
        <v>69</v>
      </c>
      <c r="E986" t="s">
        <v>21</v>
      </c>
      <c r="F986" t="s">
        <v>29</v>
      </c>
      <c r="G986" t="s">
        <v>23</v>
      </c>
      <c r="H986">
        <v>33.799999999999997</v>
      </c>
      <c r="I986">
        <v>2412.59</v>
      </c>
      <c r="J986" t="s">
        <v>15</v>
      </c>
    </row>
    <row r="987" spans="1:10" x14ac:dyDescent="0.35">
      <c r="A987" t="s">
        <v>1009</v>
      </c>
      <c r="B987" t="s">
        <v>17</v>
      </c>
      <c r="C987">
        <v>27</v>
      </c>
      <c r="D987">
        <v>61</v>
      </c>
      <c r="E987" t="s">
        <v>21</v>
      </c>
      <c r="F987" t="s">
        <v>29</v>
      </c>
      <c r="G987" t="s">
        <v>19</v>
      </c>
      <c r="H987">
        <v>89.08</v>
      </c>
      <c r="I987">
        <v>5639.48</v>
      </c>
      <c r="J987" t="s">
        <v>15</v>
      </c>
    </row>
    <row r="988" spans="1:10" x14ac:dyDescent="0.35">
      <c r="A988" t="s">
        <v>1010</v>
      </c>
      <c r="B988" t="s">
        <v>17</v>
      </c>
      <c r="C988">
        <v>60</v>
      </c>
      <c r="D988">
        <v>10</v>
      </c>
      <c r="E988" t="s">
        <v>12</v>
      </c>
      <c r="F988" t="s">
        <v>22</v>
      </c>
      <c r="G988" t="s">
        <v>23</v>
      </c>
      <c r="H988">
        <v>71.45</v>
      </c>
      <c r="I988">
        <v>691.85</v>
      </c>
      <c r="J988" t="s">
        <v>15</v>
      </c>
    </row>
    <row r="989" spans="1:10" x14ac:dyDescent="0.35">
      <c r="A989" t="s">
        <v>1011</v>
      </c>
      <c r="B989" t="s">
        <v>17</v>
      </c>
      <c r="C989">
        <v>51</v>
      </c>
      <c r="D989">
        <v>50</v>
      </c>
      <c r="E989" t="s">
        <v>12</v>
      </c>
      <c r="F989" t="s">
        <v>13</v>
      </c>
      <c r="G989" t="s">
        <v>23</v>
      </c>
      <c r="H989">
        <v>99.71</v>
      </c>
      <c r="I989">
        <v>4701.93</v>
      </c>
      <c r="J989" t="s">
        <v>15</v>
      </c>
    </row>
    <row r="990" spans="1:10" x14ac:dyDescent="0.35">
      <c r="A990" t="s">
        <v>1012</v>
      </c>
      <c r="B990" t="s">
        <v>17</v>
      </c>
      <c r="C990">
        <v>43</v>
      </c>
      <c r="D990">
        <v>3</v>
      </c>
      <c r="E990" t="s">
        <v>12</v>
      </c>
      <c r="F990" t="s">
        <v>13</v>
      </c>
      <c r="G990" t="s">
        <v>14</v>
      </c>
      <c r="H990">
        <v>124.73</v>
      </c>
      <c r="I990">
        <v>397.67</v>
      </c>
      <c r="J990" t="s">
        <v>27</v>
      </c>
    </row>
    <row r="991" spans="1:10" x14ac:dyDescent="0.35">
      <c r="A991" t="s">
        <v>1013</v>
      </c>
      <c r="B991" t="s">
        <v>17</v>
      </c>
      <c r="C991">
        <v>58</v>
      </c>
      <c r="D991">
        <v>70</v>
      </c>
      <c r="E991" t="s">
        <v>12</v>
      </c>
      <c r="F991" t="s">
        <v>29</v>
      </c>
      <c r="G991" t="s">
        <v>23</v>
      </c>
      <c r="H991">
        <v>58.96</v>
      </c>
      <c r="I991">
        <v>3893.69</v>
      </c>
      <c r="J991" t="s">
        <v>27</v>
      </c>
    </row>
    <row r="992" spans="1:10" x14ac:dyDescent="0.35">
      <c r="A992" t="s">
        <v>1014</v>
      </c>
      <c r="B992" t="s">
        <v>17</v>
      </c>
      <c r="C992">
        <v>66</v>
      </c>
      <c r="D992">
        <v>51</v>
      </c>
      <c r="E992" t="s">
        <v>12</v>
      </c>
      <c r="F992" t="s">
        <v>29</v>
      </c>
      <c r="G992" t="s">
        <v>23</v>
      </c>
      <c r="H992">
        <v>145.07</v>
      </c>
      <c r="I992">
        <v>7460.76</v>
      </c>
      <c r="J992" t="s">
        <v>15</v>
      </c>
    </row>
    <row r="993" spans="1:10" x14ac:dyDescent="0.35">
      <c r="A993" t="s">
        <v>1015</v>
      </c>
      <c r="B993" t="s">
        <v>17</v>
      </c>
      <c r="C993">
        <v>20</v>
      </c>
      <c r="D993">
        <v>19</v>
      </c>
      <c r="E993" t="s">
        <v>12</v>
      </c>
      <c r="F993" t="s">
        <v>13</v>
      </c>
      <c r="G993" t="s">
        <v>19</v>
      </c>
      <c r="H993">
        <v>89.63</v>
      </c>
      <c r="I993">
        <v>1862.44</v>
      </c>
      <c r="J993" t="s">
        <v>15</v>
      </c>
    </row>
    <row r="994" spans="1:10" x14ac:dyDescent="0.35">
      <c r="A994" t="s">
        <v>1016</v>
      </c>
      <c r="B994" t="s">
        <v>17</v>
      </c>
      <c r="C994">
        <v>23</v>
      </c>
      <c r="D994">
        <v>42</v>
      </c>
      <c r="E994" t="s">
        <v>18</v>
      </c>
      <c r="F994" t="s">
        <v>13</v>
      </c>
      <c r="G994" t="s">
        <v>19</v>
      </c>
      <c r="H994">
        <v>100.38</v>
      </c>
      <c r="I994">
        <v>3919.03</v>
      </c>
      <c r="J994" t="s">
        <v>15</v>
      </c>
    </row>
    <row r="995" spans="1:10" x14ac:dyDescent="0.35">
      <c r="A995" t="s">
        <v>1017</v>
      </c>
      <c r="B995" t="s">
        <v>17</v>
      </c>
      <c r="C995">
        <v>22</v>
      </c>
      <c r="D995">
        <v>35</v>
      </c>
      <c r="E995" t="s">
        <v>12</v>
      </c>
      <c r="F995" t="s">
        <v>22</v>
      </c>
      <c r="G995" t="s">
        <v>19</v>
      </c>
      <c r="H995">
        <v>108.49</v>
      </c>
      <c r="I995">
        <v>4131.96</v>
      </c>
      <c r="J995" t="s">
        <v>27</v>
      </c>
    </row>
    <row r="996" spans="1:10" x14ac:dyDescent="0.35">
      <c r="A996" t="s">
        <v>1018</v>
      </c>
      <c r="B996" t="s">
        <v>17</v>
      </c>
      <c r="C996">
        <v>22</v>
      </c>
      <c r="D996">
        <v>46</v>
      </c>
      <c r="E996" t="s">
        <v>21</v>
      </c>
      <c r="F996" t="s">
        <v>29</v>
      </c>
      <c r="G996" t="s">
        <v>19</v>
      </c>
      <c r="H996">
        <v>106.68</v>
      </c>
      <c r="I996">
        <v>4596.05</v>
      </c>
      <c r="J996" t="s">
        <v>27</v>
      </c>
    </row>
    <row r="997" spans="1:10" x14ac:dyDescent="0.35">
      <c r="A997" t="s">
        <v>1019</v>
      </c>
      <c r="B997" t="s">
        <v>11</v>
      </c>
      <c r="C997">
        <v>64</v>
      </c>
      <c r="D997">
        <v>26</v>
      </c>
      <c r="E997" t="s">
        <v>12</v>
      </c>
      <c r="F997" t="s">
        <v>13</v>
      </c>
      <c r="G997" t="s">
        <v>23</v>
      </c>
      <c r="H997">
        <v>86.43</v>
      </c>
      <c r="I997">
        <v>2277.4899999999998</v>
      </c>
      <c r="J997" t="s">
        <v>15</v>
      </c>
    </row>
    <row r="998" spans="1:10" x14ac:dyDescent="0.35">
      <c r="A998" t="s">
        <v>1020</v>
      </c>
      <c r="B998" t="s">
        <v>11</v>
      </c>
      <c r="C998">
        <v>40</v>
      </c>
      <c r="D998">
        <v>69</v>
      </c>
      <c r="E998" t="s">
        <v>21</v>
      </c>
      <c r="F998" t="s">
        <v>29</v>
      </c>
      <c r="G998" t="s">
        <v>14</v>
      </c>
      <c r="H998">
        <v>75.739999999999995</v>
      </c>
      <c r="I998">
        <v>5097.51</v>
      </c>
      <c r="J998" t="s">
        <v>15</v>
      </c>
    </row>
    <row r="999" spans="1:10" x14ac:dyDescent="0.35">
      <c r="A999" t="s">
        <v>1021</v>
      </c>
      <c r="B999" t="s">
        <v>17</v>
      </c>
      <c r="C999">
        <v>66</v>
      </c>
      <c r="D999">
        <v>64</v>
      </c>
      <c r="E999" t="s">
        <v>21</v>
      </c>
      <c r="F999" t="s">
        <v>29</v>
      </c>
      <c r="G999" t="s">
        <v>23</v>
      </c>
      <c r="H999">
        <v>26.99</v>
      </c>
      <c r="I999">
        <v>1887.98</v>
      </c>
      <c r="J999" t="s">
        <v>27</v>
      </c>
    </row>
    <row r="1000" spans="1:10" x14ac:dyDescent="0.35">
      <c r="A1000" t="s">
        <v>1022</v>
      </c>
      <c r="B1000" t="s">
        <v>17</v>
      </c>
      <c r="C1000">
        <v>26</v>
      </c>
      <c r="D1000">
        <v>37</v>
      </c>
      <c r="E1000" t="s">
        <v>18</v>
      </c>
      <c r="F1000" t="s">
        <v>13</v>
      </c>
      <c r="G1000" t="s">
        <v>19</v>
      </c>
      <c r="H1000">
        <v>22.87</v>
      </c>
      <c r="I1000">
        <v>807.86</v>
      </c>
      <c r="J1000" t="s">
        <v>15</v>
      </c>
    </row>
    <row r="1001" spans="1:10" x14ac:dyDescent="0.35">
      <c r="A1001" t="s">
        <v>1023</v>
      </c>
      <c r="B1001" t="s">
        <v>11</v>
      </c>
      <c r="C1001">
        <v>52</v>
      </c>
      <c r="D1001">
        <v>49</v>
      </c>
      <c r="E1001" t="s">
        <v>12</v>
      </c>
      <c r="F1001" t="s">
        <v>29</v>
      </c>
      <c r="G1001" t="s">
        <v>23</v>
      </c>
      <c r="H1001">
        <v>66.53</v>
      </c>
      <c r="I1001">
        <v>3194.55</v>
      </c>
      <c r="J1001" t="s">
        <v>15</v>
      </c>
    </row>
    <row r="1002" spans="1:10" x14ac:dyDescent="0.35">
      <c r="A1002" t="s">
        <v>10</v>
      </c>
      <c r="B1002" t="s">
        <v>11</v>
      </c>
      <c r="C1002">
        <v>34</v>
      </c>
      <c r="D1002">
        <v>20</v>
      </c>
      <c r="E1002" t="s">
        <v>12</v>
      </c>
      <c r="F1002" t="s">
        <v>13</v>
      </c>
      <c r="G1002" t="s">
        <v>14</v>
      </c>
      <c r="H1002">
        <v>48.83</v>
      </c>
      <c r="I1002">
        <v>944.11</v>
      </c>
      <c r="J1002" t="s">
        <v>15</v>
      </c>
    </row>
    <row r="1003" spans="1:10" x14ac:dyDescent="0.35">
      <c r="A1003" t="s">
        <v>16</v>
      </c>
      <c r="B1003" t="s">
        <v>17</v>
      </c>
      <c r="C1003">
        <v>26</v>
      </c>
      <c r="D1003">
        <v>61</v>
      </c>
      <c r="E1003" t="s">
        <v>18</v>
      </c>
      <c r="F1003" t="s">
        <v>13</v>
      </c>
      <c r="G1003" t="s">
        <v>19</v>
      </c>
      <c r="H1003">
        <v>61.28</v>
      </c>
      <c r="I1003">
        <v>3654.12</v>
      </c>
      <c r="J1003" t="s">
        <v>15</v>
      </c>
    </row>
    <row r="1004" spans="1:10" x14ac:dyDescent="0.35">
      <c r="A1004" t="s">
        <v>20</v>
      </c>
      <c r="B1004" t="s">
        <v>11</v>
      </c>
      <c r="C1004">
        <v>50</v>
      </c>
      <c r="D1004">
        <v>35</v>
      </c>
      <c r="E1004" t="s">
        <v>21</v>
      </c>
      <c r="F1004" t="s">
        <v>22</v>
      </c>
      <c r="G1004" t="s">
        <v>23</v>
      </c>
      <c r="H1004">
        <v>53.72</v>
      </c>
      <c r="I1004">
        <v>1744.21</v>
      </c>
      <c r="J1004" t="s">
        <v>15</v>
      </c>
    </row>
    <row r="1005" spans="1:10" x14ac:dyDescent="0.35">
      <c r="A1005" t="s">
        <v>24</v>
      </c>
      <c r="B1005" t="s">
        <v>11</v>
      </c>
      <c r="C1005">
        <v>70</v>
      </c>
      <c r="D1005">
        <v>50</v>
      </c>
      <c r="E1005" t="s">
        <v>21</v>
      </c>
      <c r="F1005" t="s">
        <v>13</v>
      </c>
      <c r="G1005" t="s">
        <v>23</v>
      </c>
      <c r="H1005">
        <v>31.39</v>
      </c>
      <c r="I1005">
        <v>1644.26</v>
      </c>
      <c r="J1005" t="s">
        <v>15</v>
      </c>
    </row>
    <row r="1006" spans="1:10" x14ac:dyDescent="0.35">
      <c r="A1006" t="s">
        <v>25</v>
      </c>
      <c r="B1006" t="s">
        <v>11</v>
      </c>
      <c r="C1006">
        <v>37</v>
      </c>
      <c r="D1006">
        <v>62</v>
      </c>
      <c r="E1006" t="s">
        <v>12</v>
      </c>
      <c r="F1006" t="s">
        <v>13</v>
      </c>
      <c r="G1006" t="s">
        <v>14</v>
      </c>
      <c r="H1006">
        <v>31.69</v>
      </c>
      <c r="I1006">
        <v>2105.0500000000002</v>
      </c>
      <c r="J1006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B907-0728-464E-A532-6572A621C055}">
  <dimension ref="A1:L1006"/>
  <sheetViews>
    <sheetView workbookViewId="0">
      <selection activeCell="M995" sqref="M995"/>
    </sheetView>
  </sheetViews>
  <sheetFormatPr defaultRowHeight="14.5" x14ac:dyDescent="0.35"/>
  <cols>
    <col min="1" max="1" width="13.36328125" customWidth="1"/>
    <col min="2" max="2" width="9.08984375" customWidth="1"/>
    <col min="4" max="4" width="16.6328125" customWidth="1"/>
    <col min="5" max="5" width="15" customWidth="1"/>
    <col min="6" max="6" width="19.81640625" customWidth="1"/>
    <col min="7" max="7" width="20.26953125" customWidth="1"/>
    <col min="8" max="8" width="17.36328125" customWidth="1"/>
    <col min="9" max="9" width="14.6328125" customWidth="1"/>
    <col min="10" max="10" width="9.36328125" customWidth="1"/>
    <col min="11" max="11" width="13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1025</v>
      </c>
      <c r="L1" t="s">
        <v>1026</v>
      </c>
    </row>
    <row r="2" spans="1:12" x14ac:dyDescent="0.35">
      <c r="A2" t="s">
        <v>10</v>
      </c>
      <c r="B2" t="s">
        <v>11</v>
      </c>
      <c r="C2">
        <v>34</v>
      </c>
      <c r="D2">
        <v>20</v>
      </c>
      <c r="E2" t="s">
        <v>12</v>
      </c>
      <c r="F2" t="s">
        <v>13</v>
      </c>
      <c r="G2" t="s">
        <v>14</v>
      </c>
      <c r="H2">
        <v>48.83</v>
      </c>
      <c r="I2">
        <v>944.11</v>
      </c>
      <c r="J2" t="s">
        <v>15</v>
      </c>
      <c r="K2" t="str">
        <f t="shared" ref="K2:K65" si="0">IF(D2&lt;=12,"0-12 Months",IF(D2&lt;=24,"13-24 Months",IF(D2&lt;=48,"25-48 Months","49+ Months")))</f>
        <v>13-24 Months</v>
      </c>
      <c r="L2">
        <f>IF(Table13[[#This Row],[Churn]]="Yes",1,0)</f>
        <v>0</v>
      </c>
    </row>
    <row r="3" spans="1:12" x14ac:dyDescent="0.35">
      <c r="A3" t="s">
        <v>16</v>
      </c>
      <c r="B3" t="s">
        <v>17</v>
      </c>
      <c r="C3">
        <v>26</v>
      </c>
      <c r="D3">
        <v>61</v>
      </c>
      <c r="E3" t="s">
        <v>18</v>
      </c>
      <c r="F3" t="s">
        <v>13</v>
      </c>
      <c r="G3" t="s">
        <v>19</v>
      </c>
      <c r="H3">
        <v>61.28</v>
      </c>
      <c r="I3">
        <v>3654.12</v>
      </c>
      <c r="J3" t="s">
        <v>15</v>
      </c>
      <c r="K3" t="str">
        <f t="shared" si="0"/>
        <v>49+ Months</v>
      </c>
      <c r="L3">
        <f>IF(Table13[[#This Row],[Churn]]="Yes",1,0)</f>
        <v>0</v>
      </c>
    </row>
    <row r="4" spans="1:12" x14ac:dyDescent="0.35">
      <c r="A4" t="s">
        <v>20</v>
      </c>
      <c r="B4" t="s">
        <v>11</v>
      </c>
      <c r="C4">
        <v>50</v>
      </c>
      <c r="D4">
        <v>35</v>
      </c>
      <c r="E4" t="s">
        <v>21</v>
      </c>
      <c r="F4" t="s">
        <v>22</v>
      </c>
      <c r="G4" t="s">
        <v>23</v>
      </c>
      <c r="H4">
        <v>53.72</v>
      </c>
      <c r="I4">
        <v>1744.21</v>
      </c>
      <c r="J4" t="s">
        <v>15</v>
      </c>
      <c r="K4" t="str">
        <f t="shared" si="0"/>
        <v>25-48 Months</v>
      </c>
      <c r="L4">
        <f>IF(Table13[[#This Row],[Churn]]="Yes",1,0)</f>
        <v>0</v>
      </c>
    </row>
    <row r="5" spans="1:12" x14ac:dyDescent="0.35">
      <c r="A5" t="s">
        <v>24</v>
      </c>
      <c r="B5" t="s">
        <v>11</v>
      </c>
      <c r="C5">
        <v>70</v>
      </c>
      <c r="D5">
        <v>50</v>
      </c>
      <c r="E5" t="s">
        <v>21</v>
      </c>
      <c r="F5" t="s">
        <v>13</v>
      </c>
      <c r="G5" t="s">
        <v>23</v>
      </c>
      <c r="H5">
        <v>31.39</v>
      </c>
      <c r="I5">
        <v>1644.26</v>
      </c>
      <c r="J5" t="s">
        <v>15</v>
      </c>
      <c r="K5" t="str">
        <f t="shared" si="0"/>
        <v>49+ Months</v>
      </c>
      <c r="L5">
        <f>IF(Table13[[#This Row],[Churn]]="Yes",1,0)</f>
        <v>0</v>
      </c>
    </row>
    <row r="6" spans="1:12" x14ac:dyDescent="0.35">
      <c r="A6" t="s">
        <v>25</v>
      </c>
      <c r="B6" t="s">
        <v>11</v>
      </c>
      <c r="C6">
        <v>37</v>
      </c>
      <c r="D6">
        <v>62</v>
      </c>
      <c r="E6" t="s">
        <v>12</v>
      </c>
      <c r="F6" t="s">
        <v>13</v>
      </c>
      <c r="G6" t="s">
        <v>14</v>
      </c>
      <c r="H6">
        <v>31.69</v>
      </c>
      <c r="I6">
        <v>2105.0500000000002</v>
      </c>
      <c r="J6" t="s">
        <v>15</v>
      </c>
      <c r="K6" t="str">
        <f t="shared" si="0"/>
        <v>49+ Months</v>
      </c>
      <c r="L6">
        <f>IF(Table13[[#This Row],[Churn]]="Yes",1,0)</f>
        <v>0</v>
      </c>
    </row>
    <row r="7" spans="1:12" x14ac:dyDescent="0.35">
      <c r="A7" t="s">
        <v>26</v>
      </c>
      <c r="B7" t="s">
        <v>17</v>
      </c>
      <c r="C7">
        <v>30</v>
      </c>
      <c r="D7">
        <v>17</v>
      </c>
      <c r="E7" t="s">
        <v>18</v>
      </c>
      <c r="F7" t="s">
        <v>13</v>
      </c>
      <c r="G7" t="s">
        <v>14</v>
      </c>
      <c r="H7">
        <v>45.12</v>
      </c>
      <c r="I7">
        <v>834.34</v>
      </c>
      <c r="J7" t="s">
        <v>27</v>
      </c>
      <c r="K7" t="str">
        <f t="shared" si="0"/>
        <v>13-24 Months</v>
      </c>
      <c r="L7">
        <f>IF(Table13[[#This Row],[Churn]]="Yes",1,0)</f>
        <v>1</v>
      </c>
    </row>
    <row r="8" spans="1:12" x14ac:dyDescent="0.35">
      <c r="A8" t="s">
        <v>28</v>
      </c>
      <c r="B8" t="s">
        <v>11</v>
      </c>
      <c r="C8">
        <v>45</v>
      </c>
      <c r="D8">
        <v>3</v>
      </c>
      <c r="E8" t="s">
        <v>18</v>
      </c>
      <c r="F8" t="s">
        <v>29</v>
      </c>
      <c r="G8" t="s">
        <v>14</v>
      </c>
      <c r="H8">
        <v>26.57</v>
      </c>
      <c r="I8">
        <v>79.59</v>
      </c>
      <c r="J8" t="s">
        <v>27</v>
      </c>
      <c r="K8" t="str">
        <f t="shared" si="0"/>
        <v>0-12 Months</v>
      </c>
      <c r="L8">
        <f>IF(Table13[[#This Row],[Churn]]="Yes",1,0)</f>
        <v>1</v>
      </c>
    </row>
    <row r="9" spans="1:12" x14ac:dyDescent="0.35">
      <c r="A9" t="s">
        <v>30</v>
      </c>
      <c r="B9" t="s">
        <v>11</v>
      </c>
      <c r="C9">
        <v>65</v>
      </c>
      <c r="D9">
        <v>32</v>
      </c>
      <c r="E9" t="s">
        <v>21</v>
      </c>
      <c r="F9" t="s">
        <v>13</v>
      </c>
      <c r="G9" t="s">
        <v>23</v>
      </c>
      <c r="H9">
        <v>101.44</v>
      </c>
      <c r="I9">
        <v>3376.49</v>
      </c>
      <c r="J9" t="s">
        <v>15</v>
      </c>
      <c r="K9" t="str">
        <f t="shared" si="0"/>
        <v>25-48 Months</v>
      </c>
      <c r="L9">
        <f>IF(Table13[[#This Row],[Churn]]="Yes",1,0)</f>
        <v>0</v>
      </c>
    </row>
    <row r="10" spans="1:12" x14ac:dyDescent="0.35">
      <c r="A10" t="s">
        <v>31</v>
      </c>
      <c r="B10" t="s">
        <v>11</v>
      </c>
      <c r="C10">
        <v>46</v>
      </c>
      <c r="D10">
        <v>13</v>
      </c>
      <c r="E10" t="s">
        <v>12</v>
      </c>
      <c r="F10" t="s">
        <v>29</v>
      </c>
      <c r="G10" t="s">
        <v>14</v>
      </c>
      <c r="H10">
        <v>57.35</v>
      </c>
      <c r="I10">
        <v>798.57</v>
      </c>
      <c r="J10" t="s">
        <v>15</v>
      </c>
      <c r="K10" t="str">
        <f t="shared" si="0"/>
        <v>13-24 Months</v>
      </c>
      <c r="L10">
        <f>IF(Table13[[#This Row],[Churn]]="Yes",1,0)</f>
        <v>0</v>
      </c>
    </row>
    <row r="11" spans="1:12" x14ac:dyDescent="0.35">
      <c r="A11" t="s">
        <v>32</v>
      </c>
      <c r="B11" t="s">
        <v>17</v>
      </c>
      <c r="C11">
        <v>30</v>
      </c>
      <c r="D11">
        <v>68</v>
      </c>
      <c r="E11" t="s">
        <v>12</v>
      </c>
      <c r="F11" t="s">
        <v>33</v>
      </c>
      <c r="G11" t="s">
        <v>14</v>
      </c>
      <c r="H11">
        <v>56.37</v>
      </c>
      <c r="I11">
        <v>3770.52</v>
      </c>
      <c r="J11" t="s">
        <v>15</v>
      </c>
      <c r="K11" t="str">
        <f t="shared" si="0"/>
        <v>49+ Months</v>
      </c>
      <c r="L11">
        <f>IF(Table13[[#This Row],[Churn]]="Yes",1,0)</f>
        <v>0</v>
      </c>
    </row>
    <row r="12" spans="1:12" x14ac:dyDescent="0.35">
      <c r="A12" t="s">
        <v>34</v>
      </c>
      <c r="B12" t="s">
        <v>11</v>
      </c>
      <c r="C12">
        <v>63</v>
      </c>
      <c r="D12">
        <v>14</v>
      </c>
      <c r="E12" t="s">
        <v>12</v>
      </c>
      <c r="F12" t="s">
        <v>22</v>
      </c>
      <c r="G12" t="s">
        <v>23</v>
      </c>
      <c r="H12">
        <v>63.16</v>
      </c>
      <c r="I12">
        <v>850.54</v>
      </c>
      <c r="J12" t="s">
        <v>15</v>
      </c>
      <c r="K12" t="str">
        <f t="shared" si="0"/>
        <v>13-24 Months</v>
      </c>
      <c r="L12">
        <f>IF(Table13[[#This Row],[Churn]]="Yes",1,0)</f>
        <v>0</v>
      </c>
    </row>
    <row r="13" spans="1:12" x14ac:dyDescent="0.35">
      <c r="A13" t="s">
        <v>35</v>
      </c>
      <c r="B13" t="s">
        <v>11</v>
      </c>
      <c r="C13">
        <v>52</v>
      </c>
      <c r="D13">
        <v>11</v>
      </c>
      <c r="E13" t="s">
        <v>12</v>
      </c>
      <c r="F13" t="s">
        <v>33</v>
      </c>
      <c r="G13" t="s">
        <v>23</v>
      </c>
      <c r="H13">
        <v>106.16</v>
      </c>
      <c r="I13">
        <v>1269.76</v>
      </c>
      <c r="J13" t="s">
        <v>15</v>
      </c>
      <c r="K13" t="str">
        <f t="shared" si="0"/>
        <v>0-12 Months</v>
      </c>
      <c r="L13">
        <f>IF(Table13[[#This Row],[Churn]]="Yes",1,0)</f>
        <v>0</v>
      </c>
    </row>
    <row r="14" spans="1:12" x14ac:dyDescent="0.35">
      <c r="A14" t="s">
        <v>36</v>
      </c>
      <c r="B14" t="s">
        <v>11</v>
      </c>
      <c r="C14">
        <v>23</v>
      </c>
      <c r="D14">
        <v>56</v>
      </c>
      <c r="E14" t="s">
        <v>12</v>
      </c>
      <c r="F14" t="s">
        <v>29</v>
      </c>
      <c r="G14" t="s">
        <v>19</v>
      </c>
      <c r="H14">
        <v>133.18</v>
      </c>
      <c r="I14">
        <v>7481.46</v>
      </c>
      <c r="J14" t="s">
        <v>15</v>
      </c>
      <c r="K14" t="str">
        <f t="shared" si="0"/>
        <v>49+ Months</v>
      </c>
      <c r="L14">
        <f>IF(Table13[[#This Row],[Churn]]="Yes",1,0)</f>
        <v>0</v>
      </c>
    </row>
    <row r="15" spans="1:12" x14ac:dyDescent="0.35">
      <c r="A15" t="s">
        <v>37</v>
      </c>
      <c r="B15" t="s">
        <v>11</v>
      </c>
      <c r="C15">
        <v>35</v>
      </c>
      <c r="D15">
        <v>67</v>
      </c>
      <c r="E15" t="s">
        <v>18</v>
      </c>
      <c r="F15" t="s">
        <v>33</v>
      </c>
      <c r="G15" t="s">
        <v>14</v>
      </c>
      <c r="H15">
        <v>118.68</v>
      </c>
      <c r="I15">
        <v>7947.19</v>
      </c>
      <c r="J15" t="s">
        <v>15</v>
      </c>
      <c r="K15" t="str">
        <f t="shared" si="0"/>
        <v>49+ Months</v>
      </c>
      <c r="L15">
        <f>IF(Table13[[#This Row],[Churn]]="Yes",1,0)</f>
        <v>0</v>
      </c>
    </row>
    <row r="16" spans="1:12" x14ac:dyDescent="0.35">
      <c r="A16" t="s">
        <v>38</v>
      </c>
      <c r="B16" t="s">
        <v>17</v>
      </c>
      <c r="C16">
        <v>68</v>
      </c>
      <c r="D16">
        <v>29</v>
      </c>
      <c r="E16" t="s">
        <v>12</v>
      </c>
      <c r="F16" t="s">
        <v>33</v>
      </c>
      <c r="G16" t="s">
        <v>23</v>
      </c>
      <c r="H16">
        <v>114.58</v>
      </c>
      <c r="I16">
        <v>3109.11</v>
      </c>
      <c r="J16" t="s">
        <v>27</v>
      </c>
      <c r="K16" t="str">
        <f t="shared" si="0"/>
        <v>25-48 Months</v>
      </c>
      <c r="L16">
        <f>IF(Table13[[#This Row],[Churn]]="Yes",1,0)</f>
        <v>1</v>
      </c>
    </row>
    <row r="17" spans="1:12" x14ac:dyDescent="0.35">
      <c r="A17" t="s">
        <v>39</v>
      </c>
      <c r="B17" t="s">
        <v>11</v>
      </c>
      <c r="C17">
        <v>22</v>
      </c>
      <c r="D17">
        <v>9</v>
      </c>
      <c r="E17" t="s">
        <v>12</v>
      </c>
      <c r="F17" t="s">
        <v>22</v>
      </c>
      <c r="G17" t="s">
        <v>19</v>
      </c>
      <c r="H17">
        <v>82.97</v>
      </c>
      <c r="I17">
        <v>688.21</v>
      </c>
      <c r="J17" t="s">
        <v>15</v>
      </c>
      <c r="K17" t="str">
        <f t="shared" si="0"/>
        <v>0-12 Months</v>
      </c>
      <c r="L17">
        <f>IF(Table13[[#This Row],[Churn]]="Yes",1,0)</f>
        <v>0</v>
      </c>
    </row>
    <row r="18" spans="1:12" x14ac:dyDescent="0.35">
      <c r="A18" t="s">
        <v>40</v>
      </c>
      <c r="B18" t="s">
        <v>17</v>
      </c>
      <c r="C18">
        <v>64</v>
      </c>
      <c r="D18">
        <v>67</v>
      </c>
      <c r="E18" t="s">
        <v>12</v>
      </c>
      <c r="F18" t="s">
        <v>22</v>
      </c>
      <c r="G18" t="s">
        <v>23</v>
      </c>
      <c r="H18">
        <v>110.19</v>
      </c>
      <c r="I18">
        <v>7887.87</v>
      </c>
      <c r="J18" t="s">
        <v>27</v>
      </c>
      <c r="K18" t="str">
        <f t="shared" si="0"/>
        <v>49+ Months</v>
      </c>
      <c r="L18">
        <f>IF(Table13[[#This Row],[Churn]]="Yes",1,0)</f>
        <v>1</v>
      </c>
    </row>
    <row r="19" spans="1:12" x14ac:dyDescent="0.35">
      <c r="A19" t="s">
        <v>41</v>
      </c>
      <c r="B19" t="s">
        <v>17</v>
      </c>
      <c r="C19">
        <v>42</v>
      </c>
      <c r="D19">
        <v>25</v>
      </c>
      <c r="E19" t="s">
        <v>12</v>
      </c>
      <c r="F19" t="s">
        <v>29</v>
      </c>
      <c r="G19" t="s">
        <v>14</v>
      </c>
      <c r="H19">
        <v>91.86</v>
      </c>
      <c r="I19">
        <v>2348.92</v>
      </c>
      <c r="J19" t="s">
        <v>27</v>
      </c>
      <c r="K19" t="str">
        <f t="shared" si="0"/>
        <v>25-48 Months</v>
      </c>
      <c r="L19">
        <f>IF(Table13[[#This Row],[Churn]]="Yes",1,0)</f>
        <v>1</v>
      </c>
    </row>
    <row r="20" spans="1:12" x14ac:dyDescent="0.35">
      <c r="A20" t="s">
        <v>42</v>
      </c>
      <c r="B20" t="s">
        <v>17</v>
      </c>
      <c r="C20">
        <v>19</v>
      </c>
      <c r="D20">
        <v>42</v>
      </c>
      <c r="E20" t="s">
        <v>12</v>
      </c>
      <c r="F20" t="s">
        <v>33</v>
      </c>
      <c r="G20" t="s">
        <v>19</v>
      </c>
      <c r="H20">
        <v>48.11</v>
      </c>
      <c r="I20">
        <v>1950.23</v>
      </c>
      <c r="J20" t="s">
        <v>15</v>
      </c>
      <c r="K20" t="str">
        <f t="shared" si="0"/>
        <v>25-48 Months</v>
      </c>
      <c r="L20">
        <f>IF(Table13[[#This Row],[Churn]]="Yes",1,0)</f>
        <v>0</v>
      </c>
    </row>
    <row r="21" spans="1:12" x14ac:dyDescent="0.35">
      <c r="A21" t="s">
        <v>43</v>
      </c>
      <c r="B21" t="s">
        <v>11</v>
      </c>
      <c r="C21">
        <v>27</v>
      </c>
      <c r="D21">
        <v>9</v>
      </c>
      <c r="E21" t="s">
        <v>12</v>
      </c>
      <c r="F21" t="s">
        <v>13</v>
      </c>
      <c r="G21" t="s">
        <v>19</v>
      </c>
      <c r="H21">
        <v>47.12</v>
      </c>
      <c r="I21">
        <v>397.93</v>
      </c>
      <c r="J21" t="s">
        <v>15</v>
      </c>
      <c r="K21" t="str">
        <f t="shared" si="0"/>
        <v>0-12 Months</v>
      </c>
      <c r="L21">
        <f>IF(Table13[[#This Row],[Churn]]="Yes",1,0)</f>
        <v>0</v>
      </c>
    </row>
    <row r="22" spans="1:12" x14ac:dyDescent="0.35">
      <c r="A22" t="s">
        <v>44</v>
      </c>
      <c r="B22" t="s">
        <v>17</v>
      </c>
      <c r="C22">
        <v>47</v>
      </c>
      <c r="D22">
        <v>40</v>
      </c>
      <c r="E22" t="s">
        <v>12</v>
      </c>
      <c r="F22" t="s">
        <v>29</v>
      </c>
      <c r="G22" t="s">
        <v>14</v>
      </c>
      <c r="H22">
        <v>58.53</v>
      </c>
      <c r="I22">
        <v>2367.19</v>
      </c>
      <c r="J22" t="s">
        <v>15</v>
      </c>
      <c r="K22" t="str">
        <f t="shared" si="0"/>
        <v>25-48 Months</v>
      </c>
      <c r="L22">
        <f>IF(Table13[[#This Row],[Churn]]="Yes",1,0)</f>
        <v>0</v>
      </c>
    </row>
    <row r="23" spans="1:12" x14ac:dyDescent="0.35">
      <c r="A23" t="s">
        <v>45</v>
      </c>
      <c r="B23" t="s">
        <v>11</v>
      </c>
      <c r="C23">
        <v>67</v>
      </c>
      <c r="D23">
        <v>25</v>
      </c>
      <c r="E23" t="s">
        <v>21</v>
      </c>
      <c r="F23" t="s">
        <v>29</v>
      </c>
      <c r="G23" t="s">
        <v>23</v>
      </c>
      <c r="H23">
        <v>138.4</v>
      </c>
      <c r="I23">
        <v>3518.07</v>
      </c>
      <c r="J23" t="s">
        <v>27</v>
      </c>
      <c r="K23" t="str">
        <f t="shared" si="0"/>
        <v>25-48 Months</v>
      </c>
      <c r="L23">
        <f>IF(Table13[[#This Row],[Churn]]="Yes",1,0)</f>
        <v>1</v>
      </c>
    </row>
    <row r="24" spans="1:12" x14ac:dyDescent="0.35">
      <c r="A24" t="s">
        <v>46</v>
      </c>
      <c r="B24" t="s">
        <v>17</v>
      </c>
      <c r="C24">
        <v>62</v>
      </c>
      <c r="D24">
        <v>5</v>
      </c>
      <c r="E24" t="s">
        <v>18</v>
      </c>
      <c r="F24" t="s">
        <v>33</v>
      </c>
      <c r="G24" t="s">
        <v>23</v>
      </c>
      <c r="H24">
        <v>91.16</v>
      </c>
      <c r="I24">
        <v>429.09</v>
      </c>
      <c r="J24" t="s">
        <v>15</v>
      </c>
      <c r="K24" t="str">
        <f t="shared" si="0"/>
        <v>0-12 Months</v>
      </c>
      <c r="L24">
        <f>IF(Table13[[#This Row],[Churn]]="Yes",1,0)</f>
        <v>0</v>
      </c>
    </row>
    <row r="25" spans="1:12" x14ac:dyDescent="0.35">
      <c r="A25" t="s">
        <v>47</v>
      </c>
      <c r="B25" t="s">
        <v>17</v>
      </c>
      <c r="C25">
        <v>22</v>
      </c>
      <c r="D25">
        <v>11</v>
      </c>
      <c r="E25" t="s">
        <v>12</v>
      </c>
      <c r="F25" t="s">
        <v>33</v>
      </c>
      <c r="G25" t="s">
        <v>19</v>
      </c>
      <c r="H25">
        <v>115.41</v>
      </c>
      <c r="I25">
        <v>1358.73</v>
      </c>
      <c r="J25" t="s">
        <v>27</v>
      </c>
      <c r="K25" t="str">
        <f t="shared" si="0"/>
        <v>0-12 Months</v>
      </c>
      <c r="L25">
        <f>IF(Table13[[#This Row],[Churn]]="Yes",1,0)</f>
        <v>1</v>
      </c>
    </row>
    <row r="26" spans="1:12" x14ac:dyDescent="0.35">
      <c r="A26" t="s">
        <v>48</v>
      </c>
      <c r="B26" t="s">
        <v>17</v>
      </c>
      <c r="C26">
        <v>50</v>
      </c>
      <c r="D26">
        <v>59</v>
      </c>
      <c r="E26" t="s">
        <v>12</v>
      </c>
      <c r="F26" t="s">
        <v>33</v>
      </c>
      <c r="G26" t="s">
        <v>23</v>
      </c>
      <c r="H26">
        <v>65.05</v>
      </c>
      <c r="I26">
        <v>3518.84</v>
      </c>
      <c r="J26" t="s">
        <v>15</v>
      </c>
      <c r="K26" t="str">
        <f t="shared" si="0"/>
        <v>49+ Months</v>
      </c>
      <c r="L26">
        <f>IF(Table13[[#This Row],[Churn]]="Yes",1,0)</f>
        <v>0</v>
      </c>
    </row>
    <row r="27" spans="1:12" x14ac:dyDescent="0.35">
      <c r="A27" t="s">
        <v>49</v>
      </c>
      <c r="B27" t="s">
        <v>17</v>
      </c>
      <c r="C27">
        <v>18</v>
      </c>
      <c r="D27">
        <v>38</v>
      </c>
      <c r="E27" t="s">
        <v>18</v>
      </c>
      <c r="F27" t="s">
        <v>22</v>
      </c>
      <c r="G27" t="s">
        <v>19</v>
      </c>
      <c r="H27">
        <v>73</v>
      </c>
      <c r="I27">
        <v>2694.16</v>
      </c>
      <c r="J27" t="s">
        <v>15</v>
      </c>
      <c r="K27" t="str">
        <f t="shared" si="0"/>
        <v>25-48 Months</v>
      </c>
      <c r="L27">
        <f>IF(Table13[[#This Row],[Churn]]="Yes",1,0)</f>
        <v>0</v>
      </c>
    </row>
    <row r="28" spans="1:12" x14ac:dyDescent="0.35">
      <c r="A28" t="s">
        <v>50</v>
      </c>
      <c r="B28" t="s">
        <v>17</v>
      </c>
      <c r="C28">
        <v>35</v>
      </c>
      <c r="D28">
        <v>72</v>
      </c>
      <c r="E28" t="s">
        <v>12</v>
      </c>
      <c r="F28" t="s">
        <v>29</v>
      </c>
      <c r="G28" t="s">
        <v>14</v>
      </c>
      <c r="H28">
        <v>36.32</v>
      </c>
      <c r="I28">
        <v>2709.38</v>
      </c>
      <c r="J28" t="s">
        <v>15</v>
      </c>
      <c r="K28" t="str">
        <f t="shared" si="0"/>
        <v>49+ Months</v>
      </c>
      <c r="L28">
        <f>IF(Table13[[#This Row],[Churn]]="Yes",1,0)</f>
        <v>0</v>
      </c>
    </row>
    <row r="29" spans="1:12" x14ac:dyDescent="0.35">
      <c r="A29" t="s">
        <v>51</v>
      </c>
      <c r="B29" t="s">
        <v>17</v>
      </c>
      <c r="C29">
        <v>49</v>
      </c>
      <c r="D29">
        <v>5</v>
      </c>
      <c r="E29" t="s">
        <v>12</v>
      </c>
      <c r="F29" t="s">
        <v>29</v>
      </c>
      <c r="G29" t="s">
        <v>14</v>
      </c>
      <c r="H29">
        <v>42.27</v>
      </c>
      <c r="I29">
        <v>201.8</v>
      </c>
      <c r="J29" t="s">
        <v>27</v>
      </c>
      <c r="K29" t="str">
        <f t="shared" si="0"/>
        <v>0-12 Months</v>
      </c>
      <c r="L29">
        <f>IF(Table13[[#This Row],[Churn]]="Yes",1,0)</f>
        <v>1</v>
      </c>
    </row>
    <row r="30" spans="1:12" x14ac:dyDescent="0.35">
      <c r="A30" t="s">
        <v>52</v>
      </c>
      <c r="B30" t="s">
        <v>17</v>
      </c>
      <c r="C30">
        <v>64</v>
      </c>
      <c r="D30">
        <v>48</v>
      </c>
      <c r="E30" t="s">
        <v>18</v>
      </c>
      <c r="F30" t="s">
        <v>29</v>
      </c>
      <c r="G30" t="s">
        <v>23</v>
      </c>
      <c r="H30">
        <v>127.56</v>
      </c>
      <c r="I30">
        <v>6524.14</v>
      </c>
      <c r="J30" t="s">
        <v>27</v>
      </c>
      <c r="K30" t="str">
        <f t="shared" si="0"/>
        <v>25-48 Months</v>
      </c>
      <c r="L30">
        <f>IF(Table13[[#This Row],[Churn]]="Yes",1,0)</f>
        <v>1</v>
      </c>
    </row>
    <row r="31" spans="1:12" x14ac:dyDescent="0.35">
      <c r="A31" t="s">
        <v>53</v>
      </c>
      <c r="B31" t="s">
        <v>17</v>
      </c>
      <c r="C31">
        <v>66</v>
      </c>
      <c r="D31">
        <v>18</v>
      </c>
      <c r="E31" t="s">
        <v>12</v>
      </c>
      <c r="F31" t="s">
        <v>29</v>
      </c>
      <c r="G31" t="s">
        <v>23</v>
      </c>
      <c r="H31">
        <v>96.03</v>
      </c>
      <c r="I31">
        <v>1811.46</v>
      </c>
      <c r="J31" t="s">
        <v>27</v>
      </c>
      <c r="K31" t="str">
        <f t="shared" si="0"/>
        <v>13-24 Months</v>
      </c>
      <c r="L31">
        <f>IF(Table13[[#This Row],[Churn]]="Yes",1,0)</f>
        <v>1</v>
      </c>
    </row>
    <row r="32" spans="1:12" x14ac:dyDescent="0.35">
      <c r="A32" t="s">
        <v>54</v>
      </c>
      <c r="B32" t="s">
        <v>11</v>
      </c>
      <c r="C32">
        <v>28</v>
      </c>
      <c r="D32">
        <v>70</v>
      </c>
      <c r="E32" t="s">
        <v>21</v>
      </c>
      <c r="F32" t="s">
        <v>13</v>
      </c>
      <c r="G32" t="s">
        <v>19</v>
      </c>
      <c r="H32">
        <v>63.88</v>
      </c>
      <c r="I32">
        <v>4730.08</v>
      </c>
      <c r="J32" t="s">
        <v>15</v>
      </c>
      <c r="K32" t="str">
        <f t="shared" si="0"/>
        <v>49+ Months</v>
      </c>
      <c r="L32">
        <f>IF(Table13[[#This Row],[Churn]]="Yes",1,0)</f>
        <v>0</v>
      </c>
    </row>
    <row r="33" spans="1:12" x14ac:dyDescent="0.35">
      <c r="A33" t="s">
        <v>55</v>
      </c>
      <c r="B33" t="s">
        <v>11</v>
      </c>
      <c r="C33">
        <v>38</v>
      </c>
      <c r="D33">
        <v>37</v>
      </c>
      <c r="E33" t="s">
        <v>21</v>
      </c>
      <c r="F33" t="s">
        <v>29</v>
      </c>
      <c r="G33" t="s">
        <v>14</v>
      </c>
      <c r="H33">
        <v>124.37</v>
      </c>
      <c r="I33">
        <v>4251.1400000000003</v>
      </c>
      <c r="J33" t="s">
        <v>15</v>
      </c>
      <c r="K33" t="str">
        <f t="shared" si="0"/>
        <v>25-48 Months</v>
      </c>
      <c r="L33">
        <f>IF(Table13[[#This Row],[Churn]]="Yes",1,0)</f>
        <v>0</v>
      </c>
    </row>
    <row r="34" spans="1:12" x14ac:dyDescent="0.35">
      <c r="A34" t="s">
        <v>56</v>
      </c>
      <c r="B34" t="s">
        <v>17</v>
      </c>
      <c r="C34">
        <v>43</v>
      </c>
      <c r="D34">
        <v>60</v>
      </c>
      <c r="E34" t="s">
        <v>12</v>
      </c>
      <c r="F34" t="s">
        <v>13</v>
      </c>
      <c r="G34" t="s">
        <v>14</v>
      </c>
      <c r="H34">
        <v>52.05</v>
      </c>
      <c r="I34">
        <v>2898.49</v>
      </c>
      <c r="J34" t="s">
        <v>27</v>
      </c>
      <c r="K34" t="str">
        <f t="shared" si="0"/>
        <v>49+ Months</v>
      </c>
      <c r="L34">
        <f>IF(Table13[[#This Row],[Churn]]="Yes",1,0)</f>
        <v>1</v>
      </c>
    </row>
    <row r="35" spans="1:12" x14ac:dyDescent="0.35">
      <c r="A35" t="s">
        <v>57</v>
      </c>
      <c r="B35" t="s">
        <v>17</v>
      </c>
      <c r="C35">
        <v>42</v>
      </c>
      <c r="D35">
        <v>48</v>
      </c>
      <c r="E35" t="s">
        <v>12</v>
      </c>
      <c r="F35" t="s">
        <v>1024</v>
      </c>
      <c r="G35" t="s">
        <v>14</v>
      </c>
      <c r="H35">
        <v>146.88</v>
      </c>
      <c r="I35">
        <v>6749.16</v>
      </c>
      <c r="J35" t="s">
        <v>15</v>
      </c>
      <c r="K35" t="str">
        <f t="shared" si="0"/>
        <v>25-48 Months</v>
      </c>
      <c r="L35">
        <f>IF(Table13[[#This Row],[Churn]]="Yes",1,0)</f>
        <v>0</v>
      </c>
    </row>
    <row r="36" spans="1:12" x14ac:dyDescent="0.35">
      <c r="A36" t="s">
        <v>58</v>
      </c>
      <c r="B36" t="s">
        <v>17</v>
      </c>
      <c r="C36">
        <v>39</v>
      </c>
      <c r="D36">
        <v>28</v>
      </c>
      <c r="E36" t="s">
        <v>21</v>
      </c>
      <c r="F36" t="s">
        <v>13</v>
      </c>
      <c r="G36" t="s">
        <v>14</v>
      </c>
      <c r="H36">
        <v>64.83</v>
      </c>
      <c r="I36">
        <v>1821.8</v>
      </c>
      <c r="J36" t="s">
        <v>15</v>
      </c>
      <c r="K36" t="str">
        <f t="shared" si="0"/>
        <v>25-48 Months</v>
      </c>
      <c r="L36">
        <f>IF(Table13[[#This Row],[Churn]]="Yes",1,0)</f>
        <v>0</v>
      </c>
    </row>
    <row r="37" spans="1:12" x14ac:dyDescent="0.35">
      <c r="A37" t="s">
        <v>59</v>
      </c>
      <c r="B37" t="s">
        <v>11</v>
      </c>
      <c r="C37">
        <v>44</v>
      </c>
      <c r="D37">
        <v>69</v>
      </c>
      <c r="E37" t="s">
        <v>12</v>
      </c>
      <c r="F37" t="s">
        <v>33</v>
      </c>
      <c r="G37" t="s">
        <v>14</v>
      </c>
      <c r="H37">
        <v>63.85</v>
      </c>
      <c r="I37">
        <v>4624.18</v>
      </c>
      <c r="J37" t="s">
        <v>15</v>
      </c>
      <c r="K37" t="str">
        <f t="shared" si="0"/>
        <v>49+ Months</v>
      </c>
      <c r="L37">
        <f>IF(Table13[[#This Row],[Churn]]="Yes",1,0)</f>
        <v>0</v>
      </c>
    </row>
    <row r="38" spans="1:12" x14ac:dyDescent="0.35">
      <c r="A38" t="s">
        <v>60</v>
      </c>
      <c r="B38" t="s">
        <v>17</v>
      </c>
      <c r="C38">
        <v>66</v>
      </c>
      <c r="D38">
        <v>40</v>
      </c>
      <c r="E38" t="s">
        <v>12</v>
      </c>
      <c r="F38" t="s">
        <v>22</v>
      </c>
      <c r="G38" t="s">
        <v>23</v>
      </c>
      <c r="H38">
        <v>60.55</v>
      </c>
      <c r="I38">
        <v>2585.02</v>
      </c>
      <c r="J38" t="s">
        <v>15</v>
      </c>
      <c r="K38" t="str">
        <f t="shared" si="0"/>
        <v>25-48 Months</v>
      </c>
      <c r="L38">
        <f>IF(Table13[[#This Row],[Churn]]="Yes",1,0)</f>
        <v>0</v>
      </c>
    </row>
    <row r="39" spans="1:12" x14ac:dyDescent="0.35">
      <c r="A39" t="s">
        <v>61</v>
      </c>
      <c r="B39" t="s">
        <v>11</v>
      </c>
      <c r="C39">
        <v>30</v>
      </c>
      <c r="D39">
        <v>45</v>
      </c>
      <c r="E39" t="s">
        <v>21</v>
      </c>
      <c r="F39" t="s">
        <v>29</v>
      </c>
      <c r="G39" t="s">
        <v>14</v>
      </c>
      <c r="H39">
        <v>35.869999999999997</v>
      </c>
      <c r="I39">
        <v>1680.12</v>
      </c>
      <c r="J39" t="s">
        <v>15</v>
      </c>
      <c r="K39" t="str">
        <f t="shared" si="0"/>
        <v>25-48 Months</v>
      </c>
      <c r="L39">
        <f>IF(Table13[[#This Row],[Churn]]="Yes",1,0)</f>
        <v>0</v>
      </c>
    </row>
    <row r="40" spans="1:12" x14ac:dyDescent="0.35">
      <c r="A40" t="s">
        <v>62</v>
      </c>
      <c r="B40" t="s">
        <v>11</v>
      </c>
      <c r="C40">
        <v>50</v>
      </c>
      <c r="D40">
        <v>62</v>
      </c>
      <c r="E40" t="s">
        <v>12</v>
      </c>
      <c r="F40" t="s">
        <v>13</v>
      </c>
      <c r="G40" t="s">
        <v>23</v>
      </c>
      <c r="H40">
        <v>34.450000000000003</v>
      </c>
      <c r="I40">
        <v>2318.9899999999998</v>
      </c>
      <c r="J40" t="s">
        <v>27</v>
      </c>
      <c r="K40" t="str">
        <f t="shared" si="0"/>
        <v>49+ Months</v>
      </c>
      <c r="L40">
        <f>IF(Table13[[#This Row],[Churn]]="Yes",1,0)</f>
        <v>1</v>
      </c>
    </row>
    <row r="41" spans="1:12" x14ac:dyDescent="0.35">
      <c r="A41" t="s">
        <v>63</v>
      </c>
      <c r="B41" t="s">
        <v>11</v>
      </c>
      <c r="C41">
        <v>51</v>
      </c>
      <c r="D41">
        <v>58</v>
      </c>
      <c r="E41" t="s">
        <v>12</v>
      </c>
      <c r="F41" t="s">
        <v>1024</v>
      </c>
      <c r="G41" t="s">
        <v>23</v>
      </c>
      <c r="H41">
        <v>104.25</v>
      </c>
      <c r="I41">
        <v>6335.21</v>
      </c>
      <c r="J41" t="s">
        <v>27</v>
      </c>
      <c r="K41" t="str">
        <f t="shared" si="0"/>
        <v>49+ Months</v>
      </c>
      <c r="L41">
        <f>IF(Table13[[#This Row],[Churn]]="Yes",1,0)</f>
        <v>1</v>
      </c>
    </row>
    <row r="42" spans="1:12" x14ac:dyDescent="0.35">
      <c r="A42" t="s">
        <v>64</v>
      </c>
      <c r="B42" t="s">
        <v>11</v>
      </c>
      <c r="C42">
        <v>58</v>
      </c>
      <c r="D42">
        <v>67</v>
      </c>
      <c r="E42" t="s">
        <v>18</v>
      </c>
      <c r="F42" t="s">
        <v>29</v>
      </c>
      <c r="G42" t="s">
        <v>23</v>
      </c>
      <c r="H42">
        <v>133.77000000000001</v>
      </c>
      <c r="I42">
        <v>8615.32</v>
      </c>
      <c r="J42" t="s">
        <v>27</v>
      </c>
      <c r="K42" t="str">
        <f t="shared" si="0"/>
        <v>49+ Months</v>
      </c>
      <c r="L42">
        <f>IF(Table13[[#This Row],[Churn]]="Yes",1,0)</f>
        <v>1</v>
      </c>
    </row>
    <row r="43" spans="1:12" x14ac:dyDescent="0.35">
      <c r="A43" t="s">
        <v>65</v>
      </c>
      <c r="B43" t="s">
        <v>11</v>
      </c>
      <c r="C43">
        <v>52</v>
      </c>
      <c r="D43">
        <v>56</v>
      </c>
      <c r="E43" t="s">
        <v>12</v>
      </c>
      <c r="F43" t="s">
        <v>22</v>
      </c>
      <c r="G43" t="s">
        <v>23</v>
      </c>
      <c r="H43">
        <v>122.77</v>
      </c>
      <c r="I43">
        <v>6552.1</v>
      </c>
      <c r="J43" t="s">
        <v>15</v>
      </c>
      <c r="K43" t="str">
        <f t="shared" si="0"/>
        <v>49+ Months</v>
      </c>
      <c r="L43">
        <f>IF(Table13[[#This Row],[Churn]]="Yes",1,0)</f>
        <v>0</v>
      </c>
    </row>
    <row r="44" spans="1:12" x14ac:dyDescent="0.35">
      <c r="A44" t="s">
        <v>66</v>
      </c>
      <c r="B44" t="s">
        <v>17</v>
      </c>
      <c r="C44">
        <v>18</v>
      </c>
      <c r="D44">
        <v>40</v>
      </c>
      <c r="E44" t="s">
        <v>18</v>
      </c>
      <c r="F44" t="s">
        <v>29</v>
      </c>
      <c r="G44" t="s">
        <v>19</v>
      </c>
      <c r="H44">
        <v>38.340000000000003</v>
      </c>
      <c r="I44">
        <v>1593.78</v>
      </c>
      <c r="J44" t="s">
        <v>15</v>
      </c>
      <c r="K44" t="str">
        <f t="shared" si="0"/>
        <v>25-48 Months</v>
      </c>
      <c r="L44">
        <f>IF(Table13[[#This Row],[Churn]]="Yes",1,0)</f>
        <v>0</v>
      </c>
    </row>
    <row r="45" spans="1:12" x14ac:dyDescent="0.35">
      <c r="A45" t="s">
        <v>67</v>
      </c>
      <c r="B45" t="s">
        <v>17</v>
      </c>
      <c r="C45">
        <v>38</v>
      </c>
      <c r="D45">
        <v>40</v>
      </c>
      <c r="E45" t="s">
        <v>21</v>
      </c>
      <c r="F45" t="s">
        <v>29</v>
      </c>
      <c r="G45" t="s">
        <v>14</v>
      </c>
      <c r="H45">
        <v>90.93</v>
      </c>
      <c r="I45">
        <v>3413.78</v>
      </c>
      <c r="J45" t="s">
        <v>15</v>
      </c>
      <c r="K45" t="str">
        <f t="shared" si="0"/>
        <v>25-48 Months</v>
      </c>
      <c r="L45">
        <f>IF(Table13[[#This Row],[Churn]]="Yes",1,0)</f>
        <v>0</v>
      </c>
    </row>
    <row r="46" spans="1:12" x14ac:dyDescent="0.35">
      <c r="A46" t="s">
        <v>68</v>
      </c>
      <c r="B46" t="s">
        <v>17</v>
      </c>
      <c r="C46">
        <v>65</v>
      </c>
      <c r="D46">
        <v>33</v>
      </c>
      <c r="E46" t="s">
        <v>21</v>
      </c>
      <c r="F46" t="s">
        <v>13</v>
      </c>
      <c r="G46" t="s">
        <v>23</v>
      </c>
      <c r="H46">
        <v>33.729999999999997</v>
      </c>
      <c r="I46">
        <v>1022.42</v>
      </c>
      <c r="J46" t="s">
        <v>27</v>
      </c>
      <c r="K46" t="str">
        <f t="shared" si="0"/>
        <v>25-48 Months</v>
      </c>
      <c r="L46">
        <f>IF(Table13[[#This Row],[Churn]]="Yes",1,0)</f>
        <v>1</v>
      </c>
    </row>
    <row r="47" spans="1:12" x14ac:dyDescent="0.35">
      <c r="A47" t="s">
        <v>69</v>
      </c>
      <c r="B47" t="s">
        <v>17</v>
      </c>
      <c r="C47">
        <v>23</v>
      </c>
      <c r="D47">
        <v>6</v>
      </c>
      <c r="E47" t="s">
        <v>12</v>
      </c>
      <c r="F47" t="s">
        <v>33</v>
      </c>
      <c r="G47" t="s">
        <v>19</v>
      </c>
      <c r="H47">
        <v>25.89</v>
      </c>
      <c r="I47">
        <v>156.34</v>
      </c>
      <c r="J47" t="s">
        <v>15</v>
      </c>
      <c r="K47" t="str">
        <f t="shared" si="0"/>
        <v>0-12 Months</v>
      </c>
      <c r="L47">
        <f>IF(Table13[[#This Row],[Churn]]="Yes",1,0)</f>
        <v>0</v>
      </c>
    </row>
    <row r="48" spans="1:12" x14ac:dyDescent="0.35">
      <c r="A48" t="s">
        <v>70</v>
      </c>
      <c r="B48" t="s">
        <v>17</v>
      </c>
      <c r="C48">
        <v>45</v>
      </c>
      <c r="D48">
        <v>19</v>
      </c>
      <c r="E48" t="s">
        <v>18</v>
      </c>
      <c r="F48" t="s">
        <v>22</v>
      </c>
      <c r="G48" t="s">
        <v>14</v>
      </c>
      <c r="H48">
        <v>105.33</v>
      </c>
      <c r="I48">
        <v>2130.0100000000002</v>
      </c>
      <c r="J48" t="s">
        <v>27</v>
      </c>
      <c r="K48" t="str">
        <f t="shared" si="0"/>
        <v>13-24 Months</v>
      </c>
      <c r="L48">
        <f>IF(Table13[[#This Row],[Churn]]="Yes",1,0)</f>
        <v>1</v>
      </c>
    </row>
    <row r="49" spans="1:12" x14ac:dyDescent="0.35">
      <c r="A49" t="s">
        <v>71</v>
      </c>
      <c r="B49" t="s">
        <v>11</v>
      </c>
      <c r="C49">
        <v>34</v>
      </c>
      <c r="D49">
        <v>40</v>
      </c>
      <c r="E49" t="s">
        <v>12</v>
      </c>
      <c r="F49" t="s">
        <v>22</v>
      </c>
      <c r="G49" t="s">
        <v>14</v>
      </c>
      <c r="H49">
        <v>89.57</v>
      </c>
      <c r="I49">
        <v>3297.16</v>
      </c>
      <c r="J49" t="s">
        <v>27</v>
      </c>
      <c r="K49" t="str">
        <f t="shared" si="0"/>
        <v>25-48 Months</v>
      </c>
      <c r="L49">
        <f>IF(Table13[[#This Row],[Churn]]="Yes",1,0)</f>
        <v>1</v>
      </c>
    </row>
    <row r="50" spans="1:12" x14ac:dyDescent="0.35">
      <c r="A50" t="s">
        <v>72</v>
      </c>
      <c r="B50" t="s">
        <v>17</v>
      </c>
      <c r="C50">
        <v>22</v>
      </c>
      <c r="D50">
        <v>59</v>
      </c>
      <c r="E50" t="s">
        <v>21</v>
      </c>
      <c r="F50" t="s">
        <v>29</v>
      </c>
      <c r="G50" t="s">
        <v>19</v>
      </c>
      <c r="H50">
        <v>30.66</v>
      </c>
      <c r="I50">
        <v>1914.54</v>
      </c>
      <c r="J50" t="s">
        <v>15</v>
      </c>
      <c r="K50" t="str">
        <f t="shared" si="0"/>
        <v>49+ Months</v>
      </c>
      <c r="L50">
        <f>IF(Table13[[#This Row],[Churn]]="Yes",1,0)</f>
        <v>0</v>
      </c>
    </row>
    <row r="51" spans="1:12" x14ac:dyDescent="0.35">
      <c r="A51" t="s">
        <v>73</v>
      </c>
      <c r="B51" t="s">
        <v>17</v>
      </c>
      <c r="C51">
        <v>48</v>
      </c>
      <c r="D51">
        <v>59</v>
      </c>
      <c r="E51" t="s">
        <v>12</v>
      </c>
      <c r="F51" t="s">
        <v>22</v>
      </c>
      <c r="G51" t="s">
        <v>14</v>
      </c>
      <c r="H51">
        <v>24.54</v>
      </c>
      <c r="I51">
        <v>1538.08</v>
      </c>
      <c r="J51" t="s">
        <v>15</v>
      </c>
      <c r="K51" t="str">
        <f t="shared" si="0"/>
        <v>49+ Months</v>
      </c>
      <c r="L51">
        <f>IF(Table13[[#This Row],[Churn]]="Yes",1,0)</f>
        <v>0</v>
      </c>
    </row>
    <row r="52" spans="1:12" x14ac:dyDescent="0.35">
      <c r="A52" t="s">
        <v>74</v>
      </c>
      <c r="B52" t="s">
        <v>11</v>
      </c>
      <c r="C52">
        <v>22</v>
      </c>
      <c r="D52">
        <v>48</v>
      </c>
      <c r="E52" t="s">
        <v>12</v>
      </c>
      <c r="F52" t="s">
        <v>22</v>
      </c>
      <c r="G52" t="s">
        <v>19</v>
      </c>
      <c r="H52">
        <v>148.66999999999999</v>
      </c>
      <c r="I52">
        <v>7110.86</v>
      </c>
      <c r="J52" t="s">
        <v>15</v>
      </c>
      <c r="K52" t="str">
        <f t="shared" si="0"/>
        <v>25-48 Months</v>
      </c>
      <c r="L52">
        <f>IF(Table13[[#This Row],[Churn]]="Yes",1,0)</f>
        <v>0</v>
      </c>
    </row>
    <row r="53" spans="1:12" x14ac:dyDescent="0.35">
      <c r="A53" t="s">
        <v>75</v>
      </c>
      <c r="B53" t="s">
        <v>17</v>
      </c>
      <c r="C53">
        <v>55</v>
      </c>
      <c r="D53">
        <v>41</v>
      </c>
      <c r="E53" t="s">
        <v>12</v>
      </c>
      <c r="F53" t="s">
        <v>22</v>
      </c>
      <c r="G53" t="s">
        <v>23</v>
      </c>
      <c r="H53">
        <v>23.9</v>
      </c>
      <c r="I53">
        <v>893.14</v>
      </c>
      <c r="J53" t="s">
        <v>15</v>
      </c>
      <c r="K53" t="str">
        <f t="shared" si="0"/>
        <v>25-48 Months</v>
      </c>
      <c r="L53">
        <f>IF(Table13[[#This Row],[Churn]]="Yes",1,0)</f>
        <v>0</v>
      </c>
    </row>
    <row r="54" spans="1:12" x14ac:dyDescent="0.35">
      <c r="A54" t="s">
        <v>76</v>
      </c>
      <c r="B54" t="s">
        <v>11</v>
      </c>
      <c r="C54">
        <v>20</v>
      </c>
      <c r="D54">
        <v>13</v>
      </c>
      <c r="E54" t="s">
        <v>18</v>
      </c>
      <c r="F54" t="s">
        <v>33</v>
      </c>
      <c r="G54" t="s">
        <v>19</v>
      </c>
      <c r="H54">
        <v>77.790000000000006</v>
      </c>
      <c r="I54">
        <v>945.45</v>
      </c>
      <c r="J54" t="s">
        <v>27</v>
      </c>
      <c r="K54" t="str">
        <f t="shared" si="0"/>
        <v>13-24 Months</v>
      </c>
      <c r="L54">
        <f>IF(Table13[[#This Row],[Churn]]="Yes",1,0)</f>
        <v>1</v>
      </c>
    </row>
    <row r="55" spans="1:12" x14ac:dyDescent="0.35">
      <c r="A55" t="s">
        <v>77</v>
      </c>
      <c r="B55" t="s">
        <v>17</v>
      </c>
      <c r="C55">
        <v>70</v>
      </c>
      <c r="D55">
        <v>45</v>
      </c>
      <c r="E55" t="s">
        <v>18</v>
      </c>
      <c r="F55" t="s">
        <v>29</v>
      </c>
      <c r="G55" t="s">
        <v>23</v>
      </c>
      <c r="H55">
        <v>85.6</v>
      </c>
      <c r="I55">
        <v>4011.8</v>
      </c>
      <c r="J55" t="s">
        <v>15</v>
      </c>
      <c r="K55" t="str">
        <f t="shared" si="0"/>
        <v>25-48 Months</v>
      </c>
      <c r="L55">
        <f>IF(Table13[[#This Row],[Churn]]="Yes",1,0)</f>
        <v>0</v>
      </c>
    </row>
    <row r="56" spans="1:12" x14ac:dyDescent="0.35">
      <c r="A56" t="s">
        <v>78</v>
      </c>
      <c r="B56" t="s">
        <v>11</v>
      </c>
      <c r="C56">
        <v>40</v>
      </c>
      <c r="D56">
        <v>53</v>
      </c>
      <c r="E56" t="s">
        <v>12</v>
      </c>
      <c r="F56" t="s">
        <v>33</v>
      </c>
      <c r="G56" t="s">
        <v>14</v>
      </c>
      <c r="H56">
        <v>35.25</v>
      </c>
      <c r="I56">
        <v>1947.38</v>
      </c>
      <c r="J56" t="s">
        <v>15</v>
      </c>
      <c r="K56" t="str">
        <f t="shared" si="0"/>
        <v>49+ Months</v>
      </c>
      <c r="L56">
        <f>IF(Table13[[#This Row],[Churn]]="Yes",1,0)</f>
        <v>0</v>
      </c>
    </row>
    <row r="57" spans="1:12" x14ac:dyDescent="0.35">
      <c r="A57" t="s">
        <v>79</v>
      </c>
      <c r="B57" t="s">
        <v>17</v>
      </c>
      <c r="C57">
        <v>54</v>
      </c>
      <c r="D57">
        <v>42</v>
      </c>
      <c r="E57" t="s">
        <v>12</v>
      </c>
      <c r="F57" t="s">
        <v>33</v>
      </c>
      <c r="G57" t="s">
        <v>23</v>
      </c>
      <c r="H57">
        <v>41.98</v>
      </c>
      <c r="I57">
        <v>1903.63</v>
      </c>
      <c r="J57" t="s">
        <v>15</v>
      </c>
      <c r="K57" t="str">
        <f t="shared" si="0"/>
        <v>25-48 Months</v>
      </c>
      <c r="L57">
        <f>IF(Table13[[#This Row],[Churn]]="Yes",1,0)</f>
        <v>0</v>
      </c>
    </row>
    <row r="58" spans="1:12" x14ac:dyDescent="0.35">
      <c r="A58" t="s">
        <v>80</v>
      </c>
      <c r="B58" t="s">
        <v>17</v>
      </c>
      <c r="C58">
        <v>70</v>
      </c>
      <c r="D58">
        <v>63</v>
      </c>
      <c r="E58" t="s">
        <v>21</v>
      </c>
      <c r="F58" t="s">
        <v>29</v>
      </c>
      <c r="G58" t="s">
        <v>23</v>
      </c>
      <c r="H58">
        <v>65.73</v>
      </c>
      <c r="I58">
        <v>4209.47</v>
      </c>
      <c r="J58" t="s">
        <v>15</v>
      </c>
      <c r="K58" t="str">
        <f t="shared" si="0"/>
        <v>49+ Months</v>
      </c>
      <c r="L58">
        <f>IF(Table13[[#This Row],[Churn]]="Yes",1,0)</f>
        <v>0</v>
      </c>
    </row>
    <row r="59" spans="1:12" x14ac:dyDescent="0.35">
      <c r="A59" t="s">
        <v>81</v>
      </c>
      <c r="B59" t="s">
        <v>11</v>
      </c>
      <c r="C59">
        <v>54</v>
      </c>
      <c r="D59">
        <v>27</v>
      </c>
      <c r="E59" t="s">
        <v>12</v>
      </c>
      <c r="F59" t="s">
        <v>13</v>
      </c>
      <c r="G59" t="s">
        <v>23</v>
      </c>
      <c r="H59">
        <v>119.02</v>
      </c>
      <c r="I59">
        <v>2971.95</v>
      </c>
      <c r="J59" t="s">
        <v>15</v>
      </c>
      <c r="K59" t="str">
        <f t="shared" si="0"/>
        <v>25-48 Months</v>
      </c>
      <c r="L59">
        <f>IF(Table13[[#This Row],[Churn]]="Yes",1,0)</f>
        <v>0</v>
      </c>
    </row>
    <row r="60" spans="1:12" x14ac:dyDescent="0.35">
      <c r="A60" t="s">
        <v>82</v>
      </c>
      <c r="B60" t="s">
        <v>11</v>
      </c>
      <c r="C60">
        <v>27</v>
      </c>
      <c r="D60">
        <v>38</v>
      </c>
      <c r="E60" t="s">
        <v>12</v>
      </c>
      <c r="F60" t="s">
        <v>33</v>
      </c>
      <c r="G60" t="s">
        <v>19</v>
      </c>
      <c r="H60">
        <v>85.92</v>
      </c>
      <c r="I60">
        <v>3017.75</v>
      </c>
      <c r="J60" t="s">
        <v>15</v>
      </c>
      <c r="K60" t="str">
        <f t="shared" si="0"/>
        <v>25-48 Months</v>
      </c>
      <c r="L60">
        <f>IF(Table13[[#This Row],[Churn]]="Yes",1,0)</f>
        <v>0</v>
      </c>
    </row>
    <row r="61" spans="1:12" x14ac:dyDescent="0.35">
      <c r="A61" t="s">
        <v>83</v>
      </c>
      <c r="B61" t="s">
        <v>11</v>
      </c>
      <c r="C61">
        <v>27</v>
      </c>
      <c r="D61">
        <v>60</v>
      </c>
      <c r="E61" t="s">
        <v>21</v>
      </c>
      <c r="F61" t="s">
        <v>29</v>
      </c>
      <c r="G61" t="s">
        <v>19</v>
      </c>
      <c r="H61">
        <v>102.93</v>
      </c>
      <c r="I61">
        <v>6448.93</v>
      </c>
      <c r="J61" t="s">
        <v>27</v>
      </c>
      <c r="K61" t="str">
        <f t="shared" si="0"/>
        <v>49+ Months</v>
      </c>
      <c r="L61">
        <f>IF(Table13[[#This Row],[Churn]]="Yes",1,0)</f>
        <v>1</v>
      </c>
    </row>
    <row r="62" spans="1:12" x14ac:dyDescent="0.35">
      <c r="A62" t="s">
        <v>84</v>
      </c>
      <c r="B62" t="s">
        <v>11</v>
      </c>
      <c r="C62">
        <v>36</v>
      </c>
      <c r="D62">
        <v>7</v>
      </c>
      <c r="E62" t="s">
        <v>12</v>
      </c>
      <c r="F62" t="s">
        <v>13</v>
      </c>
      <c r="G62" t="s">
        <v>14</v>
      </c>
      <c r="H62">
        <v>148.07</v>
      </c>
      <c r="I62">
        <v>970.94</v>
      </c>
      <c r="J62" t="s">
        <v>27</v>
      </c>
      <c r="K62" t="str">
        <f t="shared" si="0"/>
        <v>0-12 Months</v>
      </c>
      <c r="L62">
        <f>IF(Table13[[#This Row],[Churn]]="Yes",1,0)</f>
        <v>1</v>
      </c>
    </row>
    <row r="63" spans="1:12" x14ac:dyDescent="0.35">
      <c r="A63" t="s">
        <v>85</v>
      </c>
      <c r="B63" t="s">
        <v>11</v>
      </c>
      <c r="C63">
        <v>34</v>
      </c>
      <c r="D63">
        <v>5</v>
      </c>
      <c r="E63" t="s">
        <v>18</v>
      </c>
      <c r="F63" t="s">
        <v>33</v>
      </c>
      <c r="G63" t="s">
        <v>14</v>
      </c>
      <c r="H63">
        <v>119.84</v>
      </c>
      <c r="I63">
        <v>578.63</v>
      </c>
      <c r="J63" t="s">
        <v>15</v>
      </c>
      <c r="K63" t="str">
        <f t="shared" si="0"/>
        <v>0-12 Months</v>
      </c>
      <c r="L63">
        <f>IF(Table13[[#This Row],[Churn]]="Yes",1,0)</f>
        <v>0</v>
      </c>
    </row>
    <row r="64" spans="1:12" x14ac:dyDescent="0.35">
      <c r="A64" t="s">
        <v>86</v>
      </c>
      <c r="B64" t="s">
        <v>11</v>
      </c>
      <c r="C64">
        <v>38</v>
      </c>
      <c r="D64">
        <v>45</v>
      </c>
      <c r="E64" t="s">
        <v>12</v>
      </c>
      <c r="F64" t="s">
        <v>13</v>
      </c>
      <c r="G64" t="s">
        <v>14</v>
      </c>
      <c r="H64">
        <v>76.47</v>
      </c>
      <c r="I64">
        <v>3432.35</v>
      </c>
      <c r="J64" t="s">
        <v>27</v>
      </c>
      <c r="K64" t="str">
        <f t="shared" si="0"/>
        <v>25-48 Months</v>
      </c>
      <c r="L64">
        <f>IF(Table13[[#This Row],[Churn]]="Yes",1,0)</f>
        <v>1</v>
      </c>
    </row>
    <row r="65" spans="1:12" x14ac:dyDescent="0.35">
      <c r="A65" t="s">
        <v>87</v>
      </c>
      <c r="B65" t="s">
        <v>11</v>
      </c>
      <c r="C65">
        <v>31</v>
      </c>
      <c r="D65">
        <v>58</v>
      </c>
      <c r="E65" t="s">
        <v>12</v>
      </c>
      <c r="F65" t="s">
        <v>29</v>
      </c>
      <c r="G65" t="s">
        <v>14</v>
      </c>
      <c r="H65">
        <v>78.040000000000006</v>
      </c>
      <c r="I65">
        <v>4096.1099999999997</v>
      </c>
      <c r="J65" t="s">
        <v>15</v>
      </c>
      <c r="K65" t="str">
        <f t="shared" si="0"/>
        <v>49+ Months</v>
      </c>
      <c r="L65">
        <f>IF(Table13[[#This Row],[Churn]]="Yes",1,0)</f>
        <v>0</v>
      </c>
    </row>
    <row r="66" spans="1:12" x14ac:dyDescent="0.35">
      <c r="A66" t="s">
        <v>88</v>
      </c>
      <c r="B66" t="s">
        <v>11</v>
      </c>
      <c r="C66">
        <v>26</v>
      </c>
      <c r="D66">
        <v>31</v>
      </c>
      <c r="E66" t="s">
        <v>12</v>
      </c>
      <c r="F66" t="s">
        <v>13</v>
      </c>
      <c r="G66" t="s">
        <v>19</v>
      </c>
      <c r="H66">
        <v>100.44</v>
      </c>
      <c r="I66">
        <v>2957.22</v>
      </c>
      <c r="J66" t="s">
        <v>15</v>
      </c>
      <c r="K66" t="str">
        <f t="shared" ref="K66:K129" si="1">IF(D66&lt;=12,"0-12 Months",IF(D66&lt;=24,"13-24 Months",IF(D66&lt;=48,"25-48 Months","49+ Months")))</f>
        <v>25-48 Months</v>
      </c>
      <c r="L66">
        <f>IF(Table13[[#This Row],[Churn]]="Yes",1,0)</f>
        <v>0</v>
      </c>
    </row>
    <row r="67" spans="1:12" x14ac:dyDescent="0.35">
      <c r="A67" t="s">
        <v>89</v>
      </c>
      <c r="B67" t="s">
        <v>17</v>
      </c>
      <c r="C67">
        <v>63</v>
      </c>
      <c r="D67">
        <v>23</v>
      </c>
      <c r="E67" t="s">
        <v>21</v>
      </c>
      <c r="F67" t="s">
        <v>29</v>
      </c>
      <c r="G67" t="s">
        <v>23</v>
      </c>
      <c r="H67">
        <v>83.07</v>
      </c>
      <c r="I67">
        <v>2404.38</v>
      </c>
      <c r="J67" t="s">
        <v>15</v>
      </c>
      <c r="K67" t="str">
        <f t="shared" si="1"/>
        <v>13-24 Months</v>
      </c>
      <c r="L67">
        <f>IF(Table13[[#This Row],[Churn]]="Yes",1,0)</f>
        <v>0</v>
      </c>
    </row>
    <row r="68" spans="1:12" x14ac:dyDescent="0.35">
      <c r="A68" t="s">
        <v>90</v>
      </c>
      <c r="B68" t="s">
        <v>17</v>
      </c>
      <c r="C68">
        <v>18</v>
      </c>
      <c r="D68">
        <v>42</v>
      </c>
      <c r="E68" t="s">
        <v>12</v>
      </c>
      <c r="F68" t="s">
        <v>13</v>
      </c>
      <c r="G68" t="s">
        <v>19</v>
      </c>
      <c r="H68">
        <v>85.09</v>
      </c>
      <c r="I68">
        <v>3416.27</v>
      </c>
      <c r="J68" t="s">
        <v>27</v>
      </c>
      <c r="K68" t="str">
        <f t="shared" si="1"/>
        <v>25-48 Months</v>
      </c>
      <c r="L68">
        <f>IF(Table13[[#This Row],[Churn]]="Yes",1,0)</f>
        <v>1</v>
      </c>
    </row>
    <row r="69" spans="1:12" x14ac:dyDescent="0.35">
      <c r="A69" t="s">
        <v>91</v>
      </c>
      <c r="B69" t="s">
        <v>11</v>
      </c>
      <c r="C69">
        <v>68</v>
      </c>
      <c r="D69">
        <v>10</v>
      </c>
      <c r="E69" t="s">
        <v>21</v>
      </c>
      <c r="F69" t="s">
        <v>29</v>
      </c>
      <c r="G69" t="s">
        <v>23</v>
      </c>
      <c r="H69">
        <v>103.83</v>
      </c>
      <c r="I69">
        <v>962.79</v>
      </c>
      <c r="J69" t="s">
        <v>27</v>
      </c>
      <c r="K69" t="str">
        <f t="shared" si="1"/>
        <v>0-12 Months</v>
      </c>
      <c r="L69">
        <f>IF(Table13[[#This Row],[Churn]]="Yes",1,0)</f>
        <v>1</v>
      </c>
    </row>
    <row r="70" spans="1:12" x14ac:dyDescent="0.35">
      <c r="A70" t="s">
        <v>92</v>
      </c>
      <c r="B70" t="s">
        <v>17</v>
      </c>
      <c r="C70">
        <v>62</v>
      </c>
      <c r="D70">
        <v>32</v>
      </c>
      <c r="E70" t="s">
        <v>12</v>
      </c>
      <c r="F70" t="s">
        <v>22</v>
      </c>
      <c r="G70" t="s">
        <v>23</v>
      </c>
      <c r="H70">
        <v>23.06</v>
      </c>
      <c r="I70">
        <v>771.57</v>
      </c>
      <c r="J70" t="s">
        <v>15</v>
      </c>
      <c r="K70" t="str">
        <f t="shared" si="1"/>
        <v>25-48 Months</v>
      </c>
      <c r="L70">
        <f>IF(Table13[[#This Row],[Churn]]="Yes",1,0)</f>
        <v>0</v>
      </c>
    </row>
    <row r="71" spans="1:12" x14ac:dyDescent="0.35">
      <c r="A71" t="s">
        <v>93</v>
      </c>
      <c r="B71" t="s">
        <v>17</v>
      </c>
      <c r="C71">
        <v>30</v>
      </c>
      <c r="D71">
        <v>53</v>
      </c>
      <c r="E71" t="s">
        <v>18</v>
      </c>
      <c r="F71" t="s">
        <v>13</v>
      </c>
      <c r="G71" t="s">
        <v>14</v>
      </c>
      <c r="H71">
        <v>75.849999999999994</v>
      </c>
      <c r="I71">
        <v>4271.82</v>
      </c>
      <c r="J71" t="s">
        <v>15</v>
      </c>
      <c r="K71" t="str">
        <f t="shared" si="1"/>
        <v>49+ Months</v>
      </c>
      <c r="L71">
        <f>IF(Table13[[#This Row],[Churn]]="Yes",1,0)</f>
        <v>0</v>
      </c>
    </row>
    <row r="72" spans="1:12" x14ac:dyDescent="0.35">
      <c r="A72" t="s">
        <v>94</v>
      </c>
      <c r="B72" t="s">
        <v>17</v>
      </c>
      <c r="C72">
        <v>21</v>
      </c>
      <c r="D72">
        <v>30</v>
      </c>
      <c r="E72" t="s">
        <v>12</v>
      </c>
      <c r="F72" t="s">
        <v>22</v>
      </c>
      <c r="G72" t="s">
        <v>19</v>
      </c>
      <c r="H72">
        <v>56.26</v>
      </c>
      <c r="I72">
        <v>1605.93</v>
      </c>
      <c r="J72" t="s">
        <v>15</v>
      </c>
      <c r="K72" t="str">
        <f t="shared" si="1"/>
        <v>25-48 Months</v>
      </c>
      <c r="L72">
        <f>IF(Table13[[#This Row],[Churn]]="Yes",1,0)</f>
        <v>0</v>
      </c>
    </row>
    <row r="73" spans="1:12" x14ac:dyDescent="0.35">
      <c r="A73" t="s">
        <v>95</v>
      </c>
      <c r="B73" t="s">
        <v>17</v>
      </c>
      <c r="C73">
        <v>18</v>
      </c>
      <c r="D73">
        <v>39</v>
      </c>
      <c r="E73" t="s">
        <v>12</v>
      </c>
      <c r="F73" t="s">
        <v>22</v>
      </c>
      <c r="G73" t="s">
        <v>19</v>
      </c>
      <c r="H73">
        <v>36.79</v>
      </c>
      <c r="I73">
        <v>1513.56</v>
      </c>
      <c r="J73" t="s">
        <v>15</v>
      </c>
      <c r="K73" t="str">
        <f t="shared" si="1"/>
        <v>25-48 Months</v>
      </c>
      <c r="L73">
        <f>IF(Table13[[#This Row],[Churn]]="Yes",1,0)</f>
        <v>0</v>
      </c>
    </row>
    <row r="74" spans="1:12" x14ac:dyDescent="0.35">
      <c r="A74" t="s">
        <v>96</v>
      </c>
      <c r="B74" t="s">
        <v>11</v>
      </c>
      <c r="C74">
        <v>66</v>
      </c>
      <c r="D74">
        <v>31</v>
      </c>
      <c r="E74" t="s">
        <v>21</v>
      </c>
      <c r="F74" t="s">
        <v>13</v>
      </c>
      <c r="G74" t="s">
        <v>23</v>
      </c>
      <c r="H74">
        <v>32.94</v>
      </c>
      <c r="I74">
        <v>997.77</v>
      </c>
      <c r="J74" t="s">
        <v>15</v>
      </c>
      <c r="K74" t="str">
        <f t="shared" si="1"/>
        <v>25-48 Months</v>
      </c>
      <c r="L74">
        <f>IF(Table13[[#This Row],[Churn]]="Yes",1,0)</f>
        <v>0</v>
      </c>
    </row>
    <row r="75" spans="1:12" x14ac:dyDescent="0.35">
      <c r="A75" t="s">
        <v>97</v>
      </c>
      <c r="B75" t="s">
        <v>17</v>
      </c>
      <c r="C75">
        <v>57</v>
      </c>
      <c r="D75">
        <v>2</v>
      </c>
      <c r="E75" t="s">
        <v>12</v>
      </c>
      <c r="F75" t="s">
        <v>22</v>
      </c>
      <c r="G75" t="s">
        <v>23</v>
      </c>
      <c r="H75">
        <v>98.41</v>
      </c>
      <c r="I75">
        <v>197.08</v>
      </c>
      <c r="J75" t="s">
        <v>15</v>
      </c>
      <c r="K75" t="str">
        <f t="shared" si="1"/>
        <v>0-12 Months</v>
      </c>
      <c r="L75">
        <f>IF(Table13[[#This Row],[Churn]]="Yes",1,0)</f>
        <v>0</v>
      </c>
    </row>
    <row r="76" spans="1:12" x14ac:dyDescent="0.35">
      <c r="A76" t="s">
        <v>98</v>
      </c>
      <c r="B76" t="s">
        <v>11</v>
      </c>
      <c r="C76">
        <v>49</v>
      </c>
      <c r="D76">
        <v>12</v>
      </c>
      <c r="E76" t="s">
        <v>12</v>
      </c>
      <c r="F76" t="s">
        <v>29</v>
      </c>
      <c r="G76" t="s">
        <v>14</v>
      </c>
      <c r="H76">
        <v>88.07</v>
      </c>
      <c r="I76">
        <v>1132.0899999999999</v>
      </c>
      <c r="J76" t="s">
        <v>27</v>
      </c>
      <c r="K76" t="str">
        <f t="shared" si="1"/>
        <v>0-12 Months</v>
      </c>
      <c r="L76">
        <f>IF(Table13[[#This Row],[Churn]]="Yes",1,0)</f>
        <v>1</v>
      </c>
    </row>
    <row r="77" spans="1:12" x14ac:dyDescent="0.35">
      <c r="A77" t="s">
        <v>99</v>
      </c>
      <c r="B77" t="s">
        <v>17</v>
      </c>
      <c r="C77">
        <v>51</v>
      </c>
      <c r="D77">
        <v>39</v>
      </c>
      <c r="E77" t="s">
        <v>18</v>
      </c>
      <c r="F77" t="s">
        <v>13</v>
      </c>
      <c r="G77" t="s">
        <v>23</v>
      </c>
      <c r="H77">
        <v>52.97</v>
      </c>
      <c r="I77">
        <v>2169.1</v>
      </c>
      <c r="J77" t="s">
        <v>15</v>
      </c>
      <c r="K77" t="str">
        <f t="shared" si="1"/>
        <v>25-48 Months</v>
      </c>
      <c r="L77">
        <f>IF(Table13[[#This Row],[Churn]]="Yes",1,0)</f>
        <v>0</v>
      </c>
    </row>
    <row r="78" spans="1:12" x14ac:dyDescent="0.35">
      <c r="A78" t="s">
        <v>100</v>
      </c>
      <c r="B78" t="s">
        <v>17</v>
      </c>
      <c r="C78">
        <v>45</v>
      </c>
      <c r="D78">
        <v>66</v>
      </c>
      <c r="E78" t="s">
        <v>12</v>
      </c>
      <c r="F78" t="s">
        <v>29</v>
      </c>
      <c r="G78" t="s">
        <v>14</v>
      </c>
      <c r="H78">
        <v>81.22</v>
      </c>
      <c r="I78">
        <v>5687.64</v>
      </c>
      <c r="J78" t="s">
        <v>15</v>
      </c>
      <c r="K78" t="str">
        <f t="shared" si="1"/>
        <v>49+ Months</v>
      </c>
      <c r="L78">
        <f>IF(Table13[[#This Row],[Churn]]="Yes",1,0)</f>
        <v>0</v>
      </c>
    </row>
    <row r="79" spans="1:12" x14ac:dyDescent="0.35">
      <c r="A79" t="s">
        <v>101</v>
      </c>
      <c r="B79" t="s">
        <v>17</v>
      </c>
      <c r="C79">
        <v>48</v>
      </c>
      <c r="D79">
        <v>13</v>
      </c>
      <c r="E79" t="s">
        <v>21</v>
      </c>
      <c r="F79" t="s">
        <v>33</v>
      </c>
      <c r="G79" t="s">
        <v>14</v>
      </c>
      <c r="H79">
        <v>83.99</v>
      </c>
      <c r="I79">
        <v>1012.57</v>
      </c>
      <c r="J79" t="s">
        <v>27</v>
      </c>
      <c r="K79" t="str">
        <f t="shared" si="1"/>
        <v>13-24 Months</v>
      </c>
      <c r="L79">
        <f>IF(Table13[[#This Row],[Churn]]="Yes",1,0)</f>
        <v>1</v>
      </c>
    </row>
    <row r="80" spans="1:12" x14ac:dyDescent="0.35">
      <c r="A80" t="s">
        <v>102</v>
      </c>
      <c r="B80" t="s">
        <v>11</v>
      </c>
      <c r="C80">
        <v>25</v>
      </c>
      <c r="D80">
        <v>46</v>
      </c>
      <c r="E80" t="s">
        <v>12</v>
      </c>
      <c r="F80" t="s">
        <v>29</v>
      </c>
      <c r="G80" t="s">
        <v>19</v>
      </c>
      <c r="H80">
        <v>45.35</v>
      </c>
      <c r="I80">
        <v>1906.58</v>
      </c>
      <c r="J80" t="s">
        <v>15</v>
      </c>
      <c r="K80" t="str">
        <f t="shared" si="1"/>
        <v>25-48 Months</v>
      </c>
      <c r="L80">
        <f>IF(Table13[[#This Row],[Churn]]="Yes",1,0)</f>
        <v>0</v>
      </c>
    </row>
    <row r="81" spans="1:12" x14ac:dyDescent="0.35">
      <c r="A81" t="s">
        <v>103</v>
      </c>
      <c r="B81" t="s">
        <v>17</v>
      </c>
      <c r="C81">
        <v>56</v>
      </c>
      <c r="D81">
        <v>27</v>
      </c>
      <c r="E81" t="s">
        <v>21</v>
      </c>
      <c r="F81" t="s">
        <v>13</v>
      </c>
      <c r="G81" t="s">
        <v>23</v>
      </c>
      <c r="H81">
        <v>104.77</v>
      </c>
      <c r="I81">
        <v>3051.36</v>
      </c>
      <c r="J81" t="s">
        <v>15</v>
      </c>
      <c r="K81" t="str">
        <f t="shared" si="1"/>
        <v>25-48 Months</v>
      </c>
      <c r="L81">
        <f>IF(Table13[[#This Row],[Churn]]="Yes",1,0)</f>
        <v>0</v>
      </c>
    </row>
    <row r="82" spans="1:12" x14ac:dyDescent="0.35">
      <c r="A82" t="s">
        <v>104</v>
      </c>
      <c r="B82" t="s">
        <v>11</v>
      </c>
      <c r="C82">
        <v>43</v>
      </c>
      <c r="D82">
        <v>17</v>
      </c>
      <c r="E82" t="s">
        <v>12</v>
      </c>
      <c r="F82" t="s">
        <v>22</v>
      </c>
      <c r="G82" t="s">
        <v>14</v>
      </c>
      <c r="H82">
        <v>121.52</v>
      </c>
      <c r="I82">
        <v>2019.5</v>
      </c>
      <c r="J82" t="s">
        <v>15</v>
      </c>
      <c r="K82" t="str">
        <f t="shared" si="1"/>
        <v>13-24 Months</v>
      </c>
      <c r="L82">
        <f>IF(Table13[[#This Row],[Churn]]="Yes",1,0)</f>
        <v>0</v>
      </c>
    </row>
    <row r="83" spans="1:12" x14ac:dyDescent="0.35">
      <c r="A83" t="s">
        <v>105</v>
      </c>
      <c r="B83" t="s">
        <v>17</v>
      </c>
      <c r="C83">
        <v>51</v>
      </c>
      <c r="D83">
        <v>60</v>
      </c>
      <c r="E83" t="s">
        <v>12</v>
      </c>
      <c r="F83" t="s">
        <v>13</v>
      </c>
      <c r="G83" t="s">
        <v>23</v>
      </c>
      <c r="H83">
        <v>122.89</v>
      </c>
      <c r="I83">
        <v>7060.59</v>
      </c>
      <c r="J83" t="s">
        <v>15</v>
      </c>
      <c r="K83" t="str">
        <f t="shared" si="1"/>
        <v>49+ Months</v>
      </c>
      <c r="L83">
        <f>IF(Table13[[#This Row],[Churn]]="Yes",1,0)</f>
        <v>0</v>
      </c>
    </row>
    <row r="84" spans="1:12" x14ac:dyDescent="0.35">
      <c r="A84" t="s">
        <v>106</v>
      </c>
      <c r="B84" t="s">
        <v>11</v>
      </c>
      <c r="C84">
        <v>20</v>
      </c>
      <c r="D84">
        <v>64</v>
      </c>
      <c r="E84" t="s">
        <v>18</v>
      </c>
      <c r="F84" t="s">
        <v>29</v>
      </c>
      <c r="G84" t="s">
        <v>19</v>
      </c>
      <c r="H84">
        <v>98.32</v>
      </c>
      <c r="I84">
        <v>6575.26</v>
      </c>
      <c r="J84" t="s">
        <v>15</v>
      </c>
      <c r="K84" t="str">
        <f t="shared" si="1"/>
        <v>49+ Months</v>
      </c>
      <c r="L84">
        <f>IF(Table13[[#This Row],[Churn]]="Yes",1,0)</f>
        <v>0</v>
      </c>
    </row>
    <row r="85" spans="1:12" x14ac:dyDescent="0.35">
      <c r="A85" t="s">
        <v>107</v>
      </c>
      <c r="B85" t="s">
        <v>17</v>
      </c>
      <c r="C85">
        <v>67</v>
      </c>
      <c r="D85">
        <v>35</v>
      </c>
      <c r="E85" t="s">
        <v>21</v>
      </c>
      <c r="F85" t="s">
        <v>13</v>
      </c>
      <c r="G85" t="s">
        <v>23</v>
      </c>
      <c r="H85">
        <v>86.51</v>
      </c>
      <c r="I85">
        <v>3231.57</v>
      </c>
      <c r="J85" t="s">
        <v>15</v>
      </c>
      <c r="K85" t="str">
        <f t="shared" si="1"/>
        <v>25-48 Months</v>
      </c>
      <c r="L85">
        <f>IF(Table13[[#This Row],[Churn]]="Yes",1,0)</f>
        <v>0</v>
      </c>
    </row>
    <row r="86" spans="1:12" x14ac:dyDescent="0.35">
      <c r="A86" t="s">
        <v>108</v>
      </c>
      <c r="B86" t="s">
        <v>11</v>
      </c>
      <c r="C86">
        <v>29</v>
      </c>
      <c r="D86">
        <v>70</v>
      </c>
      <c r="E86" t="s">
        <v>12</v>
      </c>
      <c r="F86" t="s">
        <v>22</v>
      </c>
      <c r="G86" t="s">
        <v>19</v>
      </c>
      <c r="H86">
        <v>27.93</v>
      </c>
      <c r="I86">
        <v>2096.84</v>
      </c>
      <c r="J86" t="s">
        <v>15</v>
      </c>
      <c r="K86" t="str">
        <f t="shared" si="1"/>
        <v>49+ Months</v>
      </c>
      <c r="L86">
        <f>IF(Table13[[#This Row],[Churn]]="Yes",1,0)</f>
        <v>0</v>
      </c>
    </row>
    <row r="87" spans="1:12" x14ac:dyDescent="0.35">
      <c r="A87" t="s">
        <v>109</v>
      </c>
      <c r="B87" t="s">
        <v>11</v>
      </c>
      <c r="C87">
        <v>18</v>
      </c>
      <c r="D87">
        <v>30</v>
      </c>
      <c r="E87" t="s">
        <v>12</v>
      </c>
      <c r="F87" t="s">
        <v>22</v>
      </c>
      <c r="G87" t="s">
        <v>19</v>
      </c>
      <c r="H87">
        <v>57.42</v>
      </c>
      <c r="I87">
        <v>1659.21</v>
      </c>
      <c r="J87" t="s">
        <v>15</v>
      </c>
      <c r="K87" t="str">
        <f t="shared" si="1"/>
        <v>25-48 Months</v>
      </c>
      <c r="L87">
        <f>IF(Table13[[#This Row],[Churn]]="Yes",1,0)</f>
        <v>0</v>
      </c>
    </row>
    <row r="88" spans="1:12" x14ac:dyDescent="0.35">
      <c r="A88" t="s">
        <v>110</v>
      </c>
      <c r="B88" t="s">
        <v>17</v>
      </c>
      <c r="C88">
        <v>61</v>
      </c>
      <c r="D88">
        <v>71</v>
      </c>
      <c r="E88" t="s">
        <v>18</v>
      </c>
      <c r="F88" t="s">
        <v>13</v>
      </c>
      <c r="G88" t="s">
        <v>23</v>
      </c>
      <c r="H88">
        <v>32.130000000000003</v>
      </c>
      <c r="I88">
        <v>2441.9299999999998</v>
      </c>
      <c r="J88" t="s">
        <v>15</v>
      </c>
      <c r="K88" t="str">
        <f t="shared" si="1"/>
        <v>49+ Months</v>
      </c>
      <c r="L88">
        <f>IF(Table13[[#This Row],[Churn]]="Yes",1,0)</f>
        <v>0</v>
      </c>
    </row>
    <row r="89" spans="1:12" x14ac:dyDescent="0.35">
      <c r="A89" t="s">
        <v>111</v>
      </c>
      <c r="B89" t="s">
        <v>11</v>
      </c>
      <c r="C89">
        <v>22</v>
      </c>
      <c r="D89">
        <v>63</v>
      </c>
      <c r="E89" t="s">
        <v>12</v>
      </c>
      <c r="F89" t="s">
        <v>13</v>
      </c>
      <c r="G89" t="s">
        <v>19</v>
      </c>
      <c r="H89">
        <v>145.30000000000001</v>
      </c>
      <c r="I89">
        <v>8313.4500000000007</v>
      </c>
      <c r="J89" t="s">
        <v>15</v>
      </c>
      <c r="K89" t="str">
        <f t="shared" si="1"/>
        <v>49+ Months</v>
      </c>
      <c r="L89">
        <f>IF(Table13[[#This Row],[Churn]]="Yes",1,0)</f>
        <v>0</v>
      </c>
    </row>
    <row r="90" spans="1:12" x14ac:dyDescent="0.35">
      <c r="A90" t="s">
        <v>112</v>
      </c>
      <c r="B90" t="s">
        <v>17</v>
      </c>
      <c r="C90">
        <v>47</v>
      </c>
      <c r="D90">
        <v>28</v>
      </c>
      <c r="E90" t="s">
        <v>21</v>
      </c>
      <c r="F90" t="s">
        <v>13</v>
      </c>
      <c r="G90" t="s">
        <v>14</v>
      </c>
      <c r="H90">
        <v>37.56</v>
      </c>
      <c r="I90">
        <v>956.96</v>
      </c>
      <c r="J90" t="s">
        <v>15</v>
      </c>
      <c r="K90" t="str">
        <f t="shared" si="1"/>
        <v>25-48 Months</v>
      </c>
      <c r="L90">
        <f>IF(Table13[[#This Row],[Churn]]="Yes",1,0)</f>
        <v>0</v>
      </c>
    </row>
    <row r="91" spans="1:12" x14ac:dyDescent="0.35">
      <c r="A91" t="s">
        <v>113</v>
      </c>
      <c r="B91" t="s">
        <v>17</v>
      </c>
      <c r="C91">
        <v>47</v>
      </c>
      <c r="D91">
        <v>60</v>
      </c>
      <c r="E91" t="s">
        <v>21</v>
      </c>
      <c r="F91" t="s">
        <v>22</v>
      </c>
      <c r="G91" t="s">
        <v>14</v>
      </c>
      <c r="H91">
        <v>39.729999999999997</v>
      </c>
      <c r="I91">
        <v>2442.69</v>
      </c>
      <c r="J91" t="s">
        <v>15</v>
      </c>
      <c r="K91" t="str">
        <f t="shared" si="1"/>
        <v>49+ Months</v>
      </c>
      <c r="L91">
        <f>IF(Table13[[#This Row],[Churn]]="Yes",1,0)</f>
        <v>0</v>
      </c>
    </row>
    <row r="92" spans="1:12" x14ac:dyDescent="0.35">
      <c r="A92" t="s">
        <v>114</v>
      </c>
      <c r="B92" t="s">
        <v>17</v>
      </c>
      <c r="C92">
        <v>34</v>
      </c>
      <c r="D92">
        <v>37</v>
      </c>
      <c r="E92" t="s">
        <v>12</v>
      </c>
      <c r="F92" t="s">
        <v>13</v>
      </c>
      <c r="G92" t="s">
        <v>14</v>
      </c>
      <c r="H92">
        <v>135.63999999999999</v>
      </c>
      <c r="I92">
        <v>4580.1499999999996</v>
      </c>
      <c r="J92" t="s">
        <v>15</v>
      </c>
      <c r="K92" t="str">
        <f t="shared" si="1"/>
        <v>25-48 Months</v>
      </c>
      <c r="L92">
        <f>IF(Table13[[#This Row],[Churn]]="Yes",1,0)</f>
        <v>0</v>
      </c>
    </row>
    <row r="93" spans="1:12" x14ac:dyDescent="0.35">
      <c r="A93" t="s">
        <v>115</v>
      </c>
      <c r="B93" t="s">
        <v>17</v>
      </c>
      <c r="C93">
        <v>65</v>
      </c>
      <c r="D93">
        <v>22</v>
      </c>
      <c r="E93" t="s">
        <v>12</v>
      </c>
      <c r="F93" t="s">
        <v>13</v>
      </c>
      <c r="G93" t="s">
        <v>23</v>
      </c>
      <c r="H93">
        <v>142.71</v>
      </c>
      <c r="I93">
        <v>3029.49</v>
      </c>
      <c r="J93" t="s">
        <v>27</v>
      </c>
      <c r="K93" t="str">
        <f t="shared" si="1"/>
        <v>13-24 Months</v>
      </c>
      <c r="L93">
        <f>IF(Table13[[#This Row],[Churn]]="Yes",1,0)</f>
        <v>1</v>
      </c>
    </row>
    <row r="94" spans="1:12" x14ac:dyDescent="0.35">
      <c r="A94" t="s">
        <v>116</v>
      </c>
      <c r="B94" t="s">
        <v>17</v>
      </c>
      <c r="C94">
        <v>64</v>
      </c>
      <c r="D94">
        <v>68</v>
      </c>
      <c r="E94" t="s">
        <v>21</v>
      </c>
      <c r="F94" t="s">
        <v>29</v>
      </c>
      <c r="G94" t="s">
        <v>23</v>
      </c>
      <c r="H94">
        <v>119.56</v>
      </c>
      <c r="I94">
        <v>8410.98</v>
      </c>
      <c r="J94" t="s">
        <v>15</v>
      </c>
      <c r="K94" t="str">
        <f t="shared" si="1"/>
        <v>49+ Months</v>
      </c>
      <c r="L94">
        <f>IF(Table13[[#This Row],[Churn]]="Yes",1,0)</f>
        <v>0</v>
      </c>
    </row>
    <row r="95" spans="1:12" x14ac:dyDescent="0.35">
      <c r="A95" t="s">
        <v>117</v>
      </c>
      <c r="B95" t="s">
        <v>17</v>
      </c>
      <c r="C95">
        <v>40</v>
      </c>
      <c r="D95">
        <v>20</v>
      </c>
      <c r="E95" t="s">
        <v>12</v>
      </c>
      <c r="F95" t="s">
        <v>29</v>
      </c>
      <c r="G95" t="s">
        <v>14</v>
      </c>
      <c r="H95">
        <v>20.7</v>
      </c>
      <c r="I95">
        <v>400.53</v>
      </c>
      <c r="J95" t="s">
        <v>27</v>
      </c>
      <c r="K95" t="str">
        <f t="shared" si="1"/>
        <v>13-24 Months</v>
      </c>
      <c r="L95">
        <f>IF(Table13[[#This Row],[Churn]]="Yes",1,0)</f>
        <v>1</v>
      </c>
    </row>
    <row r="96" spans="1:12" x14ac:dyDescent="0.35">
      <c r="A96" t="s">
        <v>118</v>
      </c>
      <c r="B96" t="s">
        <v>17</v>
      </c>
      <c r="C96">
        <v>32</v>
      </c>
      <c r="D96">
        <v>68</v>
      </c>
      <c r="E96" t="s">
        <v>12</v>
      </c>
      <c r="F96" t="s">
        <v>29</v>
      </c>
      <c r="G96" t="s">
        <v>14</v>
      </c>
      <c r="H96">
        <v>20.18</v>
      </c>
      <c r="I96">
        <v>1284.31</v>
      </c>
      <c r="J96" t="s">
        <v>15</v>
      </c>
      <c r="K96" t="str">
        <f t="shared" si="1"/>
        <v>49+ Months</v>
      </c>
      <c r="L96">
        <f>IF(Table13[[#This Row],[Churn]]="Yes",1,0)</f>
        <v>0</v>
      </c>
    </row>
    <row r="97" spans="1:12" x14ac:dyDescent="0.35">
      <c r="A97" t="s">
        <v>119</v>
      </c>
      <c r="B97" t="s">
        <v>17</v>
      </c>
      <c r="C97">
        <v>54</v>
      </c>
      <c r="D97">
        <v>64</v>
      </c>
      <c r="E97" t="s">
        <v>18</v>
      </c>
      <c r="F97" t="s">
        <v>29</v>
      </c>
      <c r="G97" t="s">
        <v>23</v>
      </c>
      <c r="H97">
        <v>69.150000000000006</v>
      </c>
      <c r="I97">
        <v>4232.07</v>
      </c>
      <c r="J97" t="s">
        <v>15</v>
      </c>
      <c r="K97" t="str">
        <f t="shared" si="1"/>
        <v>49+ Months</v>
      </c>
      <c r="L97">
        <f>IF(Table13[[#This Row],[Churn]]="Yes",1,0)</f>
        <v>0</v>
      </c>
    </row>
    <row r="98" spans="1:12" x14ac:dyDescent="0.35">
      <c r="A98" t="s">
        <v>120</v>
      </c>
      <c r="B98" t="s">
        <v>17</v>
      </c>
      <c r="C98">
        <v>38</v>
      </c>
      <c r="D98">
        <v>17</v>
      </c>
      <c r="E98" t="s">
        <v>21</v>
      </c>
      <c r="F98" t="s">
        <v>13</v>
      </c>
      <c r="G98" t="s">
        <v>14</v>
      </c>
      <c r="H98">
        <v>38.64</v>
      </c>
      <c r="I98">
        <v>651.30999999999995</v>
      </c>
      <c r="J98" t="s">
        <v>15</v>
      </c>
      <c r="K98" t="str">
        <f t="shared" si="1"/>
        <v>13-24 Months</v>
      </c>
      <c r="L98">
        <f>IF(Table13[[#This Row],[Churn]]="Yes",1,0)</f>
        <v>0</v>
      </c>
    </row>
    <row r="99" spans="1:12" x14ac:dyDescent="0.35">
      <c r="A99" t="s">
        <v>121</v>
      </c>
      <c r="B99" t="s">
        <v>17</v>
      </c>
      <c r="C99">
        <v>31</v>
      </c>
      <c r="D99">
        <v>12</v>
      </c>
      <c r="E99" t="s">
        <v>21</v>
      </c>
      <c r="F99" t="s">
        <v>22</v>
      </c>
      <c r="G99" t="s">
        <v>14</v>
      </c>
      <c r="H99">
        <v>22.39</v>
      </c>
      <c r="I99">
        <v>267.36</v>
      </c>
      <c r="J99" t="s">
        <v>27</v>
      </c>
      <c r="K99" t="str">
        <f t="shared" si="1"/>
        <v>0-12 Months</v>
      </c>
      <c r="L99">
        <f>IF(Table13[[#This Row],[Churn]]="Yes",1,0)</f>
        <v>1</v>
      </c>
    </row>
    <row r="100" spans="1:12" x14ac:dyDescent="0.35">
      <c r="A100" t="s">
        <v>122</v>
      </c>
      <c r="B100" t="s">
        <v>17</v>
      </c>
      <c r="C100">
        <v>19</v>
      </c>
      <c r="D100">
        <v>22</v>
      </c>
      <c r="E100" t="s">
        <v>21</v>
      </c>
      <c r="F100" t="s">
        <v>29</v>
      </c>
      <c r="G100" t="s">
        <v>19</v>
      </c>
      <c r="H100">
        <v>80.33</v>
      </c>
      <c r="I100">
        <v>1867.29</v>
      </c>
      <c r="J100" t="s">
        <v>15</v>
      </c>
      <c r="K100" t="str">
        <f t="shared" si="1"/>
        <v>13-24 Months</v>
      </c>
      <c r="L100">
        <f>IF(Table13[[#This Row],[Churn]]="Yes",1,0)</f>
        <v>0</v>
      </c>
    </row>
    <row r="101" spans="1:12" x14ac:dyDescent="0.35">
      <c r="A101" t="s">
        <v>123</v>
      </c>
      <c r="B101" t="s">
        <v>11</v>
      </c>
      <c r="C101">
        <v>28</v>
      </c>
      <c r="D101">
        <v>17</v>
      </c>
      <c r="E101" t="s">
        <v>21</v>
      </c>
      <c r="F101" t="s">
        <v>33</v>
      </c>
      <c r="G101" t="s">
        <v>19</v>
      </c>
      <c r="H101">
        <v>142.6</v>
      </c>
      <c r="I101">
        <v>2545.48</v>
      </c>
      <c r="J101" t="s">
        <v>15</v>
      </c>
      <c r="K101" t="str">
        <f t="shared" si="1"/>
        <v>13-24 Months</v>
      </c>
      <c r="L101">
        <f>IF(Table13[[#This Row],[Churn]]="Yes",1,0)</f>
        <v>0</v>
      </c>
    </row>
    <row r="102" spans="1:12" x14ac:dyDescent="0.35">
      <c r="A102" t="s">
        <v>124</v>
      </c>
      <c r="B102" t="s">
        <v>11</v>
      </c>
      <c r="C102">
        <v>68</v>
      </c>
      <c r="D102">
        <v>10</v>
      </c>
      <c r="E102" t="s">
        <v>12</v>
      </c>
      <c r="F102" t="s">
        <v>29</v>
      </c>
      <c r="G102" t="s">
        <v>23</v>
      </c>
      <c r="H102">
        <v>62.1</v>
      </c>
      <c r="I102">
        <v>615.64</v>
      </c>
      <c r="J102" t="s">
        <v>27</v>
      </c>
      <c r="K102" t="str">
        <f t="shared" si="1"/>
        <v>0-12 Months</v>
      </c>
      <c r="L102">
        <f>IF(Table13[[#This Row],[Churn]]="Yes",1,0)</f>
        <v>1</v>
      </c>
    </row>
    <row r="103" spans="1:12" x14ac:dyDescent="0.35">
      <c r="A103" t="s">
        <v>125</v>
      </c>
      <c r="B103" t="s">
        <v>17</v>
      </c>
      <c r="C103">
        <v>56</v>
      </c>
      <c r="D103">
        <v>65</v>
      </c>
      <c r="E103" t="s">
        <v>12</v>
      </c>
      <c r="F103" t="s">
        <v>22</v>
      </c>
      <c r="G103" t="s">
        <v>23</v>
      </c>
      <c r="H103">
        <v>105.95</v>
      </c>
      <c r="I103">
        <v>7362.85</v>
      </c>
      <c r="J103" t="s">
        <v>27</v>
      </c>
      <c r="K103" t="str">
        <f t="shared" si="1"/>
        <v>49+ Months</v>
      </c>
      <c r="L103">
        <f>IF(Table13[[#This Row],[Churn]]="Yes",1,0)</f>
        <v>1</v>
      </c>
    </row>
    <row r="104" spans="1:12" x14ac:dyDescent="0.35">
      <c r="A104" t="s">
        <v>126</v>
      </c>
      <c r="B104" t="s">
        <v>17</v>
      </c>
      <c r="C104">
        <v>55</v>
      </c>
      <c r="D104">
        <v>22</v>
      </c>
      <c r="E104" t="s">
        <v>12</v>
      </c>
      <c r="F104" t="s">
        <v>22</v>
      </c>
      <c r="G104" t="s">
        <v>23</v>
      </c>
      <c r="H104">
        <v>104.79</v>
      </c>
      <c r="I104">
        <v>2127.5100000000002</v>
      </c>
      <c r="J104" t="s">
        <v>27</v>
      </c>
      <c r="K104" t="str">
        <f t="shared" si="1"/>
        <v>13-24 Months</v>
      </c>
      <c r="L104">
        <f>IF(Table13[[#This Row],[Churn]]="Yes",1,0)</f>
        <v>1</v>
      </c>
    </row>
    <row r="105" spans="1:12" x14ac:dyDescent="0.35">
      <c r="A105" t="s">
        <v>127</v>
      </c>
      <c r="B105" t="s">
        <v>17</v>
      </c>
      <c r="C105">
        <v>51</v>
      </c>
      <c r="D105">
        <v>50</v>
      </c>
      <c r="E105" t="s">
        <v>12</v>
      </c>
      <c r="F105" t="s">
        <v>13</v>
      </c>
      <c r="G105" t="s">
        <v>23</v>
      </c>
      <c r="H105">
        <v>52.64</v>
      </c>
      <c r="I105">
        <v>2503.2199999999998</v>
      </c>
      <c r="J105" t="s">
        <v>15</v>
      </c>
      <c r="K105" t="str">
        <f t="shared" si="1"/>
        <v>49+ Months</v>
      </c>
      <c r="L105">
        <f>IF(Table13[[#This Row],[Churn]]="Yes",1,0)</f>
        <v>0</v>
      </c>
    </row>
    <row r="106" spans="1:12" x14ac:dyDescent="0.35">
      <c r="A106" t="s">
        <v>128</v>
      </c>
      <c r="B106" t="s">
        <v>17</v>
      </c>
      <c r="C106">
        <v>55</v>
      </c>
      <c r="D106">
        <v>14</v>
      </c>
      <c r="E106" t="s">
        <v>21</v>
      </c>
      <c r="F106" t="s">
        <v>29</v>
      </c>
      <c r="G106" t="s">
        <v>23</v>
      </c>
      <c r="H106">
        <v>104.56</v>
      </c>
      <c r="I106">
        <v>1559.86</v>
      </c>
      <c r="J106" t="s">
        <v>15</v>
      </c>
      <c r="K106" t="str">
        <f t="shared" si="1"/>
        <v>13-24 Months</v>
      </c>
      <c r="L106">
        <f>IF(Table13[[#This Row],[Churn]]="Yes",1,0)</f>
        <v>0</v>
      </c>
    </row>
    <row r="107" spans="1:12" x14ac:dyDescent="0.35">
      <c r="A107" t="s">
        <v>129</v>
      </c>
      <c r="B107" t="s">
        <v>17</v>
      </c>
      <c r="C107">
        <v>67</v>
      </c>
      <c r="D107">
        <v>64</v>
      </c>
      <c r="E107" t="s">
        <v>12</v>
      </c>
      <c r="F107" t="s">
        <v>22</v>
      </c>
      <c r="G107" t="s">
        <v>23</v>
      </c>
      <c r="H107">
        <v>47.6</v>
      </c>
      <c r="I107">
        <v>2972.06</v>
      </c>
      <c r="J107" t="s">
        <v>15</v>
      </c>
      <c r="K107" t="str">
        <f t="shared" si="1"/>
        <v>49+ Months</v>
      </c>
      <c r="L107">
        <f>IF(Table13[[#This Row],[Churn]]="Yes",1,0)</f>
        <v>0</v>
      </c>
    </row>
    <row r="108" spans="1:12" x14ac:dyDescent="0.35">
      <c r="A108" t="s">
        <v>130</v>
      </c>
      <c r="B108" t="s">
        <v>17</v>
      </c>
      <c r="C108">
        <v>51</v>
      </c>
      <c r="D108">
        <v>47</v>
      </c>
      <c r="E108" t="s">
        <v>12</v>
      </c>
      <c r="F108" t="s">
        <v>13</v>
      </c>
      <c r="G108" t="s">
        <v>23</v>
      </c>
      <c r="H108">
        <v>35.86</v>
      </c>
      <c r="I108">
        <v>1847.62</v>
      </c>
      <c r="J108" t="s">
        <v>27</v>
      </c>
      <c r="K108" t="str">
        <f t="shared" si="1"/>
        <v>25-48 Months</v>
      </c>
      <c r="L108">
        <f>IF(Table13[[#This Row],[Churn]]="Yes",1,0)</f>
        <v>1</v>
      </c>
    </row>
    <row r="109" spans="1:12" x14ac:dyDescent="0.35">
      <c r="A109" t="s">
        <v>131</v>
      </c>
      <c r="B109" t="s">
        <v>17</v>
      </c>
      <c r="C109">
        <v>35</v>
      </c>
      <c r="D109">
        <v>29</v>
      </c>
      <c r="E109" t="s">
        <v>12</v>
      </c>
      <c r="F109" t="s">
        <v>33</v>
      </c>
      <c r="G109" t="s">
        <v>14</v>
      </c>
      <c r="H109">
        <v>111.18</v>
      </c>
      <c r="I109">
        <v>3202.46</v>
      </c>
      <c r="J109" t="s">
        <v>15</v>
      </c>
      <c r="K109" t="str">
        <f t="shared" si="1"/>
        <v>25-48 Months</v>
      </c>
      <c r="L109">
        <f>IF(Table13[[#This Row],[Churn]]="Yes",1,0)</f>
        <v>0</v>
      </c>
    </row>
    <row r="110" spans="1:12" x14ac:dyDescent="0.35">
      <c r="A110" t="s">
        <v>132</v>
      </c>
      <c r="B110" t="s">
        <v>17</v>
      </c>
      <c r="C110">
        <v>47</v>
      </c>
      <c r="D110">
        <v>36</v>
      </c>
      <c r="E110" t="s">
        <v>12</v>
      </c>
      <c r="F110" t="s">
        <v>13</v>
      </c>
      <c r="G110" t="s">
        <v>14</v>
      </c>
      <c r="H110">
        <v>34.75</v>
      </c>
      <c r="I110">
        <v>1324.04</v>
      </c>
      <c r="J110" t="s">
        <v>27</v>
      </c>
      <c r="K110" t="str">
        <f t="shared" si="1"/>
        <v>25-48 Months</v>
      </c>
      <c r="L110">
        <f>IF(Table13[[#This Row],[Churn]]="Yes",1,0)</f>
        <v>1</v>
      </c>
    </row>
    <row r="111" spans="1:12" x14ac:dyDescent="0.35">
      <c r="A111" t="s">
        <v>133</v>
      </c>
      <c r="B111" t="s">
        <v>11</v>
      </c>
      <c r="C111">
        <v>32</v>
      </c>
      <c r="D111">
        <v>52</v>
      </c>
      <c r="E111" t="s">
        <v>12</v>
      </c>
      <c r="F111" t="s">
        <v>33</v>
      </c>
      <c r="G111" t="s">
        <v>14</v>
      </c>
      <c r="H111">
        <v>149.6</v>
      </c>
      <c r="I111">
        <v>7627.21</v>
      </c>
      <c r="J111" t="s">
        <v>15</v>
      </c>
      <c r="K111" t="str">
        <f t="shared" si="1"/>
        <v>49+ Months</v>
      </c>
      <c r="L111">
        <f>IF(Table13[[#This Row],[Churn]]="Yes",1,0)</f>
        <v>0</v>
      </c>
    </row>
    <row r="112" spans="1:12" x14ac:dyDescent="0.35">
      <c r="A112" t="s">
        <v>134</v>
      </c>
      <c r="B112" t="s">
        <v>17</v>
      </c>
      <c r="C112">
        <v>44</v>
      </c>
      <c r="D112">
        <v>7</v>
      </c>
      <c r="E112" t="s">
        <v>12</v>
      </c>
      <c r="F112" t="s">
        <v>29</v>
      </c>
      <c r="G112" t="s">
        <v>14</v>
      </c>
      <c r="H112">
        <v>43.85</v>
      </c>
      <c r="I112">
        <v>302.33999999999997</v>
      </c>
      <c r="J112" t="s">
        <v>27</v>
      </c>
      <c r="K112" t="str">
        <f t="shared" si="1"/>
        <v>0-12 Months</v>
      </c>
      <c r="L112">
        <f>IF(Table13[[#This Row],[Churn]]="Yes",1,0)</f>
        <v>1</v>
      </c>
    </row>
    <row r="113" spans="1:12" x14ac:dyDescent="0.35">
      <c r="A113" t="s">
        <v>135</v>
      </c>
      <c r="B113" t="s">
        <v>11</v>
      </c>
      <c r="C113">
        <v>68</v>
      </c>
      <c r="D113">
        <v>29</v>
      </c>
      <c r="E113" t="s">
        <v>12</v>
      </c>
      <c r="F113" t="s">
        <v>22</v>
      </c>
      <c r="G113" t="s">
        <v>23</v>
      </c>
      <c r="H113">
        <v>97.24</v>
      </c>
      <c r="I113">
        <v>2753.91</v>
      </c>
      <c r="J113" t="s">
        <v>15</v>
      </c>
      <c r="K113" t="str">
        <f t="shared" si="1"/>
        <v>25-48 Months</v>
      </c>
      <c r="L113">
        <f>IF(Table13[[#This Row],[Churn]]="Yes",1,0)</f>
        <v>0</v>
      </c>
    </row>
    <row r="114" spans="1:12" x14ac:dyDescent="0.35">
      <c r="A114" t="s">
        <v>136</v>
      </c>
      <c r="B114" t="s">
        <v>17</v>
      </c>
      <c r="C114">
        <v>51</v>
      </c>
      <c r="D114">
        <v>11</v>
      </c>
      <c r="E114" t="s">
        <v>12</v>
      </c>
      <c r="F114" t="s">
        <v>22</v>
      </c>
      <c r="G114" t="s">
        <v>23</v>
      </c>
      <c r="H114">
        <v>73.48</v>
      </c>
      <c r="I114">
        <v>843.69</v>
      </c>
      <c r="J114" t="s">
        <v>15</v>
      </c>
      <c r="K114" t="str">
        <f t="shared" si="1"/>
        <v>0-12 Months</v>
      </c>
      <c r="L114">
        <f>IF(Table13[[#This Row],[Churn]]="Yes",1,0)</f>
        <v>0</v>
      </c>
    </row>
    <row r="115" spans="1:12" x14ac:dyDescent="0.35">
      <c r="A115" t="s">
        <v>137</v>
      </c>
      <c r="B115" t="s">
        <v>17</v>
      </c>
      <c r="C115">
        <v>69</v>
      </c>
      <c r="D115">
        <v>33</v>
      </c>
      <c r="E115" t="s">
        <v>12</v>
      </c>
      <c r="F115" t="s">
        <v>22</v>
      </c>
      <c r="G115" t="s">
        <v>23</v>
      </c>
      <c r="H115">
        <v>36.43</v>
      </c>
      <c r="I115">
        <v>1213.6199999999999</v>
      </c>
      <c r="J115" t="s">
        <v>15</v>
      </c>
      <c r="K115" t="str">
        <f t="shared" si="1"/>
        <v>25-48 Months</v>
      </c>
      <c r="L115">
        <f>IF(Table13[[#This Row],[Churn]]="Yes",1,0)</f>
        <v>0</v>
      </c>
    </row>
    <row r="116" spans="1:12" x14ac:dyDescent="0.35">
      <c r="A116" t="s">
        <v>138</v>
      </c>
      <c r="B116" t="s">
        <v>11</v>
      </c>
      <c r="C116">
        <v>55</v>
      </c>
      <c r="D116">
        <v>6</v>
      </c>
      <c r="E116" t="s">
        <v>21</v>
      </c>
      <c r="F116" t="s">
        <v>29</v>
      </c>
      <c r="G116" t="s">
        <v>23</v>
      </c>
      <c r="H116">
        <v>23.62</v>
      </c>
      <c r="I116">
        <v>154.30000000000001</v>
      </c>
      <c r="J116" t="s">
        <v>15</v>
      </c>
      <c r="K116" t="str">
        <f t="shared" si="1"/>
        <v>0-12 Months</v>
      </c>
      <c r="L116">
        <f>IF(Table13[[#This Row],[Churn]]="Yes",1,0)</f>
        <v>0</v>
      </c>
    </row>
    <row r="117" spans="1:12" x14ac:dyDescent="0.35">
      <c r="A117" t="s">
        <v>139</v>
      </c>
      <c r="B117" t="s">
        <v>17</v>
      </c>
      <c r="C117">
        <v>50</v>
      </c>
      <c r="D117">
        <v>32</v>
      </c>
      <c r="E117" t="s">
        <v>12</v>
      </c>
      <c r="F117" t="s">
        <v>22</v>
      </c>
      <c r="G117" t="s">
        <v>23</v>
      </c>
      <c r="H117">
        <v>100.96</v>
      </c>
      <c r="I117">
        <v>3069.76</v>
      </c>
      <c r="J117" t="s">
        <v>15</v>
      </c>
      <c r="K117" t="str">
        <f t="shared" si="1"/>
        <v>25-48 Months</v>
      </c>
      <c r="L117">
        <f>IF(Table13[[#This Row],[Churn]]="Yes",1,0)</f>
        <v>0</v>
      </c>
    </row>
    <row r="118" spans="1:12" x14ac:dyDescent="0.35">
      <c r="A118" t="s">
        <v>140</v>
      </c>
      <c r="B118" t="s">
        <v>11</v>
      </c>
      <c r="C118">
        <v>41</v>
      </c>
      <c r="D118">
        <v>51</v>
      </c>
      <c r="E118" t="s">
        <v>12</v>
      </c>
      <c r="F118" t="s">
        <v>13</v>
      </c>
      <c r="G118" t="s">
        <v>14</v>
      </c>
      <c r="H118">
        <v>124.88</v>
      </c>
      <c r="I118">
        <v>5860.09</v>
      </c>
      <c r="J118" t="s">
        <v>15</v>
      </c>
      <c r="K118" t="str">
        <f t="shared" si="1"/>
        <v>49+ Months</v>
      </c>
      <c r="L118">
        <f>IF(Table13[[#This Row],[Churn]]="Yes",1,0)</f>
        <v>0</v>
      </c>
    </row>
    <row r="119" spans="1:12" x14ac:dyDescent="0.35">
      <c r="A119" t="s">
        <v>141</v>
      </c>
      <c r="B119" t="s">
        <v>17</v>
      </c>
      <c r="C119">
        <v>32</v>
      </c>
      <c r="D119">
        <v>58</v>
      </c>
      <c r="E119" t="s">
        <v>21</v>
      </c>
      <c r="F119" t="s">
        <v>22</v>
      </c>
      <c r="G119" t="s">
        <v>14</v>
      </c>
      <c r="H119">
        <v>129.46</v>
      </c>
      <c r="I119">
        <v>7348.39</v>
      </c>
      <c r="J119" t="s">
        <v>15</v>
      </c>
      <c r="K119" t="str">
        <f t="shared" si="1"/>
        <v>49+ Months</v>
      </c>
      <c r="L119">
        <f>IF(Table13[[#This Row],[Churn]]="Yes",1,0)</f>
        <v>0</v>
      </c>
    </row>
    <row r="120" spans="1:12" x14ac:dyDescent="0.35">
      <c r="A120" t="s">
        <v>142</v>
      </c>
      <c r="B120" t="s">
        <v>17</v>
      </c>
      <c r="C120">
        <v>47</v>
      </c>
      <c r="D120">
        <v>26</v>
      </c>
      <c r="E120" t="s">
        <v>12</v>
      </c>
      <c r="F120" t="s">
        <v>29</v>
      </c>
      <c r="G120" t="s">
        <v>14</v>
      </c>
      <c r="H120">
        <v>82.75</v>
      </c>
      <c r="I120">
        <v>2201.7199999999998</v>
      </c>
      <c r="J120" t="s">
        <v>27</v>
      </c>
      <c r="K120" t="str">
        <f t="shared" si="1"/>
        <v>25-48 Months</v>
      </c>
      <c r="L120">
        <f>IF(Table13[[#This Row],[Churn]]="Yes",1,0)</f>
        <v>1</v>
      </c>
    </row>
    <row r="121" spans="1:12" x14ac:dyDescent="0.35">
      <c r="A121" t="s">
        <v>143</v>
      </c>
      <c r="B121" t="s">
        <v>11</v>
      </c>
      <c r="C121">
        <v>59</v>
      </c>
      <c r="D121">
        <v>46</v>
      </c>
      <c r="E121" t="s">
        <v>18</v>
      </c>
      <c r="F121" t="s">
        <v>33</v>
      </c>
      <c r="G121" t="s">
        <v>23</v>
      </c>
      <c r="H121">
        <v>121.07</v>
      </c>
      <c r="I121">
        <v>5971.09</v>
      </c>
      <c r="J121" t="s">
        <v>15</v>
      </c>
      <c r="K121" t="str">
        <f t="shared" si="1"/>
        <v>25-48 Months</v>
      </c>
      <c r="L121">
        <f>IF(Table13[[#This Row],[Churn]]="Yes",1,0)</f>
        <v>0</v>
      </c>
    </row>
    <row r="122" spans="1:12" x14ac:dyDescent="0.35">
      <c r="A122" t="s">
        <v>144</v>
      </c>
      <c r="B122" t="s">
        <v>17</v>
      </c>
      <c r="C122">
        <v>68</v>
      </c>
      <c r="D122">
        <v>29</v>
      </c>
      <c r="E122" t="s">
        <v>12</v>
      </c>
      <c r="F122" t="s">
        <v>29</v>
      </c>
      <c r="G122" t="s">
        <v>23</v>
      </c>
      <c r="H122">
        <v>107.47</v>
      </c>
      <c r="I122">
        <v>3020.76</v>
      </c>
      <c r="J122" t="s">
        <v>15</v>
      </c>
      <c r="K122" t="str">
        <f t="shared" si="1"/>
        <v>25-48 Months</v>
      </c>
      <c r="L122">
        <f>IF(Table13[[#This Row],[Churn]]="Yes",1,0)</f>
        <v>0</v>
      </c>
    </row>
    <row r="123" spans="1:12" x14ac:dyDescent="0.35">
      <c r="A123" t="s">
        <v>145</v>
      </c>
      <c r="B123" t="s">
        <v>11</v>
      </c>
      <c r="C123">
        <v>34</v>
      </c>
      <c r="D123">
        <v>4</v>
      </c>
      <c r="E123" t="s">
        <v>12</v>
      </c>
      <c r="F123" t="s">
        <v>33</v>
      </c>
      <c r="G123" t="s">
        <v>14</v>
      </c>
      <c r="H123">
        <v>114.15</v>
      </c>
      <c r="I123">
        <v>470.64</v>
      </c>
      <c r="J123" t="s">
        <v>27</v>
      </c>
      <c r="K123" t="str">
        <f t="shared" si="1"/>
        <v>0-12 Months</v>
      </c>
      <c r="L123">
        <f>IF(Table13[[#This Row],[Churn]]="Yes",1,0)</f>
        <v>1</v>
      </c>
    </row>
    <row r="124" spans="1:12" x14ac:dyDescent="0.35">
      <c r="A124" t="s">
        <v>146</v>
      </c>
      <c r="B124" t="s">
        <v>17</v>
      </c>
      <c r="C124">
        <v>22</v>
      </c>
      <c r="D124">
        <v>13</v>
      </c>
      <c r="E124" t="s">
        <v>21</v>
      </c>
      <c r="F124" t="s">
        <v>33</v>
      </c>
      <c r="G124" t="s">
        <v>19</v>
      </c>
      <c r="H124">
        <v>84.04</v>
      </c>
      <c r="I124">
        <v>1059.79</v>
      </c>
      <c r="J124" t="s">
        <v>15</v>
      </c>
      <c r="K124" t="str">
        <f t="shared" si="1"/>
        <v>13-24 Months</v>
      </c>
      <c r="L124">
        <f>IF(Table13[[#This Row],[Churn]]="Yes",1,0)</f>
        <v>0</v>
      </c>
    </row>
    <row r="125" spans="1:12" x14ac:dyDescent="0.35">
      <c r="A125" t="s">
        <v>147</v>
      </c>
      <c r="B125" t="s">
        <v>11</v>
      </c>
      <c r="C125">
        <v>46</v>
      </c>
      <c r="D125">
        <v>39</v>
      </c>
      <c r="E125" t="s">
        <v>12</v>
      </c>
      <c r="F125" t="s">
        <v>33</v>
      </c>
      <c r="G125" t="s">
        <v>14</v>
      </c>
      <c r="H125">
        <v>102.34</v>
      </c>
      <c r="I125">
        <v>4084.83</v>
      </c>
      <c r="J125" t="s">
        <v>27</v>
      </c>
      <c r="K125" t="str">
        <f t="shared" si="1"/>
        <v>25-48 Months</v>
      </c>
      <c r="L125">
        <f>IF(Table13[[#This Row],[Churn]]="Yes",1,0)</f>
        <v>1</v>
      </c>
    </row>
    <row r="126" spans="1:12" x14ac:dyDescent="0.35">
      <c r="A126" t="s">
        <v>148</v>
      </c>
      <c r="B126" t="s">
        <v>11</v>
      </c>
      <c r="C126">
        <v>21</v>
      </c>
      <c r="D126">
        <v>15</v>
      </c>
      <c r="E126" t="s">
        <v>21</v>
      </c>
      <c r="F126" t="s">
        <v>13</v>
      </c>
      <c r="G126" t="s">
        <v>19</v>
      </c>
      <c r="H126">
        <v>124.72</v>
      </c>
      <c r="I126">
        <v>2014.78</v>
      </c>
      <c r="J126" t="s">
        <v>15</v>
      </c>
      <c r="K126" t="str">
        <f t="shared" si="1"/>
        <v>13-24 Months</v>
      </c>
      <c r="L126">
        <f>IF(Table13[[#This Row],[Churn]]="Yes",1,0)</f>
        <v>0</v>
      </c>
    </row>
    <row r="127" spans="1:12" x14ac:dyDescent="0.35">
      <c r="A127" t="s">
        <v>149</v>
      </c>
      <c r="B127" t="s">
        <v>17</v>
      </c>
      <c r="C127">
        <v>27</v>
      </c>
      <c r="D127">
        <v>29</v>
      </c>
      <c r="E127" t="s">
        <v>12</v>
      </c>
      <c r="F127" t="s">
        <v>13</v>
      </c>
      <c r="G127" t="s">
        <v>19</v>
      </c>
      <c r="H127">
        <v>71.72</v>
      </c>
      <c r="I127">
        <v>1968.13</v>
      </c>
      <c r="J127" t="s">
        <v>27</v>
      </c>
      <c r="K127" t="str">
        <f t="shared" si="1"/>
        <v>25-48 Months</v>
      </c>
      <c r="L127">
        <f>IF(Table13[[#This Row],[Churn]]="Yes",1,0)</f>
        <v>1</v>
      </c>
    </row>
    <row r="128" spans="1:12" x14ac:dyDescent="0.35">
      <c r="A128" t="s">
        <v>150</v>
      </c>
      <c r="B128" t="s">
        <v>17</v>
      </c>
      <c r="C128">
        <v>34</v>
      </c>
      <c r="D128">
        <v>29</v>
      </c>
      <c r="E128" t="s">
        <v>18</v>
      </c>
      <c r="F128" t="s">
        <v>33</v>
      </c>
      <c r="G128" t="s">
        <v>14</v>
      </c>
      <c r="H128">
        <v>124.78</v>
      </c>
      <c r="I128">
        <v>3549.32</v>
      </c>
      <c r="J128" t="s">
        <v>27</v>
      </c>
      <c r="K128" t="str">
        <f t="shared" si="1"/>
        <v>25-48 Months</v>
      </c>
      <c r="L128">
        <f>IF(Table13[[#This Row],[Churn]]="Yes",1,0)</f>
        <v>1</v>
      </c>
    </row>
    <row r="129" spans="1:12" x14ac:dyDescent="0.35">
      <c r="A129" t="s">
        <v>151</v>
      </c>
      <c r="B129" t="s">
        <v>11</v>
      </c>
      <c r="C129">
        <v>27</v>
      </c>
      <c r="D129">
        <v>32</v>
      </c>
      <c r="E129" t="s">
        <v>12</v>
      </c>
      <c r="F129" t="s">
        <v>29</v>
      </c>
      <c r="G129" t="s">
        <v>19</v>
      </c>
      <c r="H129">
        <v>96.96</v>
      </c>
      <c r="I129">
        <v>3408.81</v>
      </c>
      <c r="J129" t="s">
        <v>27</v>
      </c>
      <c r="K129" t="str">
        <f t="shared" si="1"/>
        <v>25-48 Months</v>
      </c>
      <c r="L129">
        <f>IF(Table13[[#This Row],[Churn]]="Yes",1,0)</f>
        <v>1</v>
      </c>
    </row>
    <row r="130" spans="1:12" x14ac:dyDescent="0.35">
      <c r="A130" t="s">
        <v>152</v>
      </c>
      <c r="B130" t="s">
        <v>17</v>
      </c>
      <c r="C130">
        <v>34</v>
      </c>
      <c r="D130">
        <v>2</v>
      </c>
      <c r="E130" t="s">
        <v>12</v>
      </c>
      <c r="F130" t="s">
        <v>13</v>
      </c>
      <c r="G130" t="s">
        <v>14</v>
      </c>
      <c r="H130">
        <v>41.57</v>
      </c>
      <c r="I130">
        <v>89.27</v>
      </c>
      <c r="J130" t="s">
        <v>15</v>
      </c>
      <c r="K130" t="str">
        <f t="shared" ref="K130:K193" si="2">IF(D130&lt;=12,"0-12 Months",IF(D130&lt;=24,"13-24 Months",IF(D130&lt;=48,"25-48 Months","49+ Months")))</f>
        <v>0-12 Months</v>
      </c>
      <c r="L130">
        <f>IF(Table13[[#This Row],[Churn]]="Yes",1,0)</f>
        <v>0</v>
      </c>
    </row>
    <row r="131" spans="1:12" x14ac:dyDescent="0.35">
      <c r="A131" t="s">
        <v>153</v>
      </c>
      <c r="B131" t="s">
        <v>17</v>
      </c>
      <c r="C131">
        <v>37</v>
      </c>
      <c r="D131">
        <v>47</v>
      </c>
      <c r="E131" t="s">
        <v>21</v>
      </c>
      <c r="F131" t="s">
        <v>22</v>
      </c>
      <c r="G131" t="s">
        <v>14</v>
      </c>
      <c r="H131">
        <v>23.21</v>
      </c>
      <c r="I131">
        <v>1104.97</v>
      </c>
      <c r="J131" t="s">
        <v>15</v>
      </c>
      <c r="K131" t="str">
        <f t="shared" si="2"/>
        <v>25-48 Months</v>
      </c>
      <c r="L131">
        <f>IF(Table13[[#This Row],[Churn]]="Yes",1,0)</f>
        <v>0</v>
      </c>
    </row>
    <row r="132" spans="1:12" x14ac:dyDescent="0.35">
      <c r="A132" t="s">
        <v>154</v>
      </c>
      <c r="B132" t="s">
        <v>17</v>
      </c>
      <c r="C132">
        <v>41</v>
      </c>
      <c r="D132">
        <v>22</v>
      </c>
      <c r="E132" t="s">
        <v>12</v>
      </c>
      <c r="F132" t="s">
        <v>22</v>
      </c>
      <c r="G132" t="s">
        <v>14</v>
      </c>
      <c r="H132">
        <v>67.16</v>
      </c>
      <c r="I132">
        <v>1482.43</v>
      </c>
      <c r="J132" t="s">
        <v>15</v>
      </c>
      <c r="K132" t="str">
        <f t="shared" si="2"/>
        <v>13-24 Months</v>
      </c>
      <c r="L132">
        <f>IF(Table13[[#This Row],[Churn]]="Yes",1,0)</f>
        <v>0</v>
      </c>
    </row>
    <row r="133" spans="1:12" x14ac:dyDescent="0.35">
      <c r="A133" t="s">
        <v>155</v>
      </c>
      <c r="B133" t="s">
        <v>11</v>
      </c>
      <c r="C133">
        <v>22</v>
      </c>
      <c r="D133">
        <v>27</v>
      </c>
      <c r="E133" t="s">
        <v>12</v>
      </c>
      <c r="F133" t="s">
        <v>29</v>
      </c>
      <c r="G133" t="s">
        <v>19</v>
      </c>
      <c r="H133">
        <v>91.07</v>
      </c>
      <c r="I133">
        <v>2352.96</v>
      </c>
      <c r="J133" t="s">
        <v>27</v>
      </c>
      <c r="K133" t="str">
        <f t="shared" si="2"/>
        <v>25-48 Months</v>
      </c>
      <c r="L133">
        <f>IF(Table13[[#This Row],[Churn]]="Yes",1,0)</f>
        <v>1</v>
      </c>
    </row>
    <row r="134" spans="1:12" x14ac:dyDescent="0.35">
      <c r="A134" t="s">
        <v>156</v>
      </c>
      <c r="B134" t="s">
        <v>11</v>
      </c>
      <c r="C134">
        <v>51</v>
      </c>
      <c r="D134">
        <v>67</v>
      </c>
      <c r="E134" t="s">
        <v>21</v>
      </c>
      <c r="F134" t="s">
        <v>22</v>
      </c>
      <c r="G134" t="s">
        <v>23</v>
      </c>
      <c r="H134">
        <v>129.18</v>
      </c>
      <c r="I134">
        <v>8684.85</v>
      </c>
      <c r="J134" t="s">
        <v>27</v>
      </c>
      <c r="K134" t="str">
        <f t="shared" si="2"/>
        <v>49+ Months</v>
      </c>
      <c r="L134">
        <f>IF(Table13[[#This Row],[Churn]]="Yes",1,0)</f>
        <v>1</v>
      </c>
    </row>
    <row r="135" spans="1:12" x14ac:dyDescent="0.35">
      <c r="A135" t="s">
        <v>157</v>
      </c>
      <c r="B135" t="s">
        <v>11</v>
      </c>
      <c r="C135">
        <v>23</v>
      </c>
      <c r="D135">
        <v>56</v>
      </c>
      <c r="E135" t="s">
        <v>18</v>
      </c>
      <c r="F135" t="s">
        <v>33</v>
      </c>
      <c r="G135" t="s">
        <v>19</v>
      </c>
      <c r="H135">
        <v>36.57</v>
      </c>
      <c r="I135">
        <v>2190.5300000000002</v>
      </c>
      <c r="J135" t="s">
        <v>15</v>
      </c>
      <c r="K135" t="str">
        <f t="shared" si="2"/>
        <v>49+ Months</v>
      </c>
      <c r="L135">
        <f>IF(Table13[[#This Row],[Churn]]="Yes",1,0)</f>
        <v>0</v>
      </c>
    </row>
    <row r="136" spans="1:12" x14ac:dyDescent="0.35">
      <c r="A136" t="s">
        <v>158</v>
      </c>
      <c r="B136" t="s">
        <v>11</v>
      </c>
      <c r="C136">
        <v>70</v>
      </c>
      <c r="D136">
        <v>21</v>
      </c>
      <c r="E136" t="s">
        <v>12</v>
      </c>
      <c r="F136" t="s">
        <v>29</v>
      </c>
      <c r="G136" t="s">
        <v>23</v>
      </c>
      <c r="H136">
        <v>124.03</v>
      </c>
      <c r="I136">
        <v>2701.09</v>
      </c>
      <c r="J136" t="s">
        <v>15</v>
      </c>
      <c r="K136" t="str">
        <f t="shared" si="2"/>
        <v>13-24 Months</v>
      </c>
      <c r="L136">
        <f>IF(Table13[[#This Row],[Churn]]="Yes",1,0)</f>
        <v>0</v>
      </c>
    </row>
    <row r="137" spans="1:12" x14ac:dyDescent="0.35">
      <c r="A137" t="s">
        <v>159</v>
      </c>
      <c r="B137" t="s">
        <v>11</v>
      </c>
      <c r="C137">
        <v>19</v>
      </c>
      <c r="D137">
        <v>47</v>
      </c>
      <c r="E137" t="s">
        <v>21</v>
      </c>
      <c r="F137" t="s">
        <v>33</v>
      </c>
      <c r="G137" t="s">
        <v>19</v>
      </c>
      <c r="H137">
        <v>132.19</v>
      </c>
      <c r="I137">
        <v>5952.04</v>
      </c>
      <c r="J137" t="s">
        <v>15</v>
      </c>
      <c r="K137" t="str">
        <f t="shared" si="2"/>
        <v>25-48 Months</v>
      </c>
      <c r="L137">
        <f>IF(Table13[[#This Row],[Churn]]="Yes",1,0)</f>
        <v>0</v>
      </c>
    </row>
    <row r="138" spans="1:12" x14ac:dyDescent="0.35">
      <c r="A138" t="s">
        <v>160</v>
      </c>
      <c r="B138" t="s">
        <v>11</v>
      </c>
      <c r="C138">
        <v>30</v>
      </c>
      <c r="D138">
        <v>59</v>
      </c>
      <c r="E138" t="s">
        <v>18</v>
      </c>
      <c r="F138" t="s">
        <v>29</v>
      </c>
      <c r="G138" t="s">
        <v>14</v>
      </c>
      <c r="H138">
        <v>39.590000000000003</v>
      </c>
      <c r="I138">
        <v>2196.35</v>
      </c>
      <c r="J138" t="s">
        <v>27</v>
      </c>
      <c r="K138" t="str">
        <f t="shared" si="2"/>
        <v>49+ Months</v>
      </c>
      <c r="L138">
        <f>IF(Table13[[#This Row],[Churn]]="Yes",1,0)</f>
        <v>1</v>
      </c>
    </row>
    <row r="139" spans="1:12" x14ac:dyDescent="0.35">
      <c r="A139" t="s">
        <v>161</v>
      </c>
      <c r="B139" t="s">
        <v>11</v>
      </c>
      <c r="C139">
        <v>60</v>
      </c>
      <c r="D139">
        <v>6</v>
      </c>
      <c r="E139" t="s">
        <v>18</v>
      </c>
      <c r="F139" t="s">
        <v>13</v>
      </c>
      <c r="G139" t="s">
        <v>23</v>
      </c>
      <c r="H139">
        <v>130.71</v>
      </c>
      <c r="I139">
        <v>747.43</v>
      </c>
      <c r="J139" t="s">
        <v>15</v>
      </c>
      <c r="K139" t="str">
        <f t="shared" si="2"/>
        <v>0-12 Months</v>
      </c>
      <c r="L139">
        <f>IF(Table13[[#This Row],[Churn]]="Yes",1,0)</f>
        <v>0</v>
      </c>
    </row>
    <row r="140" spans="1:12" x14ac:dyDescent="0.35">
      <c r="A140" t="s">
        <v>162</v>
      </c>
      <c r="B140" t="s">
        <v>11</v>
      </c>
      <c r="C140">
        <v>60</v>
      </c>
      <c r="D140">
        <v>19</v>
      </c>
      <c r="E140" t="s">
        <v>12</v>
      </c>
      <c r="F140" t="s">
        <v>29</v>
      </c>
      <c r="G140" t="s">
        <v>23</v>
      </c>
      <c r="H140">
        <v>148.88999999999999</v>
      </c>
      <c r="I140">
        <v>2642.07</v>
      </c>
      <c r="J140" t="s">
        <v>15</v>
      </c>
      <c r="K140" t="str">
        <f t="shared" si="2"/>
        <v>13-24 Months</v>
      </c>
      <c r="L140">
        <f>IF(Table13[[#This Row],[Churn]]="Yes",1,0)</f>
        <v>0</v>
      </c>
    </row>
    <row r="141" spans="1:12" x14ac:dyDescent="0.35">
      <c r="A141" t="s">
        <v>163</v>
      </c>
      <c r="B141" t="s">
        <v>11</v>
      </c>
      <c r="C141">
        <v>65</v>
      </c>
      <c r="D141">
        <v>57</v>
      </c>
      <c r="E141" t="s">
        <v>21</v>
      </c>
      <c r="F141" t="s">
        <v>29</v>
      </c>
      <c r="G141" t="s">
        <v>23</v>
      </c>
      <c r="H141">
        <v>114.49</v>
      </c>
      <c r="I141">
        <v>5998.17</v>
      </c>
      <c r="J141" t="s">
        <v>27</v>
      </c>
      <c r="K141" t="str">
        <f t="shared" si="2"/>
        <v>49+ Months</v>
      </c>
      <c r="L141">
        <f>IF(Table13[[#This Row],[Churn]]="Yes",1,0)</f>
        <v>1</v>
      </c>
    </row>
    <row r="142" spans="1:12" x14ac:dyDescent="0.35">
      <c r="A142" t="s">
        <v>164</v>
      </c>
      <c r="B142" t="s">
        <v>17</v>
      </c>
      <c r="C142">
        <v>28</v>
      </c>
      <c r="D142">
        <v>69</v>
      </c>
      <c r="E142" t="s">
        <v>12</v>
      </c>
      <c r="F142" t="s">
        <v>33</v>
      </c>
      <c r="G142" t="s">
        <v>19</v>
      </c>
      <c r="H142">
        <v>122.02</v>
      </c>
      <c r="I142">
        <v>8283.2199999999993</v>
      </c>
      <c r="J142" t="s">
        <v>27</v>
      </c>
      <c r="K142" t="str">
        <f t="shared" si="2"/>
        <v>49+ Months</v>
      </c>
      <c r="L142">
        <f>IF(Table13[[#This Row],[Churn]]="Yes",1,0)</f>
        <v>1</v>
      </c>
    </row>
    <row r="143" spans="1:12" x14ac:dyDescent="0.35">
      <c r="A143" t="s">
        <v>165</v>
      </c>
      <c r="B143" t="s">
        <v>11</v>
      </c>
      <c r="C143">
        <v>68</v>
      </c>
      <c r="D143">
        <v>3</v>
      </c>
      <c r="E143" t="s">
        <v>18</v>
      </c>
      <c r="F143" t="s">
        <v>13</v>
      </c>
      <c r="G143" t="s">
        <v>23</v>
      </c>
      <c r="H143">
        <v>149.27000000000001</v>
      </c>
      <c r="I143">
        <v>413.18</v>
      </c>
      <c r="J143" t="s">
        <v>15</v>
      </c>
      <c r="K143" t="str">
        <f t="shared" si="2"/>
        <v>0-12 Months</v>
      </c>
      <c r="L143">
        <f>IF(Table13[[#This Row],[Churn]]="Yes",1,0)</f>
        <v>0</v>
      </c>
    </row>
    <row r="144" spans="1:12" x14ac:dyDescent="0.35">
      <c r="A144" t="s">
        <v>166</v>
      </c>
      <c r="B144" t="s">
        <v>17</v>
      </c>
      <c r="C144">
        <v>64</v>
      </c>
      <c r="D144">
        <v>1</v>
      </c>
      <c r="E144" t="s">
        <v>12</v>
      </c>
      <c r="F144" t="s">
        <v>13</v>
      </c>
      <c r="G144" t="s">
        <v>23</v>
      </c>
      <c r="H144">
        <v>98.71</v>
      </c>
      <c r="I144">
        <v>92.23</v>
      </c>
      <c r="J144" t="s">
        <v>15</v>
      </c>
      <c r="K144" t="str">
        <f t="shared" si="2"/>
        <v>0-12 Months</v>
      </c>
      <c r="L144">
        <f>IF(Table13[[#This Row],[Churn]]="Yes",1,0)</f>
        <v>0</v>
      </c>
    </row>
    <row r="145" spans="1:12" x14ac:dyDescent="0.35">
      <c r="A145" t="s">
        <v>167</v>
      </c>
      <c r="B145" t="s">
        <v>17</v>
      </c>
      <c r="C145">
        <v>40</v>
      </c>
      <c r="D145">
        <v>58</v>
      </c>
      <c r="E145" t="s">
        <v>12</v>
      </c>
      <c r="F145" t="s">
        <v>29</v>
      </c>
      <c r="G145" t="s">
        <v>14</v>
      </c>
      <c r="H145">
        <v>60.03</v>
      </c>
      <c r="I145">
        <v>3514.69</v>
      </c>
      <c r="J145" t="s">
        <v>15</v>
      </c>
      <c r="K145" t="str">
        <f t="shared" si="2"/>
        <v>49+ Months</v>
      </c>
      <c r="L145">
        <f>IF(Table13[[#This Row],[Churn]]="Yes",1,0)</f>
        <v>0</v>
      </c>
    </row>
    <row r="146" spans="1:12" x14ac:dyDescent="0.35">
      <c r="A146" t="s">
        <v>168</v>
      </c>
      <c r="B146" t="s">
        <v>17</v>
      </c>
      <c r="C146">
        <v>33</v>
      </c>
      <c r="D146">
        <v>38</v>
      </c>
      <c r="E146" t="s">
        <v>21</v>
      </c>
      <c r="F146" t="s">
        <v>13</v>
      </c>
      <c r="G146" t="s">
        <v>14</v>
      </c>
      <c r="H146">
        <v>128.88</v>
      </c>
      <c r="I146">
        <v>4568.92</v>
      </c>
      <c r="J146" t="s">
        <v>15</v>
      </c>
      <c r="K146" t="str">
        <f t="shared" si="2"/>
        <v>25-48 Months</v>
      </c>
      <c r="L146">
        <f>IF(Table13[[#This Row],[Churn]]="Yes",1,0)</f>
        <v>0</v>
      </c>
    </row>
    <row r="147" spans="1:12" x14ac:dyDescent="0.35">
      <c r="A147" t="s">
        <v>169</v>
      </c>
      <c r="B147" t="s">
        <v>11</v>
      </c>
      <c r="C147">
        <v>48</v>
      </c>
      <c r="D147">
        <v>15</v>
      </c>
      <c r="E147" t="s">
        <v>12</v>
      </c>
      <c r="F147" t="s">
        <v>13</v>
      </c>
      <c r="G147" t="s">
        <v>14</v>
      </c>
      <c r="H147">
        <v>99.88</v>
      </c>
      <c r="I147">
        <v>1367.52</v>
      </c>
      <c r="J147" t="s">
        <v>15</v>
      </c>
      <c r="K147" t="str">
        <f t="shared" si="2"/>
        <v>13-24 Months</v>
      </c>
      <c r="L147">
        <f>IF(Table13[[#This Row],[Churn]]="Yes",1,0)</f>
        <v>0</v>
      </c>
    </row>
    <row r="148" spans="1:12" x14ac:dyDescent="0.35">
      <c r="A148" t="s">
        <v>170</v>
      </c>
      <c r="B148" t="s">
        <v>11</v>
      </c>
      <c r="C148">
        <v>28</v>
      </c>
      <c r="D148">
        <v>34</v>
      </c>
      <c r="E148" t="s">
        <v>18</v>
      </c>
      <c r="F148" t="s">
        <v>13</v>
      </c>
      <c r="G148" t="s">
        <v>19</v>
      </c>
      <c r="H148">
        <v>95.56</v>
      </c>
      <c r="I148">
        <v>3130.38</v>
      </c>
      <c r="J148" t="s">
        <v>15</v>
      </c>
      <c r="K148" t="str">
        <f t="shared" si="2"/>
        <v>25-48 Months</v>
      </c>
      <c r="L148">
        <f>IF(Table13[[#This Row],[Churn]]="Yes",1,0)</f>
        <v>0</v>
      </c>
    </row>
    <row r="149" spans="1:12" x14ac:dyDescent="0.35">
      <c r="A149" t="s">
        <v>171</v>
      </c>
      <c r="B149" t="s">
        <v>11</v>
      </c>
      <c r="C149">
        <v>33</v>
      </c>
      <c r="D149">
        <v>61</v>
      </c>
      <c r="E149" t="s">
        <v>18</v>
      </c>
      <c r="F149" t="s">
        <v>29</v>
      </c>
      <c r="G149" t="s">
        <v>14</v>
      </c>
      <c r="H149">
        <v>52.97</v>
      </c>
      <c r="I149">
        <v>3050.43</v>
      </c>
      <c r="J149" t="s">
        <v>15</v>
      </c>
      <c r="K149" t="str">
        <f t="shared" si="2"/>
        <v>49+ Months</v>
      </c>
      <c r="L149">
        <f>IF(Table13[[#This Row],[Churn]]="Yes",1,0)</f>
        <v>0</v>
      </c>
    </row>
    <row r="150" spans="1:12" x14ac:dyDescent="0.35">
      <c r="A150" t="s">
        <v>172</v>
      </c>
      <c r="B150" t="s">
        <v>11</v>
      </c>
      <c r="C150">
        <v>25</v>
      </c>
      <c r="D150">
        <v>35</v>
      </c>
      <c r="E150" t="s">
        <v>21</v>
      </c>
      <c r="F150" t="s">
        <v>33</v>
      </c>
      <c r="G150" t="s">
        <v>19</v>
      </c>
      <c r="H150">
        <v>118.32</v>
      </c>
      <c r="I150">
        <v>4153.88</v>
      </c>
      <c r="J150" t="s">
        <v>15</v>
      </c>
      <c r="K150" t="str">
        <f t="shared" si="2"/>
        <v>25-48 Months</v>
      </c>
      <c r="L150">
        <f>IF(Table13[[#This Row],[Churn]]="Yes",1,0)</f>
        <v>0</v>
      </c>
    </row>
    <row r="151" spans="1:12" x14ac:dyDescent="0.35">
      <c r="A151" t="s">
        <v>173</v>
      </c>
      <c r="B151" t="s">
        <v>17</v>
      </c>
      <c r="C151">
        <v>21</v>
      </c>
      <c r="D151">
        <v>64</v>
      </c>
      <c r="E151" t="s">
        <v>12</v>
      </c>
      <c r="F151" t="s">
        <v>13</v>
      </c>
      <c r="G151" t="s">
        <v>19</v>
      </c>
      <c r="H151">
        <v>30.62</v>
      </c>
      <c r="I151">
        <v>1803.83</v>
      </c>
      <c r="J151" t="s">
        <v>27</v>
      </c>
      <c r="K151" t="str">
        <f t="shared" si="2"/>
        <v>49+ Months</v>
      </c>
      <c r="L151">
        <f>IF(Table13[[#This Row],[Churn]]="Yes",1,0)</f>
        <v>1</v>
      </c>
    </row>
    <row r="152" spans="1:12" x14ac:dyDescent="0.35">
      <c r="A152" t="s">
        <v>174</v>
      </c>
      <c r="B152" t="s">
        <v>11</v>
      </c>
      <c r="C152">
        <v>57</v>
      </c>
      <c r="D152">
        <v>25</v>
      </c>
      <c r="E152" t="s">
        <v>21</v>
      </c>
      <c r="F152" t="s">
        <v>13</v>
      </c>
      <c r="G152" t="s">
        <v>23</v>
      </c>
      <c r="H152">
        <v>140.16</v>
      </c>
      <c r="I152">
        <v>3680.44</v>
      </c>
      <c r="J152" t="s">
        <v>15</v>
      </c>
      <c r="K152" t="str">
        <f t="shared" si="2"/>
        <v>25-48 Months</v>
      </c>
      <c r="L152">
        <f>IF(Table13[[#This Row],[Churn]]="Yes",1,0)</f>
        <v>0</v>
      </c>
    </row>
    <row r="153" spans="1:12" x14ac:dyDescent="0.35">
      <c r="A153" t="s">
        <v>175</v>
      </c>
      <c r="B153" t="s">
        <v>11</v>
      </c>
      <c r="C153">
        <v>21</v>
      </c>
      <c r="D153">
        <v>24</v>
      </c>
      <c r="E153" t="s">
        <v>12</v>
      </c>
      <c r="F153" t="s">
        <v>29</v>
      </c>
      <c r="G153" t="s">
        <v>19</v>
      </c>
      <c r="H153">
        <v>62.36</v>
      </c>
      <c r="I153">
        <v>1618.24</v>
      </c>
      <c r="J153" t="s">
        <v>27</v>
      </c>
      <c r="K153" t="str">
        <f t="shared" si="2"/>
        <v>13-24 Months</v>
      </c>
      <c r="L153">
        <f>IF(Table13[[#This Row],[Churn]]="Yes",1,0)</f>
        <v>1</v>
      </c>
    </row>
    <row r="154" spans="1:12" x14ac:dyDescent="0.35">
      <c r="A154" t="s">
        <v>176</v>
      </c>
      <c r="B154" t="s">
        <v>11</v>
      </c>
      <c r="C154">
        <v>42</v>
      </c>
      <c r="D154">
        <v>12</v>
      </c>
      <c r="E154" t="s">
        <v>12</v>
      </c>
      <c r="F154" t="s">
        <v>22</v>
      </c>
      <c r="G154" t="s">
        <v>14</v>
      </c>
      <c r="H154">
        <v>36.61</v>
      </c>
      <c r="I154">
        <v>460.71</v>
      </c>
      <c r="J154" t="s">
        <v>27</v>
      </c>
      <c r="K154" t="str">
        <f t="shared" si="2"/>
        <v>0-12 Months</v>
      </c>
      <c r="L154">
        <f>IF(Table13[[#This Row],[Churn]]="Yes",1,0)</f>
        <v>1</v>
      </c>
    </row>
    <row r="155" spans="1:12" x14ac:dyDescent="0.35">
      <c r="A155" t="s">
        <v>177</v>
      </c>
      <c r="B155" t="s">
        <v>11</v>
      </c>
      <c r="C155">
        <v>20</v>
      </c>
      <c r="D155">
        <v>18</v>
      </c>
      <c r="E155" t="s">
        <v>18</v>
      </c>
      <c r="F155" t="s">
        <v>13</v>
      </c>
      <c r="G155" t="s">
        <v>19</v>
      </c>
      <c r="H155">
        <v>77.510000000000005</v>
      </c>
      <c r="I155">
        <v>1404.34</v>
      </c>
      <c r="J155" t="s">
        <v>15</v>
      </c>
      <c r="K155" t="str">
        <f t="shared" si="2"/>
        <v>13-24 Months</v>
      </c>
      <c r="L155">
        <f>IF(Table13[[#This Row],[Churn]]="Yes",1,0)</f>
        <v>0</v>
      </c>
    </row>
    <row r="156" spans="1:12" x14ac:dyDescent="0.35">
      <c r="A156" t="s">
        <v>178</v>
      </c>
      <c r="B156" t="s">
        <v>11</v>
      </c>
      <c r="C156">
        <v>49</v>
      </c>
      <c r="D156">
        <v>15</v>
      </c>
      <c r="E156" t="s">
        <v>12</v>
      </c>
      <c r="F156" t="s">
        <v>13</v>
      </c>
      <c r="G156" t="s">
        <v>14</v>
      </c>
      <c r="H156">
        <v>25.52</v>
      </c>
      <c r="I156">
        <v>410.41</v>
      </c>
      <c r="J156" t="s">
        <v>15</v>
      </c>
      <c r="K156" t="str">
        <f t="shared" si="2"/>
        <v>13-24 Months</v>
      </c>
      <c r="L156">
        <f>IF(Table13[[#This Row],[Churn]]="Yes",1,0)</f>
        <v>0</v>
      </c>
    </row>
    <row r="157" spans="1:12" x14ac:dyDescent="0.35">
      <c r="A157" t="s">
        <v>179</v>
      </c>
      <c r="B157" t="s">
        <v>17</v>
      </c>
      <c r="C157">
        <v>20</v>
      </c>
      <c r="D157">
        <v>27</v>
      </c>
      <c r="E157" t="s">
        <v>12</v>
      </c>
      <c r="F157" t="s">
        <v>29</v>
      </c>
      <c r="G157" t="s">
        <v>19</v>
      </c>
      <c r="H157">
        <v>109</v>
      </c>
      <c r="I157">
        <v>3057.73</v>
      </c>
      <c r="J157" t="s">
        <v>15</v>
      </c>
      <c r="K157" t="str">
        <f t="shared" si="2"/>
        <v>25-48 Months</v>
      </c>
      <c r="L157">
        <f>IF(Table13[[#This Row],[Churn]]="Yes",1,0)</f>
        <v>0</v>
      </c>
    </row>
    <row r="158" spans="1:12" x14ac:dyDescent="0.35">
      <c r="A158" t="s">
        <v>180</v>
      </c>
      <c r="B158" t="s">
        <v>11</v>
      </c>
      <c r="C158">
        <v>44</v>
      </c>
      <c r="D158">
        <v>72</v>
      </c>
      <c r="E158" t="s">
        <v>18</v>
      </c>
      <c r="F158" t="s">
        <v>33</v>
      </c>
      <c r="G158" t="s">
        <v>14</v>
      </c>
      <c r="H158">
        <v>137.35</v>
      </c>
      <c r="I158">
        <v>8921.15</v>
      </c>
      <c r="J158" t="s">
        <v>27</v>
      </c>
      <c r="K158" t="str">
        <f t="shared" si="2"/>
        <v>49+ Months</v>
      </c>
      <c r="L158">
        <f>IF(Table13[[#This Row],[Churn]]="Yes",1,0)</f>
        <v>1</v>
      </c>
    </row>
    <row r="159" spans="1:12" x14ac:dyDescent="0.35">
      <c r="A159" t="s">
        <v>181</v>
      </c>
      <c r="B159" t="s">
        <v>17</v>
      </c>
      <c r="C159">
        <v>46</v>
      </c>
      <c r="D159">
        <v>60</v>
      </c>
      <c r="E159" t="s">
        <v>12</v>
      </c>
      <c r="F159" t="s">
        <v>29</v>
      </c>
      <c r="G159" t="s">
        <v>14</v>
      </c>
      <c r="H159">
        <v>128.84</v>
      </c>
      <c r="I159">
        <v>7566.65</v>
      </c>
      <c r="J159" t="s">
        <v>15</v>
      </c>
      <c r="K159" t="str">
        <f t="shared" si="2"/>
        <v>49+ Months</v>
      </c>
      <c r="L159">
        <f>IF(Table13[[#This Row],[Churn]]="Yes",1,0)</f>
        <v>0</v>
      </c>
    </row>
    <row r="160" spans="1:12" x14ac:dyDescent="0.35">
      <c r="A160" t="s">
        <v>182</v>
      </c>
      <c r="B160" t="s">
        <v>11</v>
      </c>
      <c r="C160">
        <v>49</v>
      </c>
      <c r="D160">
        <v>46</v>
      </c>
      <c r="E160" t="s">
        <v>12</v>
      </c>
      <c r="F160" t="s">
        <v>22</v>
      </c>
      <c r="G160" t="s">
        <v>14</v>
      </c>
      <c r="H160">
        <v>36.56</v>
      </c>
      <c r="I160">
        <v>1799.8</v>
      </c>
      <c r="J160" t="s">
        <v>15</v>
      </c>
      <c r="K160" t="str">
        <f t="shared" si="2"/>
        <v>25-48 Months</v>
      </c>
      <c r="L160">
        <f>IF(Table13[[#This Row],[Churn]]="Yes",1,0)</f>
        <v>0</v>
      </c>
    </row>
    <row r="161" spans="1:12" x14ac:dyDescent="0.35">
      <c r="A161" t="s">
        <v>183</v>
      </c>
      <c r="B161" t="s">
        <v>17</v>
      </c>
      <c r="C161">
        <v>67</v>
      </c>
      <c r="D161">
        <v>17</v>
      </c>
      <c r="E161" t="s">
        <v>18</v>
      </c>
      <c r="F161" t="s">
        <v>13</v>
      </c>
      <c r="G161" t="s">
        <v>23</v>
      </c>
      <c r="H161">
        <v>36.42</v>
      </c>
      <c r="I161">
        <v>600.04999999999995</v>
      </c>
      <c r="J161" t="s">
        <v>15</v>
      </c>
      <c r="K161" t="str">
        <f t="shared" si="2"/>
        <v>13-24 Months</v>
      </c>
      <c r="L161">
        <f>IF(Table13[[#This Row],[Churn]]="Yes",1,0)</f>
        <v>0</v>
      </c>
    </row>
    <row r="162" spans="1:12" x14ac:dyDescent="0.35">
      <c r="A162" t="s">
        <v>184</v>
      </c>
      <c r="B162" t="s">
        <v>11</v>
      </c>
      <c r="C162">
        <v>68</v>
      </c>
      <c r="D162">
        <v>53</v>
      </c>
      <c r="E162" t="s">
        <v>12</v>
      </c>
      <c r="F162" t="s">
        <v>29</v>
      </c>
      <c r="G162" t="s">
        <v>23</v>
      </c>
      <c r="H162">
        <v>125.75</v>
      </c>
      <c r="I162">
        <v>6045.22</v>
      </c>
      <c r="J162" t="s">
        <v>15</v>
      </c>
      <c r="K162" t="str">
        <f t="shared" si="2"/>
        <v>49+ Months</v>
      </c>
      <c r="L162">
        <f>IF(Table13[[#This Row],[Churn]]="Yes",1,0)</f>
        <v>0</v>
      </c>
    </row>
    <row r="163" spans="1:12" x14ac:dyDescent="0.35">
      <c r="A163" t="s">
        <v>185</v>
      </c>
      <c r="B163" t="s">
        <v>11</v>
      </c>
      <c r="C163">
        <v>36</v>
      </c>
      <c r="D163">
        <v>8</v>
      </c>
      <c r="E163" t="s">
        <v>21</v>
      </c>
      <c r="F163" t="s">
        <v>22</v>
      </c>
      <c r="G163" t="s">
        <v>14</v>
      </c>
      <c r="H163">
        <v>140.15</v>
      </c>
      <c r="I163">
        <v>1176.4000000000001</v>
      </c>
      <c r="J163" t="s">
        <v>15</v>
      </c>
      <c r="K163" t="str">
        <f t="shared" si="2"/>
        <v>0-12 Months</v>
      </c>
      <c r="L163">
        <f>IF(Table13[[#This Row],[Churn]]="Yes",1,0)</f>
        <v>0</v>
      </c>
    </row>
    <row r="164" spans="1:12" x14ac:dyDescent="0.35">
      <c r="A164" t="s">
        <v>186</v>
      </c>
      <c r="B164" t="s">
        <v>17</v>
      </c>
      <c r="C164">
        <v>38</v>
      </c>
      <c r="D164">
        <v>27</v>
      </c>
      <c r="E164" t="s">
        <v>18</v>
      </c>
      <c r="F164" t="s">
        <v>29</v>
      </c>
      <c r="G164" t="s">
        <v>14</v>
      </c>
      <c r="H164">
        <v>79.89</v>
      </c>
      <c r="I164">
        <v>2287.33</v>
      </c>
      <c r="J164" t="s">
        <v>27</v>
      </c>
      <c r="K164" t="str">
        <f t="shared" si="2"/>
        <v>25-48 Months</v>
      </c>
      <c r="L164">
        <f>IF(Table13[[#This Row],[Churn]]="Yes",1,0)</f>
        <v>1</v>
      </c>
    </row>
    <row r="165" spans="1:12" x14ac:dyDescent="0.35">
      <c r="A165" t="s">
        <v>187</v>
      </c>
      <c r="B165" t="s">
        <v>17</v>
      </c>
      <c r="C165">
        <v>22</v>
      </c>
      <c r="D165">
        <v>46</v>
      </c>
      <c r="E165" t="s">
        <v>18</v>
      </c>
      <c r="F165" t="s">
        <v>33</v>
      </c>
      <c r="G165" t="s">
        <v>19</v>
      </c>
      <c r="H165">
        <v>84.87</v>
      </c>
      <c r="I165">
        <v>3639.01</v>
      </c>
      <c r="J165" t="s">
        <v>15</v>
      </c>
      <c r="K165" t="str">
        <f t="shared" si="2"/>
        <v>25-48 Months</v>
      </c>
      <c r="L165">
        <f>IF(Table13[[#This Row],[Churn]]="Yes",1,0)</f>
        <v>0</v>
      </c>
    </row>
    <row r="166" spans="1:12" x14ac:dyDescent="0.35">
      <c r="A166" t="s">
        <v>188</v>
      </c>
      <c r="B166" t="s">
        <v>17</v>
      </c>
      <c r="C166">
        <v>35</v>
      </c>
      <c r="D166">
        <v>50</v>
      </c>
      <c r="E166" t="s">
        <v>21</v>
      </c>
      <c r="F166" t="s">
        <v>33</v>
      </c>
      <c r="G166" t="s">
        <v>14</v>
      </c>
      <c r="H166">
        <v>61.37</v>
      </c>
      <c r="I166">
        <v>3091.42</v>
      </c>
      <c r="J166" t="s">
        <v>27</v>
      </c>
      <c r="K166" t="str">
        <f t="shared" si="2"/>
        <v>49+ Months</v>
      </c>
      <c r="L166">
        <f>IF(Table13[[#This Row],[Churn]]="Yes",1,0)</f>
        <v>1</v>
      </c>
    </row>
    <row r="167" spans="1:12" x14ac:dyDescent="0.35">
      <c r="A167" t="s">
        <v>189</v>
      </c>
      <c r="B167" t="s">
        <v>11</v>
      </c>
      <c r="C167">
        <v>45</v>
      </c>
      <c r="D167">
        <v>71</v>
      </c>
      <c r="E167" t="s">
        <v>12</v>
      </c>
      <c r="F167" t="s">
        <v>33</v>
      </c>
      <c r="G167" t="s">
        <v>14</v>
      </c>
      <c r="H167">
        <v>136.25</v>
      </c>
      <c r="I167">
        <v>9077.76</v>
      </c>
      <c r="J167" t="s">
        <v>27</v>
      </c>
      <c r="K167" t="str">
        <f t="shared" si="2"/>
        <v>49+ Months</v>
      </c>
      <c r="L167">
        <f>IF(Table13[[#This Row],[Churn]]="Yes",1,0)</f>
        <v>1</v>
      </c>
    </row>
    <row r="168" spans="1:12" x14ac:dyDescent="0.35">
      <c r="A168" t="s">
        <v>190</v>
      </c>
      <c r="B168" t="s">
        <v>17</v>
      </c>
      <c r="C168">
        <v>59</v>
      </c>
      <c r="D168">
        <v>3</v>
      </c>
      <c r="E168" t="s">
        <v>12</v>
      </c>
      <c r="F168" t="s">
        <v>29</v>
      </c>
      <c r="G168" t="s">
        <v>23</v>
      </c>
      <c r="H168">
        <v>103.84</v>
      </c>
      <c r="I168">
        <v>325.18</v>
      </c>
      <c r="J168" t="s">
        <v>27</v>
      </c>
      <c r="K168" t="str">
        <f t="shared" si="2"/>
        <v>0-12 Months</v>
      </c>
      <c r="L168">
        <f>IF(Table13[[#This Row],[Churn]]="Yes",1,0)</f>
        <v>1</v>
      </c>
    </row>
    <row r="169" spans="1:12" x14ac:dyDescent="0.35">
      <c r="A169" t="s">
        <v>191</v>
      </c>
      <c r="B169" t="s">
        <v>11</v>
      </c>
      <c r="C169">
        <v>39</v>
      </c>
      <c r="D169">
        <v>64</v>
      </c>
      <c r="E169" t="s">
        <v>18</v>
      </c>
      <c r="F169" t="s">
        <v>22</v>
      </c>
      <c r="G169" t="s">
        <v>14</v>
      </c>
      <c r="H169">
        <v>57.47</v>
      </c>
      <c r="I169">
        <v>3510.03</v>
      </c>
      <c r="J169" t="s">
        <v>15</v>
      </c>
      <c r="K169" t="str">
        <f t="shared" si="2"/>
        <v>49+ Months</v>
      </c>
      <c r="L169">
        <f>IF(Table13[[#This Row],[Churn]]="Yes",1,0)</f>
        <v>0</v>
      </c>
    </row>
    <row r="170" spans="1:12" x14ac:dyDescent="0.35">
      <c r="A170" t="s">
        <v>192</v>
      </c>
      <c r="B170" t="s">
        <v>11</v>
      </c>
      <c r="C170">
        <v>38</v>
      </c>
      <c r="D170">
        <v>44</v>
      </c>
      <c r="E170" t="s">
        <v>18</v>
      </c>
      <c r="F170" t="s">
        <v>13</v>
      </c>
      <c r="G170" t="s">
        <v>14</v>
      </c>
      <c r="H170">
        <v>58.84</v>
      </c>
      <c r="I170">
        <v>2493.8000000000002</v>
      </c>
      <c r="J170" t="s">
        <v>15</v>
      </c>
      <c r="K170" t="str">
        <f t="shared" si="2"/>
        <v>25-48 Months</v>
      </c>
      <c r="L170">
        <f>IF(Table13[[#This Row],[Churn]]="Yes",1,0)</f>
        <v>0</v>
      </c>
    </row>
    <row r="171" spans="1:12" x14ac:dyDescent="0.35">
      <c r="A171" t="s">
        <v>193</v>
      </c>
      <c r="B171" t="s">
        <v>17</v>
      </c>
      <c r="C171">
        <v>23</v>
      </c>
      <c r="D171">
        <v>53</v>
      </c>
      <c r="E171" t="s">
        <v>12</v>
      </c>
      <c r="F171" t="s">
        <v>33</v>
      </c>
      <c r="G171" t="s">
        <v>19</v>
      </c>
      <c r="H171">
        <v>135.86000000000001</v>
      </c>
      <c r="I171">
        <v>7697.38</v>
      </c>
      <c r="J171" t="s">
        <v>15</v>
      </c>
      <c r="K171" t="str">
        <f t="shared" si="2"/>
        <v>49+ Months</v>
      </c>
      <c r="L171">
        <f>IF(Table13[[#This Row],[Churn]]="Yes",1,0)</f>
        <v>0</v>
      </c>
    </row>
    <row r="172" spans="1:12" x14ac:dyDescent="0.35">
      <c r="A172" t="s">
        <v>194</v>
      </c>
      <c r="B172" t="s">
        <v>17</v>
      </c>
      <c r="C172">
        <v>18</v>
      </c>
      <c r="D172">
        <v>24</v>
      </c>
      <c r="E172" t="s">
        <v>12</v>
      </c>
      <c r="F172" t="s">
        <v>22</v>
      </c>
      <c r="G172" t="s">
        <v>19</v>
      </c>
      <c r="H172">
        <v>21.77</v>
      </c>
      <c r="I172">
        <v>520.01</v>
      </c>
      <c r="J172" t="s">
        <v>27</v>
      </c>
      <c r="K172" t="str">
        <f t="shared" si="2"/>
        <v>13-24 Months</v>
      </c>
      <c r="L172">
        <f>IF(Table13[[#This Row],[Churn]]="Yes",1,0)</f>
        <v>1</v>
      </c>
    </row>
    <row r="173" spans="1:12" x14ac:dyDescent="0.35">
      <c r="A173" t="s">
        <v>195</v>
      </c>
      <c r="B173" t="s">
        <v>11</v>
      </c>
      <c r="C173">
        <v>22</v>
      </c>
      <c r="D173">
        <v>60</v>
      </c>
      <c r="E173" t="s">
        <v>12</v>
      </c>
      <c r="F173" t="s">
        <v>33</v>
      </c>
      <c r="G173" t="s">
        <v>19</v>
      </c>
      <c r="H173">
        <v>61.95</v>
      </c>
      <c r="I173">
        <v>3843.2</v>
      </c>
      <c r="J173" t="s">
        <v>15</v>
      </c>
      <c r="K173" t="str">
        <f t="shared" si="2"/>
        <v>49+ Months</v>
      </c>
      <c r="L173">
        <f>IF(Table13[[#This Row],[Churn]]="Yes",1,0)</f>
        <v>0</v>
      </c>
    </row>
    <row r="174" spans="1:12" x14ac:dyDescent="0.35">
      <c r="A174" t="s">
        <v>196</v>
      </c>
      <c r="B174" t="s">
        <v>11</v>
      </c>
      <c r="C174">
        <v>58</v>
      </c>
      <c r="D174">
        <v>3</v>
      </c>
      <c r="E174" t="s">
        <v>12</v>
      </c>
      <c r="F174" t="s">
        <v>13</v>
      </c>
      <c r="G174" t="s">
        <v>23</v>
      </c>
      <c r="H174">
        <v>92.07</v>
      </c>
      <c r="I174">
        <v>270.82</v>
      </c>
      <c r="J174" t="s">
        <v>15</v>
      </c>
      <c r="K174" t="str">
        <f t="shared" si="2"/>
        <v>0-12 Months</v>
      </c>
      <c r="L174">
        <f>IF(Table13[[#This Row],[Churn]]="Yes",1,0)</f>
        <v>0</v>
      </c>
    </row>
    <row r="175" spans="1:12" x14ac:dyDescent="0.35">
      <c r="A175" t="s">
        <v>197</v>
      </c>
      <c r="B175" t="s">
        <v>17</v>
      </c>
      <c r="C175">
        <v>29</v>
      </c>
      <c r="D175">
        <v>20</v>
      </c>
      <c r="E175" t="s">
        <v>21</v>
      </c>
      <c r="F175" t="s">
        <v>13</v>
      </c>
      <c r="G175" t="s">
        <v>19</v>
      </c>
      <c r="H175">
        <v>39.270000000000003</v>
      </c>
      <c r="I175">
        <v>753.67</v>
      </c>
      <c r="J175" t="s">
        <v>15</v>
      </c>
      <c r="K175" t="str">
        <f t="shared" si="2"/>
        <v>13-24 Months</v>
      </c>
      <c r="L175">
        <f>IF(Table13[[#This Row],[Churn]]="Yes",1,0)</f>
        <v>0</v>
      </c>
    </row>
    <row r="176" spans="1:12" x14ac:dyDescent="0.35">
      <c r="A176" t="s">
        <v>198</v>
      </c>
      <c r="B176" t="s">
        <v>17</v>
      </c>
      <c r="C176">
        <v>43</v>
      </c>
      <c r="D176">
        <v>46</v>
      </c>
      <c r="E176" t="s">
        <v>12</v>
      </c>
      <c r="F176" t="s">
        <v>29</v>
      </c>
      <c r="G176" t="s">
        <v>14</v>
      </c>
      <c r="H176">
        <v>31.97</v>
      </c>
      <c r="I176">
        <v>1507.53</v>
      </c>
      <c r="J176" t="s">
        <v>27</v>
      </c>
      <c r="K176" t="str">
        <f t="shared" si="2"/>
        <v>25-48 Months</v>
      </c>
      <c r="L176">
        <f>IF(Table13[[#This Row],[Churn]]="Yes",1,0)</f>
        <v>1</v>
      </c>
    </row>
    <row r="177" spans="1:12" x14ac:dyDescent="0.35">
      <c r="A177" t="s">
        <v>199</v>
      </c>
      <c r="B177" t="s">
        <v>17</v>
      </c>
      <c r="C177">
        <v>63</v>
      </c>
      <c r="D177">
        <v>15</v>
      </c>
      <c r="E177" t="s">
        <v>18</v>
      </c>
      <c r="F177" t="s">
        <v>22</v>
      </c>
      <c r="G177" t="s">
        <v>23</v>
      </c>
      <c r="H177">
        <v>125.99</v>
      </c>
      <c r="I177">
        <v>1759.4</v>
      </c>
      <c r="J177" t="s">
        <v>15</v>
      </c>
      <c r="K177" t="str">
        <f t="shared" si="2"/>
        <v>13-24 Months</v>
      </c>
      <c r="L177">
        <f>IF(Table13[[#This Row],[Churn]]="Yes",1,0)</f>
        <v>0</v>
      </c>
    </row>
    <row r="178" spans="1:12" x14ac:dyDescent="0.35">
      <c r="A178" t="s">
        <v>200</v>
      </c>
      <c r="B178" t="s">
        <v>11</v>
      </c>
      <c r="C178">
        <v>51</v>
      </c>
      <c r="D178">
        <v>25</v>
      </c>
      <c r="E178" t="s">
        <v>21</v>
      </c>
      <c r="F178" t="s">
        <v>13</v>
      </c>
      <c r="G178" t="s">
        <v>23</v>
      </c>
      <c r="H178">
        <v>136.27000000000001</v>
      </c>
      <c r="I178">
        <v>3320.22</v>
      </c>
      <c r="J178" t="s">
        <v>15</v>
      </c>
      <c r="K178" t="str">
        <f t="shared" si="2"/>
        <v>25-48 Months</v>
      </c>
      <c r="L178">
        <f>IF(Table13[[#This Row],[Churn]]="Yes",1,0)</f>
        <v>0</v>
      </c>
    </row>
    <row r="179" spans="1:12" x14ac:dyDescent="0.35">
      <c r="A179" t="s">
        <v>201</v>
      </c>
      <c r="B179" t="s">
        <v>11</v>
      </c>
      <c r="C179">
        <v>66</v>
      </c>
      <c r="D179">
        <v>71</v>
      </c>
      <c r="E179" t="s">
        <v>12</v>
      </c>
      <c r="F179" t="s">
        <v>13</v>
      </c>
      <c r="G179" t="s">
        <v>23</v>
      </c>
      <c r="H179">
        <v>127.07</v>
      </c>
      <c r="I179">
        <v>8496.9599999999991</v>
      </c>
      <c r="J179" t="s">
        <v>15</v>
      </c>
      <c r="K179" t="str">
        <f t="shared" si="2"/>
        <v>49+ Months</v>
      </c>
      <c r="L179">
        <f>IF(Table13[[#This Row],[Churn]]="Yes",1,0)</f>
        <v>0</v>
      </c>
    </row>
    <row r="180" spans="1:12" x14ac:dyDescent="0.35">
      <c r="A180" t="s">
        <v>202</v>
      </c>
      <c r="B180" t="s">
        <v>11</v>
      </c>
      <c r="C180">
        <v>31</v>
      </c>
      <c r="D180">
        <v>17</v>
      </c>
      <c r="E180" t="s">
        <v>21</v>
      </c>
      <c r="F180" t="s">
        <v>22</v>
      </c>
      <c r="G180" t="s">
        <v>14</v>
      </c>
      <c r="H180">
        <v>136.84</v>
      </c>
      <c r="I180">
        <v>2417.37</v>
      </c>
      <c r="J180" t="s">
        <v>15</v>
      </c>
      <c r="K180" t="str">
        <f t="shared" si="2"/>
        <v>13-24 Months</v>
      </c>
      <c r="L180">
        <f>IF(Table13[[#This Row],[Churn]]="Yes",1,0)</f>
        <v>0</v>
      </c>
    </row>
    <row r="181" spans="1:12" x14ac:dyDescent="0.35">
      <c r="A181" t="s">
        <v>203</v>
      </c>
      <c r="B181" t="s">
        <v>11</v>
      </c>
      <c r="C181">
        <v>43</v>
      </c>
      <c r="D181">
        <v>9</v>
      </c>
      <c r="E181" t="s">
        <v>12</v>
      </c>
      <c r="F181" t="s">
        <v>13</v>
      </c>
      <c r="G181" t="s">
        <v>14</v>
      </c>
      <c r="H181">
        <v>91.9</v>
      </c>
      <c r="I181">
        <v>900.58</v>
      </c>
      <c r="J181" t="s">
        <v>15</v>
      </c>
      <c r="K181" t="str">
        <f t="shared" si="2"/>
        <v>0-12 Months</v>
      </c>
      <c r="L181">
        <f>IF(Table13[[#This Row],[Churn]]="Yes",1,0)</f>
        <v>0</v>
      </c>
    </row>
    <row r="182" spans="1:12" x14ac:dyDescent="0.35">
      <c r="A182" t="s">
        <v>204</v>
      </c>
      <c r="B182" t="s">
        <v>11</v>
      </c>
      <c r="C182">
        <v>62</v>
      </c>
      <c r="D182">
        <v>38</v>
      </c>
      <c r="E182" t="s">
        <v>21</v>
      </c>
      <c r="F182" t="s">
        <v>29</v>
      </c>
      <c r="G182" t="s">
        <v>23</v>
      </c>
      <c r="H182">
        <v>125.59</v>
      </c>
      <c r="I182">
        <v>5245.38</v>
      </c>
      <c r="J182" t="s">
        <v>27</v>
      </c>
      <c r="K182" t="str">
        <f t="shared" si="2"/>
        <v>25-48 Months</v>
      </c>
      <c r="L182">
        <f>IF(Table13[[#This Row],[Churn]]="Yes",1,0)</f>
        <v>1</v>
      </c>
    </row>
    <row r="183" spans="1:12" x14ac:dyDescent="0.35">
      <c r="A183" t="s">
        <v>205</v>
      </c>
      <c r="B183" t="s">
        <v>11</v>
      </c>
      <c r="C183">
        <v>44</v>
      </c>
      <c r="D183">
        <v>48</v>
      </c>
      <c r="E183" t="s">
        <v>21</v>
      </c>
      <c r="F183" t="s">
        <v>13</v>
      </c>
      <c r="G183" t="s">
        <v>14</v>
      </c>
      <c r="H183">
        <v>69.930000000000007</v>
      </c>
      <c r="I183">
        <v>3323.26</v>
      </c>
      <c r="J183" t="s">
        <v>15</v>
      </c>
      <c r="K183" t="str">
        <f t="shared" si="2"/>
        <v>25-48 Months</v>
      </c>
      <c r="L183">
        <f>IF(Table13[[#This Row],[Churn]]="Yes",1,0)</f>
        <v>0</v>
      </c>
    </row>
    <row r="184" spans="1:12" x14ac:dyDescent="0.35">
      <c r="A184" t="s">
        <v>206</v>
      </c>
      <c r="B184" t="s">
        <v>17</v>
      </c>
      <c r="C184">
        <v>26</v>
      </c>
      <c r="D184">
        <v>60</v>
      </c>
      <c r="E184" t="s">
        <v>18</v>
      </c>
      <c r="F184" t="s">
        <v>13</v>
      </c>
      <c r="G184" t="s">
        <v>19</v>
      </c>
      <c r="H184">
        <v>106.61</v>
      </c>
      <c r="I184">
        <v>6080.01</v>
      </c>
      <c r="J184" t="s">
        <v>15</v>
      </c>
      <c r="K184" t="str">
        <f t="shared" si="2"/>
        <v>49+ Months</v>
      </c>
      <c r="L184">
        <f>IF(Table13[[#This Row],[Churn]]="Yes",1,0)</f>
        <v>0</v>
      </c>
    </row>
    <row r="185" spans="1:12" x14ac:dyDescent="0.35">
      <c r="A185" t="s">
        <v>207</v>
      </c>
      <c r="B185" t="s">
        <v>11</v>
      </c>
      <c r="C185">
        <v>43</v>
      </c>
      <c r="D185">
        <v>63</v>
      </c>
      <c r="E185" t="s">
        <v>18</v>
      </c>
      <c r="F185" t="s">
        <v>13</v>
      </c>
      <c r="G185" t="s">
        <v>14</v>
      </c>
      <c r="H185">
        <v>148.55000000000001</v>
      </c>
      <c r="I185">
        <v>9251.64</v>
      </c>
      <c r="J185" t="s">
        <v>27</v>
      </c>
      <c r="K185" t="str">
        <f t="shared" si="2"/>
        <v>49+ Months</v>
      </c>
      <c r="L185">
        <f>IF(Table13[[#This Row],[Churn]]="Yes",1,0)</f>
        <v>1</v>
      </c>
    </row>
    <row r="186" spans="1:12" x14ac:dyDescent="0.35">
      <c r="A186" t="s">
        <v>208</v>
      </c>
      <c r="B186" t="s">
        <v>11</v>
      </c>
      <c r="C186">
        <v>64</v>
      </c>
      <c r="D186">
        <v>2</v>
      </c>
      <c r="E186" t="s">
        <v>12</v>
      </c>
      <c r="F186" t="s">
        <v>29</v>
      </c>
      <c r="G186" t="s">
        <v>23</v>
      </c>
      <c r="H186">
        <v>49.34</v>
      </c>
      <c r="I186">
        <v>105.53</v>
      </c>
      <c r="J186" t="s">
        <v>27</v>
      </c>
      <c r="K186" t="str">
        <f t="shared" si="2"/>
        <v>0-12 Months</v>
      </c>
      <c r="L186">
        <f>IF(Table13[[#This Row],[Churn]]="Yes",1,0)</f>
        <v>1</v>
      </c>
    </row>
    <row r="187" spans="1:12" x14ac:dyDescent="0.35">
      <c r="A187" t="s">
        <v>209</v>
      </c>
      <c r="B187" t="s">
        <v>11</v>
      </c>
      <c r="C187">
        <v>39</v>
      </c>
      <c r="D187">
        <v>72</v>
      </c>
      <c r="E187" t="s">
        <v>12</v>
      </c>
      <c r="F187" t="s">
        <v>29</v>
      </c>
      <c r="G187" t="s">
        <v>14</v>
      </c>
      <c r="H187">
        <v>70.69</v>
      </c>
      <c r="I187">
        <v>4790.41</v>
      </c>
      <c r="J187" t="s">
        <v>27</v>
      </c>
      <c r="K187" t="str">
        <f t="shared" si="2"/>
        <v>49+ Months</v>
      </c>
      <c r="L187">
        <f>IF(Table13[[#This Row],[Churn]]="Yes",1,0)</f>
        <v>1</v>
      </c>
    </row>
    <row r="188" spans="1:12" x14ac:dyDescent="0.35">
      <c r="A188" t="s">
        <v>210</v>
      </c>
      <c r="B188" t="s">
        <v>17</v>
      </c>
      <c r="C188">
        <v>64</v>
      </c>
      <c r="D188">
        <v>11</v>
      </c>
      <c r="E188" t="s">
        <v>21</v>
      </c>
      <c r="F188" t="s">
        <v>29</v>
      </c>
      <c r="G188" t="s">
        <v>23</v>
      </c>
      <c r="H188">
        <v>82.41</v>
      </c>
      <c r="I188">
        <v>988.48</v>
      </c>
      <c r="J188" t="s">
        <v>15</v>
      </c>
      <c r="K188" t="str">
        <f t="shared" si="2"/>
        <v>0-12 Months</v>
      </c>
      <c r="L188">
        <f>IF(Table13[[#This Row],[Churn]]="Yes",1,0)</f>
        <v>0</v>
      </c>
    </row>
    <row r="189" spans="1:12" x14ac:dyDescent="0.35">
      <c r="A189" t="s">
        <v>211</v>
      </c>
      <c r="B189" t="s">
        <v>11</v>
      </c>
      <c r="C189">
        <v>47</v>
      </c>
      <c r="D189">
        <v>64</v>
      </c>
      <c r="E189" t="s">
        <v>12</v>
      </c>
      <c r="F189" t="s">
        <v>22</v>
      </c>
      <c r="G189" t="s">
        <v>14</v>
      </c>
      <c r="H189">
        <v>37.94</v>
      </c>
      <c r="I189">
        <v>2351.36</v>
      </c>
      <c r="J189" t="s">
        <v>15</v>
      </c>
      <c r="K189" t="str">
        <f t="shared" si="2"/>
        <v>49+ Months</v>
      </c>
      <c r="L189">
        <f>IF(Table13[[#This Row],[Churn]]="Yes",1,0)</f>
        <v>0</v>
      </c>
    </row>
    <row r="190" spans="1:12" x14ac:dyDescent="0.35">
      <c r="A190" t="s">
        <v>212</v>
      </c>
      <c r="B190" t="s">
        <v>11</v>
      </c>
      <c r="C190">
        <v>60</v>
      </c>
      <c r="D190">
        <v>72</v>
      </c>
      <c r="E190" t="s">
        <v>12</v>
      </c>
      <c r="F190" t="s">
        <v>29</v>
      </c>
      <c r="G190" t="s">
        <v>23</v>
      </c>
      <c r="H190">
        <v>30.54</v>
      </c>
      <c r="I190">
        <v>2412.52</v>
      </c>
      <c r="J190" t="s">
        <v>27</v>
      </c>
      <c r="K190" t="str">
        <f t="shared" si="2"/>
        <v>49+ Months</v>
      </c>
      <c r="L190">
        <f>IF(Table13[[#This Row],[Churn]]="Yes",1,0)</f>
        <v>1</v>
      </c>
    </row>
    <row r="191" spans="1:12" x14ac:dyDescent="0.35">
      <c r="A191" t="s">
        <v>213</v>
      </c>
      <c r="B191" t="s">
        <v>17</v>
      </c>
      <c r="C191">
        <v>65</v>
      </c>
      <c r="D191">
        <v>21</v>
      </c>
      <c r="E191" t="s">
        <v>12</v>
      </c>
      <c r="F191" t="s">
        <v>13</v>
      </c>
      <c r="G191" t="s">
        <v>23</v>
      </c>
      <c r="H191">
        <v>127.86</v>
      </c>
      <c r="I191">
        <v>2866.9</v>
      </c>
      <c r="J191" t="s">
        <v>15</v>
      </c>
      <c r="K191" t="str">
        <f t="shared" si="2"/>
        <v>13-24 Months</v>
      </c>
      <c r="L191">
        <f>IF(Table13[[#This Row],[Churn]]="Yes",1,0)</f>
        <v>0</v>
      </c>
    </row>
    <row r="192" spans="1:12" x14ac:dyDescent="0.35">
      <c r="A192" t="s">
        <v>214</v>
      </c>
      <c r="B192" t="s">
        <v>11</v>
      </c>
      <c r="C192">
        <v>34</v>
      </c>
      <c r="D192">
        <v>18</v>
      </c>
      <c r="E192" t="s">
        <v>21</v>
      </c>
      <c r="F192" t="s">
        <v>33</v>
      </c>
      <c r="G192" t="s">
        <v>14</v>
      </c>
      <c r="H192">
        <v>146.97999999999999</v>
      </c>
      <c r="I192">
        <v>2808.91</v>
      </c>
      <c r="J192" t="s">
        <v>15</v>
      </c>
      <c r="K192" t="str">
        <f t="shared" si="2"/>
        <v>13-24 Months</v>
      </c>
      <c r="L192">
        <f>IF(Table13[[#This Row],[Churn]]="Yes",1,0)</f>
        <v>0</v>
      </c>
    </row>
    <row r="193" spans="1:12" x14ac:dyDescent="0.35">
      <c r="A193" t="s">
        <v>215</v>
      </c>
      <c r="B193" t="s">
        <v>11</v>
      </c>
      <c r="C193">
        <v>43</v>
      </c>
      <c r="D193">
        <v>64</v>
      </c>
      <c r="E193" t="s">
        <v>12</v>
      </c>
      <c r="F193" t="s">
        <v>29</v>
      </c>
      <c r="G193" t="s">
        <v>14</v>
      </c>
      <c r="H193">
        <v>72.61</v>
      </c>
      <c r="I193">
        <v>4477.8</v>
      </c>
      <c r="J193" t="s">
        <v>15</v>
      </c>
      <c r="K193" t="str">
        <f t="shared" si="2"/>
        <v>49+ Months</v>
      </c>
      <c r="L193">
        <f>IF(Table13[[#This Row],[Churn]]="Yes",1,0)</f>
        <v>0</v>
      </c>
    </row>
    <row r="194" spans="1:12" x14ac:dyDescent="0.35">
      <c r="A194" t="s">
        <v>216</v>
      </c>
      <c r="B194" t="s">
        <v>11</v>
      </c>
      <c r="C194">
        <v>53</v>
      </c>
      <c r="D194">
        <v>38</v>
      </c>
      <c r="E194" t="s">
        <v>21</v>
      </c>
      <c r="F194" t="s">
        <v>13</v>
      </c>
      <c r="G194" t="s">
        <v>23</v>
      </c>
      <c r="H194">
        <v>31.39</v>
      </c>
      <c r="I194">
        <v>1075.6300000000001</v>
      </c>
      <c r="J194" t="s">
        <v>15</v>
      </c>
      <c r="K194" t="str">
        <f t="shared" ref="K194:K257" si="3">IF(D194&lt;=12,"0-12 Months",IF(D194&lt;=24,"13-24 Months",IF(D194&lt;=48,"25-48 Months","49+ Months")))</f>
        <v>25-48 Months</v>
      </c>
      <c r="L194">
        <f>IF(Table13[[#This Row],[Churn]]="Yes",1,0)</f>
        <v>0</v>
      </c>
    </row>
    <row r="195" spans="1:12" x14ac:dyDescent="0.35">
      <c r="A195" t="s">
        <v>217</v>
      </c>
      <c r="B195" t="s">
        <v>11</v>
      </c>
      <c r="C195">
        <v>18</v>
      </c>
      <c r="D195">
        <v>32</v>
      </c>
      <c r="E195" t="s">
        <v>18</v>
      </c>
      <c r="F195" t="s">
        <v>22</v>
      </c>
      <c r="G195" t="s">
        <v>19</v>
      </c>
      <c r="H195">
        <v>28.56</v>
      </c>
      <c r="I195">
        <v>892.38</v>
      </c>
      <c r="J195" t="s">
        <v>15</v>
      </c>
      <c r="K195" t="str">
        <f t="shared" si="3"/>
        <v>25-48 Months</v>
      </c>
      <c r="L195">
        <f>IF(Table13[[#This Row],[Churn]]="Yes",1,0)</f>
        <v>0</v>
      </c>
    </row>
    <row r="196" spans="1:12" x14ac:dyDescent="0.35">
      <c r="A196" t="s">
        <v>218</v>
      </c>
      <c r="B196" t="s">
        <v>11</v>
      </c>
      <c r="C196">
        <v>25</v>
      </c>
      <c r="D196">
        <v>11</v>
      </c>
      <c r="E196" t="s">
        <v>12</v>
      </c>
      <c r="F196" t="s">
        <v>33</v>
      </c>
      <c r="G196" t="s">
        <v>19</v>
      </c>
      <c r="H196">
        <v>135.87</v>
      </c>
      <c r="I196">
        <v>1435.33</v>
      </c>
      <c r="J196" t="s">
        <v>27</v>
      </c>
      <c r="K196" t="str">
        <f t="shared" si="3"/>
        <v>0-12 Months</v>
      </c>
      <c r="L196">
        <f>IF(Table13[[#This Row],[Churn]]="Yes",1,0)</f>
        <v>1</v>
      </c>
    </row>
    <row r="197" spans="1:12" x14ac:dyDescent="0.35">
      <c r="A197" t="s">
        <v>219</v>
      </c>
      <c r="B197" t="s">
        <v>17</v>
      </c>
      <c r="C197">
        <v>66</v>
      </c>
      <c r="D197">
        <v>45</v>
      </c>
      <c r="E197" t="s">
        <v>12</v>
      </c>
      <c r="F197" t="s">
        <v>22</v>
      </c>
      <c r="G197" t="s">
        <v>23</v>
      </c>
      <c r="H197">
        <v>80.3</v>
      </c>
      <c r="I197">
        <v>3279.18</v>
      </c>
      <c r="J197" t="s">
        <v>15</v>
      </c>
      <c r="K197" t="str">
        <f t="shared" si="3"/>
        <v>25-48 Months</v>
      </c>
      <c r="L197">
        <f>IF(Table13[[#This Row],[Churn]]="Yes",1,0)</f>
        <v>0</v>
      </c>
    </row>
    <row r="198" spans="1:12" x14ac:dyDescent="0.35">
      <c r="A198" t="s">
        <v>220</v>
      </c>
      <c r="B198" t="s">
        <v>17</v>
      </c>
      <c r="C198">
        <v>52</v>
      </c>
      <c r="D198">
        <v>33</v>
      </c>
      <c r="E198" t="s">
        <v>12</v>
      </c>
      <c r="F198" t="s">
        <v>22</v>
      </c>
      <c r="G198" t="s">
        <v>23</v>
      </c>
      <c r="H198">
        <v>61.6</v>
      </c>
      <c r="I198">
        <v>2034.98</v>
      </c>
      <c r="J198" t="s">
        <v>15</v>
      </c>
      <c r="K198" t="str">
        <f t="shared" si="3"/>
        <v>25-48 Months</v>
      </c>
      <c r="L198">
        <f>IF(Table13[[#This Row],[Churn]]="Yes",1,0)</f>
        <v>0</v>
      </c>
    </row>
    <row r="199" spans="1:12" x14ac:dyDescent="0.35">
      <c r="A199" t="s">
        <v>221</v>
      </c>
      <c r="B199" t="s">
        <v>17</v>
      </c>
      <c r="C199">
        <v>69</v>
      </c>
      <c r="D199">
        <v>41</v>
      </c>
      <c r="E199" t="s">
        <v>18</v>
      </c>
      <c r="F199" t="s">
        <v>33</v>
      </c>
      <c r="G199" t="s">
        <v>23</v>
      </c>
      <c r="H199">
        <v>81.94</v>
      </c>
      <c r="I199">
        <v>3294.39</v>
      </c>
      <c r="J199" t="s">
        <v>15</v>
      </c>
      <c r="K199" t="str">
        <f t="shared" si="3"/>
        <v>25-48 Months</v>
      </c>
      <c r="L199">
        <f>IF(Table13[[#This Row],[Churn]]="Yes",1,0)</f>
        <v>0</v>
      </c>
    </row>
    <row r="200" spans="1:12" x14ac:dyDescent="0.35">
      <c r="A200" t="s">
        <v>222</v>
      </c>
      <c r="B200" t="s">
        <v>11</v>
      </c>
      <c r="C200">
        <v>32</v>
      </c>
      <c r="D200">
        <v>8</v>
      </c>
      <c r="E200" t="s">
        <v>12</v>
      </c>
      <c r="F200" t="s">
        <v>13</v>
      </c>
      <c r="G200" t="s">
        <v>14</v>
      </c>
      <c r="H200">
        <v>61.38</v>
      </c>
      <c r="I200">
        <v>504.25</v>
      </c>
      <c r="J200" t="s">
        <v>15</v>
      </c>
      <c r="K200" t="str">
        <f t="shared" si="3"/>
        <v>0-12 Months</v>
      </c>
      <c r="L200">
        <f>IF(Table13[[#This Row],[Churn]]="Yes",1,0)</f>
        <v>0</v>
      </c>
    </row>
    <row r="201" spans="1:12" x14ac:dyDescent="0.35">
      <c r="A201" t="s">
        <v>223</v>
      </c>
      <c r="B201" t="s">
        <v>11</v>
      </c>
      <c r="C201">
        <v>64</v>
      </c>
      <c r="D201">
        <v>11</v>
      </c>
      <c r="E201" t="s">
        <v>12</v>
      </c>
      <c r="F201" t="s">
        <v>33</v>
      </c>
      <c r="G201" t="s">
        <v>23</v>
      </c>
      <c r="H201">
        <v>83.57</v>
      </c>
      <c r="I201">
        <v>941.55</v>
      </c>
      <c r="J201" t="s">
        <v>15</v>
      </c>
      <c r="K201" t="str">
        <f t="shared" si="3"/>
        <v>0-12 Months</v>
      </c>
      <c r="L201">
        <f>IF(Table13[[#This Row],[Churn]]="Yes",1,0)</f>
        <v>0</v>
      </c>
    </row>
    <row r="202" spans="1:12" x14ac:dyDescent="0.35">
      <c r="A202" t="s">
        <v>224</v>
      </c>
      <c r="B202" t="s">
        <v>11</v>
      </c>
      <c r="C202">
        <v>39</v>
      </c>
      <c r="D202">
        <v>51</v>
      </c>
      <c r="E202" t="s">
        <v>12</v>
      </c>
      <c r="F202" t="s">
        <v>29</v>
      </c>
      <c r="G202" t="s">
        <v>14</v>
      </c>
      <c r="H202">
        <v>131.74</v>
      </c>
      <c r="I202">
        <v>6209.12</v>
      </c>
      <c r="J202" t="s">
        <v>15</v>
      </c>
      <c r="K202" t="str">
        <f t="shared" si="3"/>
        <v>49+ Months</v>
      </c>
      <c r="L202">
        <f>IF(Table13[[#This Row],[Churn]]="Yes",1,0)</f>
        <v>0</v>
      </c>
    </row>
    <row r="203" spans="1:12" x14ac:dyDescent="0.35">
      <c r="A203" t="s">
        <v>225</v>
      </c>
      <c r="B203" t="s">
        <v>17</v>
      </c>
      <c r="C203">
        <v>31</v>
      </c>
      <c r="D203">
        <v>41</v>
      </c>
      <c r="E203" t="s">
        <v>21</v>
      </c>
      <c r="F203" t="s">
        <v>33</v>
      </c>
      <c r="G203" t="s">
        <v>14</v>
      </c>
      <c r="H203">
        <v>97</v>
      </c>
      <c r="I203">
        <v>4356.38</v>
      </c>
      <c r="J203" t="s">
        <v>15</v>
      </c>
      <c r="K203" t="str">
        <f t="shared" si="3"/>
        <v>25-48 Months</v>
      </c>
      <c r="L203">
        <f>IF(Table13[[#This Row],[Churn]]="Yes",1,0)</f>
        <v>0</v>
      </c>
    </row>
    <row r="204" spans="1:12" x14ac:dyDescent="0.35">
      <c r="A204" t="s">
        <v>226</v>
      </c>
      <c r="B204" t="s">
        <v>11</v>
      </c>
      <c r="C204">
        <v>43</v>
      </c>
      <c r="D204">
        <v>17</v>
      </c>
      <c r="E204" t="s">
        <v>12</v>
      </c>
      <c r="F204" t="s">
        <v>13</v>
      </c>
      <c r="G204" t="s">
        <v>14</v>
      </c>
      <c r="H204">
        <v>110.3</v>
      </c>
      <c r="I204">
        <v>1757.69</v>
      </c>
      <c r="J204" t="s">
        <v>15</v>
      </c>
      <c r="K204" t="str">
        <f t="shared" si="3"/>
        <v>13-24 Months</v>
      </c>
      <c r="L204">
        <f>IF(Table13[[#This Row],[Churn]]="Yes",1,0)</f>
        <v>0</v>
      </c>
    </row>
    <row r="205" spans="1:12" x14ac:dyDescent="0.35">
      <c r="A205" t="s">
        <v>227</v>
      </c>
      <c r="B205" t="s">
        <v>11</v>
      </c>
      <c r="C205">
        <v>45</v>
      </c>
      <c r="D205">
        <v>46</v>
      </c>
      <c r="E205" t="s">
        <v>21</v>
      </c>
      <c r="F205" t="s">
        <v>13</v>
      </c>
      <c r="G205" t="s">
        <v>14</v>
      </c>
      <c r="H205">
        <v>67.41</v>
      </c>
      <c r="I205">
        <v>3066.92</v>
      </c>
      <c r="J205" t="s">
        <v>15</v>
      </c>
      <c r="K205" t="str">
        <f t="shared" si="3"/>
        <v>25-48 Months</v>
      </c>
      <c r="L205">
        <f>IF(Table13[[#This Row],[Churn]]="Yes",1,0)</f>
        <v>0</v>
      </c>
    </row>
    <row r="206" spans="1:12" x14ac:dyDescent="0.35">
      <c r="A206" t="s">
        <v>228</v>
      </c>
      <c r="B206" t="s">
        <v>17</v>
      </c>
      <c r="C206">
        <v>40</v>
      </c>
      <c r="D206">
        <v>32</v>
      </c>
      <c r="E206" t="s">
        <v>18</v>
      </c>
      <c r="F206" t="s">
        <v>29</v>
      </c>
      <c r="G206" t="s">
        <v>14</v>
      </c>
      <c r="H206">
        <v>116.01</v>
      </c>
      <c r="I206">
        <v>3703.5</v>
      </c>
      <c r="J206" t="s">
        <v>27</v>
      </c>
      <c r="K206" t="str">
        <f t="shared" si="3"/>
        <v>25-48 Months</v>
      </c>
      <c r="L206">
        <f>IF(Table13[[#This Row],[Churn]]="Yes",1,0)</f>
        <v>1</v>
      </c>
    </row>
    <row r="207" spans="1:12" x14ac:dyDescent="0.35">
      <c r="A207" t="s">
        <v>229</v>
      </c>
      <c r="B207" t="s">
        <v>11</v>
      </c>
      <c r="C207">
        <v>31</v>
      </c>
      <c r="D207">
        <v>54</v>
      </c>
      <c r="E207" t="s">
        <v>12</v>
      </c>
      <c r="F207" t="s">
        <v>22</v>
      </c>
      <c r="G207" t="s">
        <v>14</v>
      </c>
      <c r="H207">
        <v>106.66</v>
      </c>
      <c r="I207">
        <v>6120.27</v>
      </c>
      <c r="J207" t="s">
        <v>15</v>
      </c>
      <c r="K207" t="str">
        <f t="shared" si="3"/>
        <v>49+ Months</v>
      </c>
      <c r="L207">
        <f>IF(Table13[[#This Row],[Churn]]="Yes",1,0)</f>
        <v>0</v>
      </c>
    </row>
    <row r="208" spans="1:12" x14ac:dyDescent="0.35">
      <c r="A208" t="s">
        <v>230</v>
      </c>
      <c r="B208" t="s">
        <v>17</v>
      </c>
      <c r="C208">
        <v>41</v>
      </c>
      <c r="D208">
        <v>20</v>
      </c>
      <c r="E208" t="s">
        <v>18</v>
      </c>
      <c r="F208" t="s">
        <v>29</v>
      </c>
      <c r="G208" t="s">
        <v>14</v>
      </c>
      <c r="H208">
        <v>35.54</v>
      </c>
      <c r="I208">
        <v>653.83000000000004</v>
      </c>
      <c r="J208" t="s">
        <v>27</v>
      </c>
      <c r="K208" t="str">
        <f t="shared" si="3"/>
        <v>13-24 Months</v>
      </c>
      <c r="L208">
        <f>IF(Table13[[#This Row],[Churn]]="Yes",1,0)</f>
        <v>1</v>
      </c>
    </row>
    <row r="209" spans="1:12" x14ac:dyDescent="0.35">
      <c r="A209" t="s">
        <v>231</v>
      </c>
      <c r="B209" t="s">
        <v>17</v>
      </c>
      <c r="C209">
        <v>19</v>
      </c>
      <c r="D209">
        <v>33</v>
      </c>
      <c r="E209" t="s">
        <v>12</v>
      </c>
      <c r="F209" t="s">
        <v>33</v>
      </c>
      <c r="G209" t="s">
        <v>19</v>
      </c>
      <c r="H209">
        <v>94.44</v>
      </c>
      <c r="I209">
        <v>3072.04</v>
      </c>
      <c r="J209" t="s">
        <v>15</v>
      </c>
      <c r="K209" t="str">
        <f t="shared" si="3"/>
        <v>25-48 Months</v>
      </c>
      <c r="L209">
        <f>IF(Table13[[#This Row],[Churn]]="Yes",1,0)</f>
        <v>0</v>
      </c>
    </row>
    <row r="210" spans="1:12" x14ac:dyDescent="0.35">
      <c r="A210" t="s">
        <v>232</v>
      </c>
      <c r="B210" t="s">
        <v>17</v>
      </c>
      <c r="C210">
        <v>62</v>
      </c>
      <c r="D210">
        <v>40</v>
      </c>
      <c r="E210" t="s">
        <v>18</v>
      </c>
      <c r="F210" t="s">
        <v>33</v>
      </c>
      <c r="G210" t="s">
        <v>23</v>
      </c>
      <c r="H210">
        <v>53.38</v>
      </c>
      <c r="I210">
        <v>2190.08</v>
      </c>
      <c r="J210" t="s">
        <v>27</v>
      </c>
      <c r="K210" t="str">
        <f t="shared" si="3"/>
        <v>25-48 Months</v>
      </c>
      <c r="L210">
        <f>IF(Table13[[#This Row],[Churn]]="Yes",1,0)</f>
        <v>1</v>
      </c>
    </row>
    <row r="211" spans="1:12" x14ac:dyDescent="0.35">
      <c r="A211" t="s">
        <v>233</v>
      </c>
      <c r="B211" t="s">
        <v>11</v>
      </c>
      <c r="C211">
        <v>43</v>
      </c>
      <c r="D211">
        <v>32</v>
      </c>
      <c r="E211" t="s">
        <v>21</v>
      </c>
      <c r="F211" t="s">
        <v>29</v>
      </c>
      <c r="G211" t="s">
        <v>14</v>
      </c>
      <c r="H211">
        <v>124.53</v>
      </c>
      <c r="I211">
        <v>3757.94</v>
      </c>
      <c r="J211" t="s">
        <v>27</v>
      </c>
      <c r="K211" t="str">
        <f t="shared" si="3"/>
        <v>25-48 Months</v>
      </c>
      <c r="L211">
        <f>IF(Table13[[#This Row],[Churn]]="Yes",1,0)</f>
        <v>1</v>
      </c>
    </row>
    <row r="212" spans="1:12" x14ac:dyDescent="0.35">
      <c r="A212" t="s">
        <v>234</v>
      </c>
      <c r="B212" t="s">
        <v>11</v>
      </c>
      <c r="C212">
        <v>31</v>
      </c>
      <c r="D212">
        <v>2</v>
      </c>
      <c r="E212" t="s">
        <v>18</v>
      </c>
      <c r="F212" t="s">
        <v>33</v>
      </c>
      <c r="G212" t="s">
        <v>14</v>
      </c>
      <c r="H212">
        <v>75.37</v>
      </c>
      <c r="I212">
        <v>154.58000000000001</v>
      </c>
      <c r="J212" t="s">
        <v>27</v>
      </c>
      <c r="K212" t="str">
        <f t="shared" si="3"/>
        <v>0-12 Months</v>
      </c>
      <c r="L212">
        <f>IF(Table13[[#This Row],[Churn]]="Yes",1,0)</f>
        <v>1</v>
      </c>
    </row>
    <row r="213" spans="1:12" x14ac:dyDescent="0.35">
      <c r="A213" t="s">
        <v>235</v>
      </c>
      <c r="B213" t="s">
        <v>11</v>
      </c>
      <c r="C213">
        <v>68</v>
      </c>
      <c r="D213">
        <v>33</v>
      </c>
      <c r="E213" t="s">
        <v>12</v>
      </c>
      <c r="F213" t="s">
        <v>22</v>
      </c>
      <c r="G213" t="s">
        <v>23</v>
      </c>
      <c r="H213">
        <v>149.31</v>
      </c>
      <c r="I213">
        <v>5344.73</v>
      </c>
      <c r="J213" t="s">
        <v>15</v>
      </c>
      <c r="K213" t="str">
        <f t="shared" si="3"/>
        <v>25-48 Months</v>
      </c>
      <c r="L213">
        <f>IF(Table13[[#This Row],[Churn]]="Yes",1,0)</f>
        <v>0</v>
      </c>
    </row>
    <row r="214" spans="1:12" x14ac:dyDescent="0.35">
      <c r="A214" t="s">
        <v>236</v>
      </c>
      <c r="B214" t="s">
        <v>11</v>
      </c>
      <c r="C214">
        <v>24</v>
      </c>
      <c r="D214">
        <v>30</v>
      </c>
      <c r="E214" t="s">
        <v>12</v>
      </c>
      <c r="F214" t="s">
        <v>22</v>
      </c>
      <c r="G214" t="s">
        <v>19</v>
      </c>
      <c r="H214">
        <v>32.03</v>
      </c>
      <c r="I214">
        <v>1056.51</v>
      </c>
      <c r="J214" t="s">
        <v>27</v>
      </c>
      <c r="K214" t="str">
        <f t="shared" si="3"/>
        <v>25-48 Months</v>
      </c>
      <c r="L214">
        <f>IF(Table13[[#This Row],[Churn]]="Yes",1,0)</f>
        <v>1</v>
      </c>
    </row>
    <row r="215" spans="1:12" x14ac:dyDescent="0.35">
      <c r="A215" t="s">
        <v>237</v>
      </c>
      <c r="B215" t="s">
        <v>11</v>
      </c>
      <c r="C215">
        <v>20</v>
      </c>
      <c r="D215">
        <v>33</v>
      </c>
      <c r="E215" t="s">
        <v>12</v>
      </c>
      <c r="F215" t="s">
        <v>13</v>
      </c>
      <c r="G215" t="s">
        <v>19</v>
      </c>
      <c r="H215">
        <v>121.45</v>
      </c>
      <c r="I215">
        <v>3633.08</v>
      </c>
      <c r="J215" t="s">
        <v>15</v>
      </c>
      <c r="K215" t="str">
        <f t="shared" si="3"/>
        <v>25-48 Months</v>
      </c>
      <c r="L215">
        <f>IF(Table13[[#This Row],[Churn]]="Yes",1,0)</f>
        <v>0</v>
      </c>
    </row>
    <row r="216" spans="1:12" x14ac:dyDescent="0.35">
      <c r="A216" t="s">
        <v>238</v>
      </c>
      <c r="B216" t="s">
        <v>11</v>
      </c>
      <c r="C216">
        <v>64</v>
      </c>
      <c r="D216">
        <v>26</v>
      </c>
      <c r="E216" t="s">
        <v>12</v>
      </c>
      <c r="F216" t="s">
        <v>29</v>
      </c>
      <c r="G216" t="s">
        <v>23</v>
      </c>
      <c r="H216">
        <v>107.58</v>
      </c>
      <c r="I216">
        <v>2649.16</v>
      </c>
      <c r="J216" t="s">
        <v>27</v>
      </c>
      <c r="K216" t="str">
        <f t="shared" si="3"/>
        <v>25-48 Months</v>
      </c>
      <c r="L216">
        <f>IF(Table13[[#This Row],[Churn]]="Yes",1,0)</f>
        <v>1</v>
      </c>
    </row>
    <row r="217" spans="1:12" x14ac:dyDescent="0.35">
      <c r="A217" t="s">
        <v>239</v>
      </c>
      <c r="B217" t="s">
        <v>11</v>
      </c>
      <c r="C217">
        <v>40</v>
      </c>
      <c r="D217">
        <v>22</v>
      </c>
      <c r="E217" t="s">
        <v>12</v>
      </c>
      <c r="F217" t="s">
        <v>29</v>
      </c>
      <c r="G217" t="s">
        <v>14</v>
      </c>
      <c r="H217">
        <v>119.77</v>
      </c>
      <c r="I217">
        <v>2534.9699999999998</v>
      </c>
      <c r="J217" t="s">
        <v>15</v>
      </c>
      <c r="K217" t="str">
        <f t="shared" si="3"/>
        <v>13-24 Months</v>
      </c>
      <c r="L217">
        <f>IF(Table13[[#This Row],[Churn]]="Yes",1,0)</f>
        <v>0</v>
      </c>
    </row>
    <row r="218" spans="1:12" x14ac:dyDescent="0.35">
      <c r="A218" t="s">
        <v>240</v>
      </c>
      <c r="B218" t="s">
        <v>17</v>
      </c>
      <c r="C218">
        <v>63</v>
      </c>
      <c r="D218">
        <v>66</v>
      </c>
      <c r="E218" t="s">
        <v>12</v>
      </c>
      <c r="F218" t="s">
        <v>29</v>
      </c>
      <c r="G218" t="s">
        <v>23</v>
      </c>
      <c r="H218">
        <v>59.98</v>
      </c>
      <c r="I218">
        <v>3878.81</v>
      </c>
      <c r="J218" t="s">
        <v>27</v>
      </c>
      <c r="K218" t="str">
        <f t="shared" si="3"/>
        <v>49+ Months</v>
      </c>
      <c r="L218">
        <f>IF(Table13[[#This Row],[Churn]]="Yes",1,0)</f>
        <v>1</v>
      </c>
    </row>
    <row r="219" spans="1:12" x14ac:dyDescent="0.35">
      <c r="A219" t="s">
        <v>241</v>
      </c>
      <c r="B219" t="s">
        <v>11</v>
      </c>
      <c r="C219">
        <v>60</v>
      </c>
      <c r="D219">
        <v>38</v>
      </c>
      <c r="E219" t="s">
        <v>12</v>
      </c>
      <c r="F219" t="s">
        <v>33</v>
      </c>
      <c r="G219" t="s">
        <v>23</v>
      </c>
      <c r="H219">
        <v>83.97</v>
      </c>
      <c r="I219">
        <v>3026.38</v>
      </c>
      <c r="J219" t="s">
        <v>15</v>
      </c>
      <c r="K219" t="str">
        <f t="shared" si="3"/>
        <v>25-48 Months</v>
      </c>
      <c r="L219">
        <f>IF(Table13[[#This Row],[Churn]]="Yes",1,0)</f>
        <v>0</v>
      </c>
    </row>
    <row r="220" spans="1:12" x14ac:dyDescent="0.35">
      <c r="A220" t="s">
        <v>242</v>
      </c>
      <c r="B220" t="s">
        <v>17</v>
      </c>
      <c r="C220">
        <v>64</v>
      </c>
      <c r="D220">
        <v>46</v>
      </c>
      <c r="E220" t="s">
        <v>12</v>
      </c>
      <c r="F220" t="s">
        <v>29</v>
      </c>
      <c r="G220" t="s">
        <v>23</v>
      </c>
      <c r="H220">
        <v>123.55</v>
      </c>
      <c r="I220">
        <v>5346.27</v>
      </c>
      <c r="J220" t="s">
        <v>15</v>
      </c>
      <c r="K220" t="str">
        <f t="shared" si="3"/>
        <v>25-48 Months</v>
      </c>
      <c r="L220">
        <f>IF(Table13[[#This Row],[Churn]]="Yes",1,0)</f>
        <v>0</v>
      </c>
    </row>
    <row r="221" spans="1:12" x14ac:dyDescent="0.35">
      <c r="A221" t="s">
        <v>243</v>
      </c>
      <c r="B221" t="s">
        <v>11</v>
      </c>
      <c r="C221">
        <v>62</v>
      </c>
      <c r="D221">
        <v>15</v>
      </c>
      <c r="E221" t="s">
        <v>18</v>
      </c>
      <c r="F221" t="s">
        <v>33</v>
      </c>
      <c r="G221" t="s">
        <v>23</v>
      </c>
      <c r="H221">
        <v>50.23</v>
      </c>
      <c r="I221">
        <v>821.95</v>
      </c>
      <c r="J221" t="s">
        <v>27</v>
      </c>
      <c r="K221" t="str">
        <f t="shared" si="3"/>
        <v>13-24 Months</v>
      </c>
      <c r="L221">
        <f>IF(Table13[[#This Row],[Churn]]="Yes",1,0)</f>
        <v>1</v>
      </c>
    </row>
    <row r="222" spans="1:12" x14ac:dyDescent="0.35">
      <c r="A222" t="s">
        <v>244</v>
      </c>
      <c r="B222" t="s">
        <v>11</v>
      </c>
      <c r="C222">
        <v>35</v>
      </c>
      <c r="D222">
        <v>44</v>
      </c>
      <c r="E222" t="s">
        <v>12</v>
      </c>
      <c r="F222" t="s">
        <v>29</v>
      </c>
      <c r="G222" t="s">
        <v>14</v>
      </c>
      <c r="H222">
        <v>49.38</v>
      </c>
      <c r="I222">
        <v>2354.59</v>
      </c>
      <c r="J222" t="s">
        <v>15</v>
      </c>
      <c r="K222" t="str">
        <f t="shared" si="3"/>
        <v>25-48 Months</v>
      </c>
      <c r="L222">
        <f>IF(Table13[[#This Row],[Churn]]="Yes",1,0)</f>
        <v>0</v>
      </c>
    </row>
    <row r="223" spans="1:12" x14ac:dyDescent="0.35">
      <c r="A223" t="s">
        <v>245</v>
      </c>
      <c r="B223" t="s">
        <v>11</v>
      </c>
      <c r="C223">
        <v>55</v>
      </c>
      <c r="D223">
        <v>49</v>
      </c>
      <c r="E223" t="s">
        <v>12</v>
      </c>
      <c r="F223" t="s">
        <v>13</v>
      </c>
      <c r="G223" t="s">
        <v>23</v>
      </c>
      <c r="H223">
        <v>91.64</v>
      </c>
      <c r="I223">
        <v>4083.53</v>
      </c>
      <c r="J223" t="s">
        <v>15</v>
      </c>
      <c r="K223" t="str">
        <f t="shared" si="3"/>
        <v>49+ Months</v>
      </c>
      <c r="L223">
        <f>IF(Table13[[#This Row],[Churn]]="Yes",1,0)</f>
        <v>0</v>
      </c>
    </row>
    <row r="224" spans="1:12" x14ac:dyDescent="0.35">
      <c r="A224" t="s">
        <v>246</v>
      </c>
      <c r="B224" t="s">
        <v>17</v>
      </c>
      <c r="C224">
        <v>52</v>
      </c>
      <c r="D224">
        <v>61</v>
      </c>
      <c r="E224" t="s">
        <v>12</v>
      </c>
      <c r="F224" t="s">
        <v>22</v>
      </c>
      <c r="G224" t="s">
        <v>23</v>
      </c>
      <c r="H224">
        <v>88.06</v>
      </c>
      <c r="I224">
        <v>5198.49</v>
      </c>
      <c r="J224" t="s">
        <v>27</v>
      </c>
      <c r="K224" t="str">
        <f t="shared" si="3"/>
        <v>49+ Months</v>
      </c>
      <c r="L224">
        <f>IF(Table13[[#This Row],[Churn]]="Yes",1,0)</f>
        <v>1</v>
      </c>
    </row>
    <row r="225" spans="1:12" x14ac:dyDescent="0.35">
      <c r="A225" t="s">
        <v>247</v>
      </c>
      <c r="B225" t="s">
        <v>17</v>
      </c>
      <c r="C225">
        <v>68</v>
      </c>
      <c r="D225">
        <v>67</v>
      </c>
      <c r="E225" t="s">
        <v>12</v>
      </c>
      <c r="F225" t="s">
        <v>33</v>
      </c>
      <c r="G225" t="s">
        <v>23</v>
      </c>
      <c r="H225">
        <v>56.69</v>
      </c>
      <c r="I225">
        <v>3726.18</v>
      </c>
      <c r="J225" t="s">
        <v>15</v>
      </c>
      <c r="K225" t="str">
        <f t="shared" si="3"/>
        <v>49+ Months</v>
      </c>
      <c r="L225">
        <f>IF(Table13[[#This Row],[Churn]]="Yes",1,0)</f>
        <v>0</v>
      </c>
    </row>
    <row r="226" spans="1:12" x14ac:dyDescent="0.35">
      <c r="A226" t="s">
        <v>248</v>
      </c>
      <c r="B226" t="s">
        <v>17</v>
      </c>
      <c r="C226">
        <v>32</v>
      </c>
      <c r="D226">
        <v>6</v>
      </c>
      <c r="E226" t="s">
        <v>18</v>
      </c>
      <c r="F226" t="s">
        <v>29</v>
      </c>
      <c r="G226" t="s">
        <v>14</v>
      </c>
      <c r="H226">
        <v>58.75</v>
      </c>
      <c r="I226">
        <v>334.1</v>
      </c>
      <c r="J226" t="s">
        <v>15</v>
      </c>
      <c r="K226" t="str">
        <f t="shared" si="3"/>
        <v>0-12 Months</v>
      </c>
      <c r="L226">
        <f>IF(Table13[[#This Row],[Churn]]="Yes",1,0)</f>
        <v>0</v>
      </c>
    </row>
    <row r="227" spans="1:12" x14ac:dyDescent="0.35">
      <c r="A227" t="s">
        <v>249</v>
      </c>
      <c r="B227" t="s">
        <v>17</v>
      </c>
      <c r="C227">
        <v>42</v>
      </c>
      <c r="D227">
        <v>9</v>
      </c>
      <c r="E227" t="s">
        <v>12</v>
      </c>
      <c r="F227" t="s">
        <v>13</v>
      </c>
      <c r="G227" t="s">
        <v>14</v>
      </c>
      <c r="H227">
        <v>56.12</v>
      </c>
      <c r="I227">
        <v>518.1</v>
      </c>
      <c r="J227" t="s">
        <v>15</v>
      </c>
      <c r="K227" t="str">
        <f t="shared" si="3"/>
        <v>0-12 Months</v>
      </c>
      <c r="L227">
        <f>IF(Table13[[#This Row],[Churn]]="Yes",1,0)</f>
        <v>0</v>
      </c>
    </row>
    <row r="228" spans="1:12" x14ac:dyDescent="0.35">
      <c r="A228" t="s">
        <v>250</v>
      </c>
      <c r="B228" t="s">
        <v>11</v>
      </c>
      <c r="C228">
        <v>54</v>
      </c>
      <c r="D228">
        <v>6</v>
      </c>
      <c r="E228" t="s">
        <v>21</v>
      </c>
      <c r="F228" t="s">
        <v>13</v>
      </c>
      <c r="G228" t="s">
        <v>23</v>
      </c>
      <c r="H228">
        <v>120.3</v>
      </c>
      <c r="I228">
        <v>742.07</v>
      </c>
      <c r="J228" t="s">
        <v>27</v>
      </c>
      <c r="K228" t="str">
        <f t="shared" si="3"/>
        <v>0-12 Months</v>
      </c>
      <c r="L228">
        <f>IF(Table13[[#This Row],[Churn]]="Yes",1,0)</f>
        <v>1</v>
      </c>
    </row>
    <row r="229" spans="1:12" x14ac:dyDescent="0.35">
      <c r="A229" t="s">
        <v>251</v>
      </c>
      <c r="B229" t="s">
        <v>17</v>
      </c>
      <c r="C229">
        <v>45</v>
      </c>
      <c r="D229">
        <v>32</v>
      </c>
      <c r="E229" t="s">
        <v>18</v>
      </c>
      <c r="F229" t="s">
        <v>29</v>
      </c>
      <c r="G229" t="s">
        <v>14</v>
      </c>
      <c r="H229">
        <v>104.75</v>
      </c>
      <c r="I229">
        <v>3586.98</v>
      </c>
      <c r="J229" t="s">
        <v>15</v>
      </c>
      <c r="K229" t="str">
        <f t="shared" si="3"/>
        <v>25-48 Months</v>
      </c>
      <c r="L229">
        <f>IF(Table13[[#This Row],[Churn]]="Yes",1,0)</f>
        <v>0</v>
      </c>
    </row>
    <row r="230" spans="1:12" x14ac:dyDescent="0.35">
      <c r="A230" t="s">
        <v>252</v>
      </c>
      <c r="B230" t="s">
        <v>11</v>
      </c>
      <c r="C230">
        <v>27</v>
      </c>
      <c r="D230">
        <v>41</v>
      </c>
      <c r="E230" t="s">
        <v>18</v>
      </c>
      <c r="F230" t="s">
        <v>29</v>
      </c>
      <c r="G230" t="s">
        <v>19</v>
      </c>
      <c r="H230">
        <v>128.21</v>
      </c>
      <c r="I230">
        <v>5509.84</v>
      </c>
      <c r="J230" t="s">
        <v>15</v>
      </c>
      <c r="K230" t="str">
        <f t="shared" si="3"/>
        <v>25-48 Months</v>
      </c>
      <c r="L230">
        <f>IF(Table13[[#This Row],[Churn]]="Yes",1,0)</f>
        <v>0</v>
      </c>
    </row>
    <row r="231" spans="1:12" x14ac:dyDescent="0.35">
      <c r="A231" t="s">
        <v>253</v>
      </c>
      <c r="B231" t="s">
        <v>11</v>
      </c>
      <c r="C231">
        <v>56</v>
      </c>
      <c r="D231">
        <v>8</v>
      </c>
      <c r="E231" t="s">
        <v>21</v>
      </c>
      <c r="F231" t="s">
        <v>13</v>
      </c>
      <c r="G231" t="s">
        <v>23</v>
      </c>
      <c r="H231">
        <v>146.81</v>
      </c>
      <c r="I231">
        <v>1184.48</v>
      </c>
      <c r="J231" t="s">
        <v>15</v>
      </c>
      <c r="K231" t="str">
        <f t="shared" si="3"/>
        <v>0-12 Months</v>
      </c>
      <c r="L231">
        <f>IF(Table13[[#This Row],[Churn]]="Yes",1,0)</f>
        <v>0</v>
      </c>
    </row>
    <row r="232" spans="1:12" x14ac:dyDescent="0.35">
      <c r="A232" t="s">
        <v>254</v>
      </c>
      <c r="B232" t="s">
        <v>17</v>
      </c>
      <c r="C232">
        <v>34</v>
      </c>
      <c r="D232">
        <v>72</v>
      </c>
      <c r="E232" t="s">
        <v>18</v>
      </c>
      <c r="F232" t="s">
        <v>13</v>
      </c>
      <c r="G232" t="s">
        <v>14</v>
      </c>
      <c r="H232">
        <v>81.64</v>
      </c>
      <c r="I232">
        <v>6058.64</v>
      </c>
      <c r="J232" t="s">
        <v>15</v>
      </c>
      <c r="K232" t="str">
        <f t="shared" si="3"/>
        <v>49+ Months</v>
      </c>
      <c r="L232">
        <f>IF(Table13[[#This Row],[Churn]]="Yes",1,0)</f>
        <v>0</v>
      </c>
    </row>
    <row r="233" spans="1:12" x14ac:dyDescent="0.35">
      <c r="A233" t="s">
        <v>255</v>
      </c>
      <c r="B233" t="s">
        <v>17</v>
      </c>
      <c r="C233">
        <v>56</v>
      </c>
      <c r="D233">
        <v>50</v>
      </c>
      <c r="E233" t="s">
        <v>18</v>
      </c>
      <c r="F233" t="s">
        <v>22</v>
      </c>
      <c r="G233" t="s">
        <v>23</v>
      </c>
      <c r="H233">
        <v>28.67</v>
      </c>
      <c r="I233">
        <v>1368.7</v>
      </c>
      <c r="J233" t="s">
        <v>15</v>
      </c>
      <c r="K233" t="str">
        <f t="shared" si="3"/>
        <v>49+ Months</v>
      </c>
      <c r="L233">
        <f>IF(Table13[[#This Row],[Churn]]="Yes",1,0)</f>
        <v>0</v>
      </c>
    </row>
    <row r="234" spans="1:12" x14ac:dyDescent="0.35">
      <c r="A234" t="s">
        <v>256</v>
      </c>
      <c r="B234" t="s">
        <v>17</v>
      </c>
      <c r="C234">
        <v>39</v>
      </c>
      <c r="D234">
        <v>62</v>
      </c>
      <c r="E234" t="s">
        <v>21</v>
      </c>
      <c r="F234" t="s">
        <v>13</v>
      </c>
      <c r="G234" t="s">
        <v>14</v>
      </c>
      <c r="H234">
        <v>26.25</v>
      </c>
      <c r="I234">
        <v>1657.79</v>
      </c>
      <c r="J234" t="s">
        <v>15</v>
      </c>
      <c r="K234" t="str">
        <f t="shared" si="3"/>
        <v>49+ Months</v>
      </c>
      <c r="L234">
        <f>IF(Table13[[#This Row],[Churn]]="Yes",1,0)</f>
        <v>0</v>
      </c>
    </row>
    <row r="235" spans="1:12" x14ac:dyDescent="0.35">
      <c r="A235" t="s">
        <v>257</v>
      </c>
      <c r="B235" t="s">
        <v>17</v>
      </c>
      <c r="C235">
        <v>43</v>
      </c>
      <c r="D235">
        <v>62</v>
      </c>
      <c r="E235" t="s">
        <v>21</v>
      </c>
      <c r="F235" t="s">
        <v>13</v>
      </c>
      <c r="G235" t="s">
        <v>14</v>
      </c>
      <c r="H235">
        <v>58.44</v>
      </c>
      <c r="I235">
        <v>3615.47</v>
      </c>
      <c r="J235" t="s">
        <v>15</v>
      </c>
      <c r="K235" t="str">
        <f t="shared" si="3"/>
        <v>49+ Months</v>
      </c>
      <c r="L235">
        <f>IF(Table13[[#This Row],[Churn]]="Yes",1,0)</f>
        <v>0</v>
      </c>
    </row>
    <row r="236" spans="1:12" x14ac:dyDescent="0.35">
      <c r="A236" t="s">
        <v>258</v>
      </c>
      <c r="B236" t="s">
        <v>17</v>
      </c>
      <c r="C236">
        <v>61</v>
      </c>
      <c r="D236">
        <v>7</v>
      </c>
      <c r="E236" t="s">
        <v>21</v>
      </c>
      <c r="F236" t="s">
        <v>13</v>
      </c>
      <c r="G236" t="s">
        <v>23</v>
      </c>
      <c r="H236">
        <v>141.22999999999999</v>
      </c>
      <c r="I236">
        <v>916.11</v>
      </c>
      <c r="J236" t="s">
        <v>27</v>
      </c>
      <c r="K236" t="str">
        <f t="shared" si="3"/>
        <v>0-12 Months</v>
      </c>
      <c r="L236">
        <f>IF(Table13[[#This Row],[Churn]]="Yes",1,0)</f>
        <v>1</v>
      </c>
    </row>
    <row r="237" spans="1:12" x14ac:dyDescent="0.35">
      <c r="A237" t="s">
        <v>259</v>
      </c>
      <c r="B237" t="s">
        <v>17</v>
      </c>
      <c r="C237">
        <v>42</v>
      </c>
      <c r="D237">
        <v>4</v>
      </c>
      <c r="E237" t="s">
        <v>12</v>
      </c>
      <c r="F237" t="s">
        <v>22</v>
      </c>
      <c r="G237" t="s">
        <v>14</v>
      </c>
      <c r="H237">
        <v>88.02</v>
      </c>
      <c r="I237">
        <v>333.95</v>
      </c>
      <c r="J237" t="s">
        <v>15</v>
      </c>
      <c r="K237" t="str">
        <f t="shared" si="3"/>
        <v>0-12 Months</v>
      </c>
      <c r="L237">
        <f>IF(Table13[[#This Row],[Churn]]="Yes",1,0)</f>
        <v>0</v>
      </c>
    </row>
    <row r="238" spans="1:12" x14ac:dyDescent="0.35">
      <c r="A238" t="s">
        <v>260</v>
      </c>
      <c r="B238" t="s">
        <v>17</v>
      </c>
      <c r="C238">
        <v>34</v>
      </c>
      <c r="D238">
        <v>6</v>
      </c>
      <c r="E238" t="s">
        <v>21</v>
      </c>
      <c r="F238" t="s">
        <v>33</v>
      </c>
      <c r="G238" t="s">
        <v>14</v>
      </c>
      <c r="H238">
        <v>55.33</v>
      </c>
      <c r="I238">
        <v>318.14999999999998</v>
      </c>
      <c r="J238" t="s">
        <v>15</v>
      </c>
      <c r="K238" t="str">
        <f t="shared" si="3"/>
        <v>0-12 Months</v>
      </c>
      <c r="L238">
        <f>IF(Table13[[#This Row],[Churn]]="Yes",1,0)</f>
        <v>0</v>
      </c>
    </row>
    <row r="239" spans="1:12" x14ac:dyDescent="0.35">
      <c r="A239" t="s">
        <v>261</v>
      </c>
      <c r="B239" t="s">
        <v>17</v>
      </c>
      <c r="C239">
        <v>30</v>
      </c>
      <c r="D239">
        <v>58</v>
      </c>
      <c r="E239" t="s">
        <v>12</v>
      </c>
      <c r="F239" t="s">
        <v>13</v>
      </c>
      <c r="G239" t="s">
        <v>14</v>
      </c>
      <c r="H239">
        <v>71.89</v>
      </c>
      <c r="I239">
        <v>4523.46</v>
      </c>
      <c r="J239" t="s">
        <v>27</v>
      </c>
      <c r="K239" t="str">
        <f t="shared" si="3"/>
        <v>49+ Months</v>
      </c>
      <c r="L239">
        <f>IF(Table13[[#This Row],[Churn]]="Yes",1,0)</f>
        <v>1</v>
      </c>
    </row>
    <row r="240" spans="1:12" x14ac:dyDescent="0.35">
      <c r="A240" t="s">
        <v>262</v>
      </c>
      <c r="B240" t="s">
        <v>11</v>
      </c>
      <c r="C240">
        <v>37</v>
      </c>
      <c r="D240">
        <v>22</v>
      </c>
      <c r="E240" t="s">
        <v>12</v>
      </c>
      <c r="F240" t="s">
        <v>22</v>
      </c>
      <c r="G240" t="s">
        <v>14</v>
      </c>
      <c r="H240">
        <v>97.82</v>
      </c>
      <c r="I240">
        <v>2036</v>
      </c>
      <c r="J240" t="s">
        <v>15</v>
      </c>
      <c r="K240" t="str">
        <f t="shared" si="3"/>
        <v>13-24 Months</v>
      </c>
      <c r="L240">
        <f>IF(Table13[[#This Row],[Churn]]="Yes",1,0)</f>
        <v>0</v>
      </c>
    </row>
    <row r="241" spans="1:12" x14ac:dyDescent="0.35">
      <c r="A241" t="s">
        <v>263</v>
      </c>
      <c r="B241" t="s">
        <v>17</v>
      </c>
      <c r="C241">
        <v>42</v>
      </c>
      <c r="D241">
        <v>26</v>
      </c>
      <c r="E241" t="s">
        <v>12</v>
      </c>
      <c r="F241" t="s">
        <v>29</v>
      </c>
      <c r="G241" t="s">
        <v>14</v>
      </c>
      <c r="H241">
        <v>104.88</v>
      </c>
      <c r="I241">
        <v>2611.94</v>
      </c>
      <c r="J241" t="s">
        <v>27</v>
      </c>
      <c r="K241" t="str">
        <f t="shared" si="3"/>
        <v>25-48 Months</v>
      </c>
      <c r="L241">
        <f>IF(Table13[[#This Row],[Churn]]="Yes",1,0)</f>
        <v>1</v>
      </c>
    </row>
    <row r="242" spans="1:12" x14ac:dyDescent="0.35">
      <c r="A242" t="s">
        <v>264</v>
      </c>
      <c r="B242" t="s">
        <v>17</v>
      </c>
      <c r="C242">
        <v>21</v>
      </c>
      <c r="D242">
        <v>3</v>
      </c>
      <c r="E242" t="s">
        <v>12</v>
      </c>
      <c r="F242" t="s">
        <v>13</v>
      </c>
      <c r="G242" t="s">
        <v>19</v>
      </c>
      <c r="H242">
        <v>40.01</v>
      </c>
      <c r="I242">
        <v>116.89</v>
      </c>
      <c r="J242" t="s">
        <v>27</v>
      </c>
      <c r="K242" t="str">
        <f t="shared" si="3"/>
        <v>0-12 Months</v>
      </c>
      <c r="L242">
        <f>IF(Table13[[#This Row],[Churn]]="Yes",1,0)</f>
        <v>1</v>
      </c>
    </row>
    <row r="243" spans="1:12" x14ac:dyDescent="0.35">
      <c r="A243" t="s">
        <v>265</v>
      </c>
      <c r="B243" t="s">
        <v>11</v>
      </c>
      <c r="C243">
        <v>27</v>
      </c>
      <c r="D243">
        <v>41</v>
      </c>
      <c r="E243" t="s">
        <v>12</v>
      </c>
      <c r="F243" t="s">
        <v>29</v>
      </c>
      <c r="G243" t="s">
        <v>19</v>
      </c>
      <c r="H243">
        <v>147.01</v>
      </c>
      <c r="I243">
        <v>6224.8</v>
      </c>
      <c r="J243" t="s">
        <v>15</v>
      </c>
      <c r="K243" t="str">
        <f t="shared" si="3"/>
        <v>25-48 Months</v>
      </c>
      <c r="L243">
        <f>IF(Table13[[#This Row],[Churn]]="Yes",1,0)</f>
        <v>0</v>
      </c>
    </row>
    <row r="244" spans="1:12" x14ac:dyDescent="0.35">
      <c r="A244" t="s">
        <v>266</v>
      </c>
      <c r="B244" t="s">
        <v>17</v>
      </c>
      <c r="C244">
        <v>20</v>
      </c>
      <c r="D244">
        <v>60</v>
      </c>
      <c r="E244" t="s">
        <v>12</v>
      </c>
      <c r="F244" t="s">
        <v>13</v>
      </c>
      <c r="G244" t="s">
        <v>19</v>
      </c>
      <c r="H244">
        <v>90.82</v>
      </c>
      <c r="I244">
        <v>5033.1400000000003</v>
      </c>
      <c r="J244" t="s">
        <v>15</v>
      </c>
      <c r="K244" t="str">
        <f t="shared" si="3"/>
        <v>49+ Months</v>
      </c>
      <c r="L244">
        <f>IF(Table13[[#This Row],[Churn]]="Yes",1,0)</f>
        <v>0</v>
      </c>
    </row>
    <row r="245" spans="1:12" x14ac:dyDescent="0.35">
      <c r="A245" t="s">
        <v>267</v>
      </c>
      <c r="B245" t="s">
        <v>11</v>
      </c>
      <c r="C245">
        <v>58</v>
      </c>
      <c r="D245">
        <v>14</v>
      </c>
      <c r="E245" t="s">
        <v>21</v>
      </c>
      <c r="F245" t="s">
        <v>22</v>
      </c>
      <c r="G245" t="s">
        <v>23</v>
      </c>
      <c r="H245">
        <v>37.64</v>
      </c>
      <c r="I245">
        <v>574.79999999999995</v>
      </c>
      <c r="J245" t="s">
        <v>27</v>
      </c>
      <c r="K245" t="str">
        <f t="shared" si="3"/>
        <v>13-24 Months</v>
      </c>
      <c r="L245">
        <f>IF(Table13[[#This Row],[Churn]]="Yes",1,0)</f>
        <v>1</v>
      </c>
    </row>
    <row r="246" spans="1:12" x14ac:dyDescent="0.35">
      <c r="A246" t="s">
        <v>268</v>
      </c>
      <c r="B246" t="s">
        <v>11</v>
      </c>
      <c r="C246">
        <v>62</v>
      </c>
      <c r="D246">
        <v>12</v>
      </c>
      <c r="E246" t="s">
        <v>12</v>
      </c>
      <c r="F246" t="s">
        <v>33</v>
      </c>
      <c r="G246" t="s">
        <v>23</v>
      </c>
      <c r="H246">
        <v>136.16999999999999</v>
      </c>
      <c r="I246">
        <v>1753.51</v>
      </c>
      <c r="J246" t="s">
        <v>27</v>
      </c>
      <c r="K246" t="str">
        <f t="shared" si="3"/>
        <v>0-12 Months</v>
      </c>
      <c r="L246">
        <f>IF(Table13[[#This Row],[Churn]]="Yes",1,0)</f>
        <v>1</v>
      </c>
    </row>
    <row r="247" spans="1:12" x14ac:dyDescent="0.35">
      <c r="A247" t="s">
        <v>269</v>
      </c>
      <c r="B247" t="s">
        <v>17</v>
      </c>
      <c r="C247">
        <v>35</v>
      </c>
      <c r="D247">
        <v>12</v>
      </c>
      <c r="E247" t="s">
        <v>18</v>
      </c>
      <c r="F247" t="s">
        <v>29</v>
      </c>
      <c r="G247" t="s">
        <v>14</v>
      </c>
      <c r="H247">
        <v>29.7</v>
      </c>
      <c r="I247">
        <v>361.9</v>
      </c>
      <c r="J247" t="s">
        <v>15</v>
      </c>
      <c r="K247" t="str">
        <f t="shared" si="3"/>
        <v>0-12 Months</v>
      </c>
      <c r="L247">
        <f>IF(Table13[[#This Row],[Churn]]="Yes",1,0)</f>
        <v>0</v>
      </c>
    </row>
    <row r="248" spans="1:12" x14ac:dyDescent="0.35">
      <c r="A248" t="s">
        <v>270</v>
      </c>
      <c r="B248" t="s">
        <v>11</v>
      </c>
      <c r="C248">
        <v>64</v>
      </c>
      <c r="D248">
        <v>13</v>
      </c>
      <c r="E248" t="s">
        <v>12</v>
      </c>
      <c r="F248" t="s">
        <v>22</v>
      </c>
      <c r="G248" t="s">
        <v>23</v>
      </c>
      <c r="H248">
        <v>138.01</v>
      </c>
      <c r="I248">
        <v>1856.58</v>
      </c>
      <c r="J248" t="s">
        <v>27</v>
      </c>
      <c r="K248" t="str">
        <f t="shared" si="3"/>
        <v>13-24 Months</v>
      </c>
      <c r="L248">
        <f>IF(Table13[[#This Row],[Churn]]="Yes",1,0)</f>
        <v>1</v>
      </c>
    </row>
    <row r="249" spans="1:12" x14ac:dyDescent="0.35">
      <c r="A249" t="s">
        <v>271</v>
      </c>
      <c r="B249" t="s">
        <v>11</v>
      </c>
      <c r="C249">
        <v>53</v>
      </c>
      <c r="D249">
        <v>25</v>
      </c>
      <c r="E249" t="s">
        <v>12</v>
      </c>
      <c r="F249" t="s">
        <v>13</v>
      </c>
      <c r="G249" t="s">
        <v>23</v>
      </c>
      <c r="H249">
        <v>149.55000000000001</v>
      </c>
      <c r="I249">
        <v>3377.33</v>
      </c>
      <c r="J249" t="s">
        <v>15</v>
      </c>
      <c r="K249" t="str">
        <f t="shared" si="3"/>
        <v>25-48 Months</v>
      </c>
      <c r="L249">
        <f>IF(Table13[[#This Row],[Churn]]="Yes",1,0)</f>
        <v>0</v>
      </c>
    </row>
    <row r="250" spans="1:12" x14ac:dyDescent="0.35">
      <c r="A250" t="s">
        <v>272</v>
      </c>
      <c r="B250" t="s">
        <v>11</v>
      </c>
      <c r="C250">
        <v>64</v>
      </c>
      <c r="D250">
        <v>45</v>
      </c>
      <c r="E250" t="s">
        <v>21</v>
      </c>
      <c r="F250" t="s">
        <v>29</v>
      </c>
      <c r="G250" t="s">
        <v>23</v>
      </c>
      <c r="H250">
        <v>111.06</v>
      </c>
      <c r="I250">
        <v>4836.72</v>
      </c>
      <c r="J250" t="s">
        <v>15</v>
      </c>
      <c r="K250" t="str">
        <f t="shared" si="3"/>
        <v>25-48 Months</v>
      </c>
      <c r="L250">
        <f>IF(Table13[[#This Row],[Churn]]="Yes",1,0)</f>
        <v>0</v>
      </c>
    </row>
    <row r="251" spans="1:12" x14ac:dyDescent="0.35">
      <c r="A251" t="s">
        <v>273</v>
      </c>
      <c r="B251" t="s">
        <v>11</v>
      </c>
      <c r="C251">
        <v>39</v>
      </c>
      <c r="D251">
        <v>19</v>
      </c>
      <c r="E251" t="s">
        <v>21</v>
      </c>
      <c r="F251" t="s">
        <v>29</v>
      </c>
      <c r="G251" t="s">
        <v>14</v>
      </c>
      <c r="H251">
        <v>120.16</v>
      </c>
      <c r="I251">
        <v>2418.04</v>
      </c>
      <c r="J251" t="s">
        <v>15</v>
      </c>
      <c r="K251" t="str">
        <f t="shared" si="3"/>
        <v>13-24 Months</v>
      </c>
      <c r="L251">
        <f>IF(Table13[[#This Row],[Churn]]="Yes",1,0)</f>
        <v>0</v>
      </c>
    </row>
    <row r="252" spans="1:12" x14ac:dyDescent="0.35">
      <c r="A252" t="s">
        <v>274</v>
      </c>
      <c r="B252" t="s">
        <v>17</v>
      </c>
      <c r="C252">
        <v>51</v>
      </c>
      <c r="D252">
        <v>55</v>
      </c>
      <c r="E252" t="s">
        <v>12</v>
      </c>
      <c r="F252" t="s">
        <v>29</v>
      </c>
      <c r="G252" t="s">
        <v>23</v>
      </c>
      <c r="H252">
        <v>63.85</v>
      </c>
      <c r="I252">
        <v>3215</v>
      </c>
      <c r="J252" t="s">
        <v>27</v>
      </c>
      <c r="K252" t="str">
        <f t="shared" si="3"/>
        <v>49+ Months</v>
      </c>
      <c r="L252">
        <f>IF(Table13[[#This Row],[Churn]]="Yes",1,0)</f>
        <v>1</v>
      </c>
    </row>
    <row r="253" spans="1:12" x14ac:dyDescent="0.35">
      <c r="A253" t="s">
        <v>275</v>
      </c>
      <c r="B253" t="s">
        <v>11</v>
      </c>
      <c r="C253">
        <v>64</v>
      </c>
      <c r="D253">
        <v>45</v>
      </c>
      <c r="E253" t="s">
        <v>18</v>
      </c>
      <c r="F253" t="s">
        <v>29</v>
      </c>
      <c r="G253" t="s">
        <v>23</v>
      </c>
      <c r="H253">
        <v>142.4</v>
      </c>
      <c r="I253">
        <v>6129.01</v>
      </c>
      <c r="J253" t="s">
        <v>15</v>
      </c>
      <c r="K253" t="str">
        <f t="shared" si="3"/>
        <v>25-48 Months</v>
      </c>
      <c r="L253">
        <f>IF(Table13[[#This Row],[Churn]]="Yes",1,0)</f>
        <v>0</v>
      </c>
    </row>
    <row r="254" spans="1:12" x14ac:dyDescent="0.35">
      <c r="A254" t="s">
        <v>276</v>
      </c>
      <c r="B254" t="s">
        <v>17</v>
      </c>
      <c r="C254">
        <v>25</v>
      </c>
      <c r="D254">
        <v>8</v>
      </c>
      <c r="E254" t="s">
        <v>18</v>
      </c>
      <c r="F254" t="s">
        <v>29</v>
      </c>
      <c r="G254" t="s">
        <v>19</v>
      </c>
      <c r="H254">
        <v>88.86</v>
      </c>
      <c r="I254">
        <v>723.01</v>
      </c>
      <c r="J254" t="s">
        <v>15</v>
      </c>
      <c r="K254" t="str">
        <f t="shared" si="3"/>
        <v>0-12 Months</v>
      </c>
      <c r="L254">
        <f>IF(Table13[[#This Row],[Churn]]="Yes",1,0)</f>
        <v>0</v>
      </c>
    </row>
    <row r="255" spans="1:12" x14ac:dyDescent="0.35">
      <c r="A255" t="s">
        <v>277</v>
      </c>
      <c r="B255" t="s">
        <v>11</v>
      </c>
      <c r="C255">
        <v>57</v>
      </c>
      <c r="D255">
        <v>53</v>
      </c>
      <c r="E255" t="s">
        <v>12</v>
      </c>
      <c r="F255" t="s">
        <v>29</v>
      </c>
      <c r="G255" t="s">
        <v>23</v>
      </c>
      <c r="H255">
        <v>115.21</v>
      </c>
      <c r="I255">
        <v>5808.66</v>
      </c>
      <c r="J255" t="s">
        <v>15</v>
      </c>
      <c r="K255" t="str">
        <f t="shared" si="3"/>
        <v>49+ Months</v>
      </c>
      <c r="L255">
        <f>IF(Table13[[#This Row],[Churn]]="Yes",1,0)</f>
        <v>0</v>
      </c>
    </row>
    <row r="256" spans="1:12" x14ac:dyDescent="0.35">
      <c r="A256" t="s">
        <v>278</v>
      </c>
      <c r="B256" t="s">
        <v>11</v>
      </c>
      <c r="C256">
        <v>66</v>
      </c>
      <c r="D256">
        <v>55</v>
      </c>
      <c r="E256" t="s">
        <v>12</v>
      </c>
      <c r="F256" t="s">
        <v>29</v>
      </c>
      <c r="G256" t="s">
        <v>23</v>
      </c>
      <c r="H256">
        <v>140.13</v>
      </c>
      <c r="I256">
        <v>8376.1</v>
      </c>
      <c r="J256" t="s">
        <v>27</v>
      </c>
      <c r="K256" t="str">
        <f t="shared" si="3"/>
        <v>49+ Months</v>
      </c>
      <c r="L256">
        <f>IF(Table13[[#This Row],[Churn]]="Yes",1,0)</f>
        <v>1</v>
      </c>
    </row>
    <row r="257" spans="1:12" x14ac:dyDescent="0.35">
      <c r="A257" t="s">
        <v>279</v>
      </c>
      <c r="B257" t="s">
        <v>11</v>
      </c>
      <c r="C257">
        <v>61</v>
      </c>
      <c r="D257">
        <v>32</v>
      </c>
      <c r="E257" t="s">
        <v>18</v>
      </c>
      <c r="F257" t="s">
        <v>22</v>
      </c>
      <c r="G257" t="s">
        <v>23</v>
      </c>
      <c r="H257">
        <v>146.77000000000001</v>
      </c>
      <c r="I257">
        <v>4350.08</v>
      </c>
      <c r="J257" t="s">
        <v>15</v>
      </c>
      <c r="K257" t="str">
        <f t="shared" si="3"/>
        <v>25-48 Months</v>
      </c>
      <c r="L257">
        <f>IF(Table13[[#This Row],[Churn]]="Yes",1,0)</f>
        <v>0</v>
      </c>
    </row>
    <row r="258" spans="1:12" x14ac:dyDescent="0.35">
      <c r="A258" t="s">
        <v>280</v>
      </c>
      <c r="B258" t="s">
        <v>11</v>
      </c>
      <c r="C258">
        <v>36</v>
      </c>
      <c r="D258">
        <v>51</v>
      </c>
      <c r="E258" t="s">
        <v>21</v>
      </c>
      <c r="F258" t="s">
        <v>13</v>
      </c>
      <c r="G258" t="s">
        <v>14</v>
      </c>
      <c r="H258">
        <v>128.32</v>
      </c>
      <c r="I258">
        <v>6933.57</v>
      </c>
      <c r="J258" t="s">
        <v>15</v>
      </c>
      <c r="K258" t="str">
        <f t="shared" ref="K258:K321" si="4">IF(D258&lt;=12,"0-12 Months",IF(D258&lt;=24,"13-24 Months",IF(D258&lt;=48,"25-48 Months","49+ Months")))</f>
        <v>49+ Months</v>
      </c>
      <c r="L258">
        <f>IF(Table13[[#This Row],[Churn]]="Yes",1,0)</f>
        <v>0</v>
      </c>
    </row>
    <row r="259" spans="1:12" x14ac:dyDescent="0.35">
      <c r="A259" t="s">
        <v>281</v>
      </c>
      <c r="B259" t="s">
        <v>17</v>
      </c>
      <c r="C259">
        <v>59</v>
      </c>
      <c r="D259">
        <v>44</v>
      </c>
      <c r="E259" t="s">
        <v>12</v>
      </c>
      <c r="F259" t="s">
        <v>33</v>
      </c>
      <c r="G259" t="s">
        <v>23</v>
      </c>
      <c r="H259">
        <v>59.39</v>
      </c>
      <c r="I259">
        <v>2617.31</v>
      </c>
      <c r="J259" t="s">
        <v>15</v>
      </c>
      <c r="K259" t="str">
        <f t="shared" si="4"/>
        <v>25-48 Months</v>
      </c>
      <c r="L259">
        <f>IF(Table13[[#This Row],[Churn]]="Yes",1,0)</f>
        <v>0</v>
      </c>
    </row>
    <row r="260" spans="1:12" x14ac:dyDescent="0.35">
      <c r="A260" t="s">
        <v>282</v>
      </c>
      <c r="B260" t="s">
        <v>17</v>
      </c>
      <c r="C260">
        <v>58</v>
      </c>
      <c r="D260">
        <v>70</v>
      </c>
      <c r="E260" t="s">
        <v>18</v>
      </c>
      <c r="F260" t="s">
        <v>13</v>
      </c>
      <c r="G260" t="s">
        <v>23</v>
      </c>
      <c r="H260">
        <v>145.65</v>
      </c>
      <c r="I260">
        <v>10705.95</v>
      </c>
      <c r="J260" t="s">
        <v>15</v>
      </c>
      <c r="K260" t="str">
        <f t="shared" si="4"/>
        <v>49+ Months</v>
      </c>
      <c r="L260">
        <f>IF(Table13[[#This Row],[Churn]]="Yes",1,0)</f>
        <v>0</v>
      </c>
    </row>
    <row r="261" spans="1:12" x14ac:dyDescent="0.35">
      <c r="A261" t="s">
        <v>283</v>
      </c>
      <c r="B261" t="s">
        <v>11</v>
      </c>
      <c r="C261">
        <v>54</v>
      </c>
      <c r="D261">
        <v>18</v>
      </c>
      <c r="E261" t="s">
        <v>12</v>
      </c>
      <c r="F261" t="s">
        <v>22</v>
      </c>
      <c r="G261" t="s">
        <v>23</v>
      </c>
      <c r="H261">
        <v>101.66</v>
      </c>
      <c r="I261">
        <v>1760.61</v>
      </c>
      <c r="J261" t="s">
        <v>27</v>
      </c>
      <c r="K261" t="str">
        <f t="shared" si="4"/>
        <v>13-24 Months</v>
      </c>
      <c r="L261">
        <f>IF(Table13[[#This Row],[Churn]]="Yes",1,0)</f>
        <v>1</v>
      </c>
    </row>
    <row r="262" spans="1:12" x14ac:dyDescent="0.35">
      <c r="A262" t="s">
        <v>284</v>
      </c>
      <c r="B262" t="s">
        <v>11</v>
      </c>
      <c r="C262">
        <v>23</v>
      </c>
      <c r="D262">
        <v>22</v>
      </c>
      <c r="E262" t="s">
        <v>12</v>
      </c>
      <c r="F262" t="s">
        <v>33</v>
      </c>
      <c r="G262" t="s">
        <v>19</v>
      </c>
      <c r="H262">
        <v>140.97999999999999</v>
      </c>
      <c r="I262">
        <v>3110.55</v>
      </c>
      <c r="J262" t="s">
        <v>27</v>
      </c>
      <c r="K262" t="str">
        <f t="shared" si="4"/>
        <v>13-24 Months</v>
      </c>
      <c r="L262">
        <f>IF(Table13[[#This Row],[Churn]]="Yes",1,0)</f>
        <v>1</v>
      </c>
    </row>
    <row r="263" spans="1:12" x14ac:dyDescent="0.35">
      <c r="A263" t="s">
        <v>285</v>
      </c>
      <c r="B263" t="s">
        <v>17</v>
      </c>
      <c r="C263">
        <v>69</v>
      </c>
      <c r="D263">
        <v>37</v>
      </c>
      <c r="E263" t="s">
        <v>12</v>
      </c>
      <c r="F263" t="s">
        <v>22</v>
      </c>
      <c r="G263" t="s">
        <v>23</v>
      </c>
      <c r="H263">
        <v>107.89</v>
      </c>
      <c r="I263">
        <v>4276.82</v>
      </c>
      <c r="J263" t="s">
        <v>15</v>
      </c>
      <c r="K263" t="str">
        <f t="shared" si="4"/>
        <v>25-48 Months</v>
      </c>
      <c r="L263">
        <f>IF(Table13[[#This Row],[Churn]]="Yes",1,0)</f>
        <v>0</v>
      </c>
    </row>
    <row r="264" spans="1:12" x14ac:dyDescent="0.35">
      <c r="A264" t="s">
        <v>286</v>
      </c>
      <c r="B264" t="s">
        <v>11</v>
      </c>
      <c r="C264">
        <v>43</v>
      </c>
      <c r="D264">
        <v>56</v>
      </c>
      <c r="E264" t="s">
        <v>21</v>
      </c>
      <c r="F264" t="s">
        <v>13</v>
      </c>
      <c r="G264" t="s">
        <v>14</v>
      </c>
      <c r="H264">
        <v>59.94</v>
      </c>
      <c r="I264">
        <v>3334.4</v>
      </c>
      <c r="J264" t="s">
        <v>15</v>
      </c>
      <c r="K264" t="str">
        <f t="shared" si="4"/>
        <v>49+ Months</v>
      </c>
      <c r="L264">
        <f>IF(Table13[[#This Row],[Churn]]="Yes",1,0)</f>
        <v>0</v>
      </c>
    </row>
    <row r="265" spans="1:12" x14ac:dyDescent="0.35">
      <c r="A265" t="s">
        <v>287</v>
      </c>
      <c r="B265" t="s">
        <v>11</v>
      </c>
      <c r="C265">
        <v>51</v>
      </c>
      <c r="D265">
        <v>59</v>
      </c>
      <c r="E265" t="s">
        <v>21</v>
      </c>
      <c r="F265" t="s">
        <v>22</v>
      </c>
      <c r="G265" t="s">
        <v>23</v>
      </c>
      <c r="H265">
        <v>68.099999999999994</v>
      </c>
      <c r="I265">
        <v>3905.17</v>
      </c>
      <c r="J265" t="s">
        <v>15</v>
      </c>
      <c r="K265" t="str">
        <f t="shared" si="4"/>
        <v>49+ Months</v>
      </c>
      <c r="L265">
        <f>IF(Table13[[#This Row],[Churn]]="Yes",1,0)</f>
        <v>0</v>
      </c>
    </row>
    <row r="266" spans="1:12" x14ac:dyDescent="0.35">
      <c r="A266" t="s">
        <v>288</v>
      </c>
      <c r="B266" t="s">
        <v>11</v>
      </c>
      <c r="C266">
        <v>62</v>
      </c>
      <c r="D266">
        <v>3</v>
      </c>
      <c r="E266" t="s">
        <v>21</v>
      </c>
      <c r="F266" t="s">
        <v>29</v>
      </c>
      <c r="G266" t="s">
        <v>23</v>
      </c>
      <c r="H266">
        <v>91.56</v>
      </c>
      <c r="I266">
        <v>276.67</v>
      </c>
      <c r="J266" t="s">
        <v>27</v>
      </c>
      <c r="K266" t="str">
        <f t="shared" si="4"/>
        <v>0-12 Months</v>
      </c>
      <c r="L266">
        <f>IF(Table13[[#This Row],[Churn]]="Yes",1,0)</f>
        <v>1</v>
      </c>
    </row>
    <row r="267" spans="1:12" x14ac:dyDescent="0.35">
      <c r="A267" t="s">
        <v>289</v>
      </c>
      <c r="B267" t="s">
        <v>17</v>
      </c>
      <c r="C267">
        <v>23</v>
      </c>
      <c r="D267">
        <v>28</v>
      </c>
      <c r="E267" t="s">
        <v>12</v>
      </c>
      <c r="F267" t="s">
        <v>29</v>
      </c>
      <c r="G267" t="s">
        <v>19</v>
      </c>
      <c r="H267">
        <v>122.7</v>
      </c>
      <c r="I267">
        <v>3584.95</v>
      </c>
      <c r="J267" t="s">
        <v>27</v>
      </c>
      <c r="K267" t="str">
        <f t="shared" si="4"/>
        <v>25-48 Months</v>
      </c>
      <c r="L267">
        <f>IF(Table13[[#This Row],[Churn]]="Yes",1,0)</f>
        <v>1</v>
      </c>
    </row>
    <row r="268" spans="1:12" x14ac:dyDescent="0.35">
      <c r="A268" t="s">
        <v>290</v>
      </c>
      <c r="B268" t="s">
        <v>17</v>
      </c>
      <c r="C268">
        <v>54</v>
      </c>
      <c r="D268">
        <v>35</v>
      </c>
      <c r="E268" t="s">
        <v>12</v>
      </c>
      <c r="F268" t="s">
        <v>13</v>
      </c>
      <c r="G268" t="s">
        <v>23</v>
      </c>
      <c r="H268">
        <v>61.34</v>
      </c>
      <c r="I268">
        <v>2122.67</v>
      </c>
      <c r="J268" t="s">
        <v>27</v>
      </c>
      <c r="K268" t="str">
        <f t="shared" si="4"/>
        <v>25-48 Months</v>
      </c>
      <c r="L268">
        <f>IF(Table13[[#This Row],[Churn]]="Yes",1,0)</f>
        <v>1</v>
      </c>
    </row>
    <row r="269" spans="1:12" x14ac:dyDescent="0.35">
      <c r="A269" t="s">
        <v>291</v>
      </c>
      <c r="B269" t="s">
        <v>17</v>
      </c>
      <c r="C269">
        <v>50</v>
      </c>
      <c r="D269">
        <v>61</v>
      </c>
      <c r="E269" t="s">
        <v>12</v>
      </c>
      <c r="F269" t="s">
        <v>13</v>
      </c>
      <c r="G269" t="s">
        <v>23</v>
      </c>
      <c r="H269">
        <v>95.37</v>
      </c>
      <c r="I269">
        <v>6328.21</v>
      </c>
      <c r="J269" t="s">
        <v>27</v>
      </c>
      <c r="K269" t="str">
        <f t="shared" si="4"/>
        <v>49+ Months</v>
      </c>
      <c r="L269">
        <f>IF(Table13[[#This Row],[Churn]]="Yes",1,0)</f>
        <v>1</v>
      </c>
    </row>
    <row r="270" spans="1:12" x14ac:dyDescent="0.35">
      <c r="A270" t="s">
        <v>292</v>
      </c>
      <c r="B270" t="s">
        <v>11</v>
      </c>
      <c r="C270">
        <v>70</v>
      </c>
      <c r="D270">
        <v>54</v>
      </c>
      <c r="E270" t="s">
        <v>21</v>
      </c>
      <c r="F270" t="s">
        <v>29</v>
      </c>
      <c r="G270" t="s">
        <v>23</v>
      </c>
      <c r="H270">
        <v>64.930000000000007</v>
      </c>
      <c r="I270">
        <v>3362.43</v>
      </c>
      <c r="J270" t="s">
        <v>15</v>
      </c>
      <c r="K270" t="str">
        <f t="shared" si="4"/>
        <v>49+ Months</v>
      </c>
      <c r="L270">
        <f>IF(Table13[[#This Row],[Churn]]="Yes",1,0)</f>
        <v>0</v>
      </c>
    </row>
    <row r="271" spans="1:12" x14ac:dyDescent="0.35">
      <c r="A271" t="s">
        <v>293</v>
      </c>
      <c r="B271" t="s">
        <v>11</v>
      </c>
      <c r="C271">
        <v>39</v>
      </c>
      <c r="D271">
        <v>63</v>
      </c>
      <c r="E271" t="s">
        <v>12</v>
      </c>
      <c r="F271" t="s">
        <v>33</v>
      </c>
      <c r="G271" t="s">
        <v>14</v>
      </c>
      <c r="H271">
        <v>126.05</v>
      </c>
      <c r="I271">
        <v>7902.18</v>
      </c>
      <c r="J271" t="s">
        <v>15</v>
      </c>
      <c r="K271" t="str">
        <f t="shared" si="4"/>
        <v>49+ Months</v>
      </c>
      <c r="L271">
        <f>IF(Table13[[#This Row],[Churn]]="Yes",1,0)</f>
        <v>0</v>
      </c>
    </row>
    <row r="272" spans="1:12" x14ac:dyDescent="0.35">
      <c r="A272" t="s">
        <v>294</v>
      </c>
      <c r="B272" t="s">
        <v>17</v>
      </c>
      <c r="C272">
        <v>38</v>
      </c>
      <c r="D272">
        <v>7</v>
      </c>
      <c r="E272" t="s">
        <v>12</v>
      </c>
      <c r="F272" t="s">
        <v>22</v>
      </c>
      <c r="G272" t="s">
        <v>14</v>
      </c>
      <c r="H272">
        <v>80.67</v>
      </c>
      <c r="I272">
        <v>593.71</v>
      </c>
      <c r="J272" t="s">
        <v>27</v>
      </c>
      <c r="K272" t="str">
        <f t="shared" si="4"/>
        <v>0-12 Months</v>
      </c>
      <c r="L272">
        <f>IF(Table13[[#This Row],[Churn]]="Yes",1,0)</f>
        <v>1</v>
      </c>
    </row>
    <row r="273" spans="1:12" x14ac:dyDescent="0.35">
      <c r="A273" t="s">
        <v>295</v>
      </c>
      <c r="B273" t="s">
        <v>17</v>
      </c>
      <c r="C273">
        <v>23</v>
      </c>
      <c r="D273">
        <v>49</v>
      </c>
      <c r="E273" t="s">
        <v>18</v>
      </c>
      <c r="F273" t="s">
        <v>13</v>
      </c>
      <c r="G273" t="s">
        <v>19</v>
      </c>
      <c r="H273">
        <v>29.97</v>
      </c>
      <c r="I273">
        <v>1524.08</v>
      </c>
      <c r="J273" t="s">
        <v>15</v>
      </c>
      <c r="K273" t="str">
        <f t="shared" si="4"/>
        <v>49+ Months</v>
      </c>
      <c r="L273">
        <f>IF(Table13[[#This Row],[Churn]]="Yes",1,0)</f>
        <v>0</v>
      </c>
    </row>
    <row r="274" spans="1:12" x14ac:dyDescent="0.35">
      <c r="A274" t="s">
        <v>296</v>
      </c>
      <c r="B274" t="s">
        <v>17</v>
      </c>
      <c r="C274">
        <v>23</v>
      </c>
      <c r="D274">
        <v>31</v>
      </c>
      <c r="E274" t="s">
        <v>12</v>
      </c>
      <c r="F274" t="s">
        <v>33</v>
      </c>
      <c r="G274" t="s">
        <v>19</v>
      </c>
      <c r="H274">
        <v>41.59</v>
      </c>
      <c r="I274">
        <v>1383.06</v>
      </c>
      <c r="J274" t="s">
        <v>27</v>
      </c>
      <c r="K274" t="str">
        <f t="shared" si="4"/>
        <v>25-48 Months</v>
      </c>
      <c r="L274">
        <f>IF(Table13[[#This Row],[Churn]]="Yes",1,0)</f>
        <v>1</v>
      </c>
    </row>
    <row r="275" spans="1:12" x14ac:dyDescent="0.35">
      <c r="A275" t="s">
        <v>297</v>
      </c>
      <c r="B275" t="s">
        <v>17</v>
      </c>
      <c r="C275">
        <v>65</v>
      </c>
      <c r="D275">
        <v>58</v>
      </c>
      <c r="E275" t="s">
        <v>18</v>
      </c>
      <c r="F275" t="s">
        <v>13</v>
      </c>
      <c r="G275" t="s">
        <v>23</v>
      </c>
      <c r="H275">
        <v>27.94</v>
      </c>
      <c r="I275">
        <v>1781.54</v>
      </c>
      <c r="J275" t="s">
        <v>15</v>
      </c>
      <c r="K275" t="str">
        <f t="shared" si="4"/>
        <v>49+ Months</v>
      </c>
      <c r="L275">
        <f>IF(Table13[[#This Row],[Churn]]="Yes",1,0)</f>
        <v>0</v>
      </c>
    </row>
    <row r="276" spans="1:12" x14ac:dyDescent="0.35">
      <c r="A276" t="s">
        <v>298</v>
      </c>
      <c r="B276" t="s">
        <v>11</v>
      </c>
      <c r="C276">
        <v>21</v>
      </c>
      <c r="D276">
        <v>61</v>
      </c>
      <c r="E276" t="s">
        <v>12</v>
      </c>
      <c r="F276" t="s">
        <v>33</v>
      </c>
      <c r="G276" t="s">
        <v>19</v>
      </c>
      <c r="H276">
        <v>84.91</v>
      </c>
      <c r="I276">
        <v>5103.74</v>
      </c>
      <c r="J276" t="s">
        <v>27</v>
      </c>
      <c r="K276" t="str">
        <f t="shared" si="4"/>
        <v>49+ Months</v>
      </c>
      <c r="L276">
        <f>IF(Table13[[#This Row],[Churn]]="Yes",1,0)</f>
        <v>1</v>
      </c>
    </row>
    <row r="277" spans="1:12" x14ac:dyDescent="0.35">
      <c r="A277" t="s">
        <v>299</v>
      </c>
      <c r="B277" t="s">
        <v>17</v>
      </c>
      <c r="C277">
        <v>47</v>
      </c>
      <c r="D277">
        <v>24</v>
      </c>
      <c r="E277" t="s">
        <v>21</v>
      </c>
      <c r="F277" t="s">
        <v>13</v>
      </c>
      <c r="G277" t="s">
        <v>14</v>
      </c>
      <c r="H277">
        <v>33.82</v>
      </c>
      <c r="I277">
        <v>748.56</v>
      </c>
      <c r="J277" t="s">
        <v>15</v>
      </c>
      <c r="K277" t="str">
        <f t="shared" si="4"/>
        <v>13-24 Months</v>
      </c>
      <c r="L277">
        <f>IF(Table13[[#This Row],[Churn]]="Yes",1,0)</f>
        <v>0</v>
      </c>
    </row>
    <row r="278" spans="1:12" x14ac:dyDescent="0.35">
      <c r="A278" t="s">
        <v>300</v>
      </c>
      <c r="B278" t="s">
        <v>11</v>
      </c>
      <c r="C278">
        <v>28</v>
      </c>
      <c r="D278">
        <v>20</v>
      </c>
      <c r="E278" t="s">
        <v>12</v>
      </c>
      <c r="F278" t="s">
        <v>29</v>
      </c>
      <c r="G278" t="s">
        <v>19</v>
      </c>
      <c r="H278">
        <v>34.840000000000003</v>
      </c>
      <c r="I278">
        <v>631.36</v>
      </c>
      <c r="J278" t="s">
        <v>15</v>
      </c>
      <c r="K278" t="str">
        <f t="shared" si="4"/>
        <v>13-24 Months</v>
      </c>
      <c r="L278">
        <f>IF(Table13[[#This Row],[Churn]]="Yes",1,0)</f>
        <v>0</v>
      </c>
    </row>
    <row r="279" spans="1:12" x14ac:dyDescent="0.35">
      <c r="A279" t="s">
        <v>301</v>
      </c>
      <c r="B279" t="s">
        <v>17</v>
      </c>
      <c r="C279">
        <v>47</v>
      </c>
      <c r="D279">
        <v>37</v>
      </c>
      <c r="E279" t="s">
        <v>18</v>
      </c>
      <c r="F279" t="s">
        <v>22</v>
      </c>
      <c r="G279" t="s">
        <v>14</v>
      </c>
      <c r="H279">
        <v>142.34</v>
      </c>
      <c r="I279">
        <v>5505.55</v>
      </c>
      <c r="J279" t="s">
        <v>15</v>
      </c>
      <c r="K279" t="str">
        <f t="shared" si="4"/>
        <v>25-48 Months</v>
      </c>
      <c r="L279">
        <f>IF(Table13[[#This Row],[Churn]]="Yes",1,0)</f>
        <v>0</v>
      </c>
    </row>
    <row r="280" spans="1:12" x14ac:dyDescent="0.35">
      <c r="A280" t="s">
        <v>302</v>
      </c>
      <c r="B280" t="s">
        <v>11</v>
      </c>
      <c r="C280">
        <v>48</v>
      </c>
      <c r="D280">
        <v>4</v>
      </c>
      <c r="E280" t="s">
        <v>12</v>
      </c>
      <c r="F280" t="s">
        <v>22</v>
      </c>
      <c r="G280" t="s">
        <v>14</v>
      </c>
      <c r="H280">
        <v>133.44999999999999</v>
      </c>
      <c r="I280">
        <v>573.73</v>
      </c>
      <c r="J280" t="s">
        <v>15</v>
      </c>
      <c r="K280" t="str">
        <f t="shared" si="4"/>
        <v>0-12 Months</v>
      </c>
      <c r="L280">
        <f>IF(Table13[[#This Row],[Churn]]="Yes",1,0)</f>
        <v>0</v>
      </c>
    </row>
    <row r="281" spans="1:12" x14ac:dyDescent="0.35">
      <c r="A281" t="s">
        <v>303</v>
      </c>
      <c r="B281" t="s">
        <v>17</v>
      </c>
      <c r="C281">
        <v>41</v>
      </c>
      <c r="D281">
        <v>20</v>
      </c>
      <c r="E281" t="s">
        <v>12</v>
      </c>
      <c r="F281" t="s">
        <v>22</v>
      </c>
      <c r="G281" t="s">
        <v>14</v>
      </c>
      <c r="H281">
        <v>78.77</v>
      </c>
      <c r="I281">
        <v>1487.4</v>
      </c>
      <c r="J281" t="s">
        <v>15</v>
      </c>
      <c r="K281" t="str">
        <f t="shared" si="4"/>
        <v>13-24 Months</v>
      </c>
      <c r="L281">
        <f>IF(Table13[[#This Row],[Churn]]="Yes",1,0)</f>
        <v>0</v>
      </c>
    </row>
    <row r="282" spans="1:12" x14ac:dyDescent="0.35">
      <c r="A282" t="s">
        <v>304</v>
      </c>
      <c r="B282" t="s">
        <v>17</v>
      </c>
      <c r="C282">
        <v>26</v>
      </c>
      <c r="D282">
        <v>60</v>
      </c>
      <c r="E282" t="s">
        <v>12</v>
      </c>
      <c r="F282" t="s">
        <v>33</v>
      </c>
      <c r="G282" t="s">
        <v>19</v>
      </c>
      <c r="H282">
        <v>148.15</v>
      </c>
      <c r="I282">
        <v>8281.7900000000009</v>
      </c>
      <c r="J282" t="s">
        <v>15</v>
      </c>
      <c r="K282" t="str">
        <f t="shared" si="4"/>
        <v>49+ Months</v>
      </c>
      <c r="L282">
        <f>IF(Table13[[#This Row],[Churn]]="Yes",1,0)</f>
        <v>0</v>
      </c>
    </row>
    <row r="283" spans="1:12" x14ac:dyDescent="0.35">
      <c r="A283" t="s">
        <v>305</v>
      </c>
      <c r="B283" t="s">
        <v>17</v>
      </c>
      <c r="C283">
        <v>20</v>
      </c>
      <c r="D283">
        <v>24</v>
      </c>
      <c r="E283" t="s">
        <v>12</v>
      </c>
      <c r="F283" t="s">
        <v>22</v>
      </c>
      <c r="G283" t="s">
        <v>19</v>
      </c>
      <c r="H283">
        <v>20.02</v>
      </c>
      <c r="I283">
        <v>438.41</v>
      </c>
      <c r="J283" t="s">
        <v>27</v>
      </c>
      <c r="K283" t="str">
        <f t="shared" si="4"/>
        <v>13-24 Months</v>
      </c>
      <c r="L283">
        <f>IF(Table13[[#This Row],[Churn]]="Yes",1,0)</f>
        <v>1</v>
      </c>
    </row>
    <row r="284" spans="1:12" x14ac:dyDescent="0.35">
      <c r="A284" t="s">
        <v>306</v>
      </c>
      <c r="B284" t="s">
        <v>17</v>
      </c>
      <c r="C284">
        <v>68</v>
      </c>
      <c r="D284">
        <v>50</v>
      </c>
      <c r="E284" t="s">
        <v>12</v>
      </c>
      <c r="F284" t="s">
        <v>22</v>
      </c>
      <c r="G284" t="s">
        <v>23</v>
      </c>
      <c r="H284">
        <v>99.82</v>
      </c>
      <c r="I284">
        <v>5313.12</v>
      </c>
      <c r="J284" t="s">
        <v>15</v>
      </c>
      <c r="K284" t="str">
        <f t="shared" si="4"/>
        <v>49+ Months</v>
      </c>
      <c r="L284">
        <f>IF(Table13[[#This Row],[Churn]]="Yes",1,0)</f>
        <v>0</v>
      </c>
    </row>
    <row r="285" spans="1:12" x14ac:dyDescent="0.35">
      <c r="A285" t="s">
        <v>307</v>
      </c>
      <c r="B285" t="s">
        <v>11</v>
      </c>
      <c r="C285">
        <v>48</v>
      </c>
      <c r="D285">
        <v>49</v>
      </c>
      <c r="E285" t="s">
        <v>18</v>
      </c>
      <c r="F285" t="s">
        <v>33</v>
      </c>
      <c r="G285" t="s">
        <v>14</v>
      </c>
      <c r="H285">
        <v>83.07</v>
      </c>
      <c r="I285">
        <v>4721.76</v>
      </c>
      <c r="J285" t="s">
        <v>15</v>
      </c>
      <c r="K285" t="str">
        <f t="shared" si="4"/>
        <v>49+ Months</v>
      </c>
      <c r="L285">
        <f>IF(Table13[[#This Row],[Churn]]="Yes",1,0)</f>
        <v>0</v>
      </c>
    </row>
    <row r="286" spans="1:12" x14ac:dyDescent="0.35">
      <c r="A286" t="s">
        <v>308</v>
      </c>
      <c r="B286" t="s">
        <v>17</v>
      </c>
      <c r="C286">
        <v>57</v>
      </c>
      <c r="D286">
        <v>51</v>
      </c>
      <c r="E286" t="s">
        <v>12</v>
      </c>
      <c r="F286" t="s">
        <v>22</v>
      </c>
      <c r="G286" t="s">
        <v>23</v>
      </c>
      <c r="H286">
        <v>79.47</v>
      </c>
      <c r="I286">
        <v>3973.29</v>
      </c>
      <c r="J286" t="s">
        <v>27</v>
      </c>
      <c r="K286" t="str">
        <f t="shared" si="4"/>
        <v>49+ Months</v>
      </c>
      <c r="L286">
        <f>IF(Table13[[#This Row],[Churn]]="Yes",1,0)</f>
        <v>1</v>
      </c>
    </row>
    <row r="287" spans="1:12" x14ac:dyDescent="0.35">
      <c r="A287" t="s">
        <v>309</v>
      </c>
      <c r="B287" t="s">
        <v>11</v>
      </c>
      <c r="C287">
        <v>54</v>
      </c>
      <c r="D287">
        <v>36</v>
      </c>
      <c r="E287" t="s">
        <v>21</v>
      </c>
      <c r="F287" t="s">
        <v>13</v>
      </c>
      <c r="G287" t="s">
        <v>23</v>
      </c>
      <c r="H287">
        <v>71.599999999999994</v>
      </c>
      <c r="I287">
        <v>2579.02</v>
      </c>
      <c r="J287" t="s">
        <v>15</v>
      </c>
      <c r="K287" t="str">
        <f t="shared" si="4"/>
        <v>25-48 Months</v>
      </c>
      <c r="L287">
        <f>IF(Table13[[#This Row],[Churn]]="Yes",1,0)</f>
        <v>0</v>
      </c>
    </row>
    <row r="288" spans="1:12" x14ac:dyDescent="0.35">
      <c r="A288" t="s">
        <v>310</v>
      </c>
      <c r="B288" t="s">
        <v>11</v>
      </c>
      <c r="C288">
        <v>53</v>
      </c>
      <c r="D288">
        <v>66</v>
      </c>
      <c r="E288" t="s">
        <v>21</v>
      </c>
      <c r="F288" t="s">
        <v>33</v>
      </c>
      <c r="G288" t="s">
        <v>23</v>
      </c>
      <c r="H288">
        <v>79.2</v>
      </c>
      <c r="I288">
        <v>5582.08</v>
      </c>
      <c r="J288" t="s">
        <v>15</v>
      </c>
      <c r="K288" t="str">
        <f t="shared" si="4"/>
        <v>49+ Months</v>
      </c>
      <c r="L288">
        <f>IF(Table13[[#This Row],[Churn]]="Yes",1,0)</f>
        <v>0</v>
      </c>
    </row>
    <row r="289" spans="1:12" x14ac:dyDescent="0.35">
      <c r="A289" t="s">
        <v>311</v>
      </c>
      <c r="B289" t="s">
        <v>11</v>
      </c>
      <c r="C289">
        <v>41</v>
      </c>
      <c r="D289">
        <v>34</v>
      </c>
      <c r="E289" t="s">
        <v>21</v>
      </c>
      <c r="F289" t="s">
        <v>29</v>
      </c>
      <c r="G289" t="s">
        <v>14</v>
      </c>
      <c r="H289">
        <v>73.94</v>
      </c>
      <c r="I289">
        <v>2589.8000000000002</v>
      </c>
      <c r="J289" t="s">
        <v>15</v>
      </c>
      <c r="K289" t="str">
        <f t="shared" si="4"/>
        <v>25-48 Months</v>
      </c>
      <c r="L289">
        <f>IF(Table13[[#This Row],[Churn]]="Yes",1,0)</f>
        <v>0</v>
      </c>
    </row>
    <row r="290" spans="1:12" x14ac:dyDescent="0.35">
      <c r="A290" t="s">
        <v>312</v>
      </c>
      <c r="B290" t="s">
        <v>11</v>
      </c>
      <c r="C290">
        <v>48</v>
      </c>
      <c r="D290">
        <v>36</v>
      </c>
      <c r="E290" t="s">
        <v>12</v>
      </c>
      <c r="F290" t="s">
        <v>22</v>
      </c>
      <c r="G290" t="s">
        <v>14</v>
      </c>
      <c r="H290">
        <v>114.96</v>
      </c>
      <c r="I290">
        <v>4233.8</v>
      </c>
      <c r="J290" t="s">
        <v>15</v>
      </c>
      <c r="K290" t="str">
        <f t="shared" si="4"/>
        <v>25-48 Months</v>
      </c>
      <c r="L290">
        <f>IF(Table13[[#This Row],[Churn]]="Yes",1,0)</f>
        <v>0</v>
      </c>
    </row>
    <row r="291" spans="1:12" x14ac:dyDescent="0.35">
      <c r="A291" t="s">
        <v>313</v>
      </c>
      <c r="B291" t="s">
        <v>17</v>
      </c>
      <c r="C291">
        <v>23</v>
      </c>
      <c r="D291">
        <v>6</v>
      </c>
      <c r="E291" t="s">
        <v>12</v>
      </c>
      <c r="F291" t="s">
        <v>33</v>
      </c>
      <c r="G291" t="s">
        <v>19</v>
      </c>
      <c r="H291">
        <v>37.6</v>
      </c>
      <c r="I291">
        <v>210.97</v>
      </c>
      <c r="J291" t="s">
        <v>15</v>
      </c>
      <c r="K291" t="str">
        <f t="shared" si="4"/>
        <v>0-12 Months</v>
      </c>
      <c r="L291">
        <f>IF(Table13[[#This Row],[Churn]]="Yes",1,0)</f>
        <v>0</v>
      </c>
    </row>
    <row r="292" spans="1:12" x14ac:dyDescent="0.35">
      <c r="A292" t="s">
        <v>314</v>
      </c>
      <c r="B292" t="s">
        <v>11</v>
      </c>
      <c r="C292">
        <v>19</v>
      </c>
      <c r="D292">
        <v>39</v>
      </c>
      <c r="E292" t="s">
        <v>21</v>
      </c>
      <c r="F292" t="s">
        <v>22</v>
      </c>
      <c r="G292" t="s">
        <v>19</v>
      </c>
      <c r="H292">
        <v>45.69</v>
      </c>
      <c r="I292">
        <v>1786.61</v>
      </c>
      <c r="J292" t="s">
        <v>15</v>
      </c>
      <c r="K292" t="str">
        <f t="shared" si="4"/>
        <v>25-48 Months</v>
      </c>
      <c r="L292">
        <f>IF(Table13[[#This Row],[Churn]]="Yes",1,0)</f>
        <v>0</v>
      </c>
    </row>
    <row r="293" spans="1:12" x14ac:dyDescent="0.35">
      <c r="A293" t="s">
        <v>315</v>
      </c>
      <c r="B293" t="s">
        <v>11</v>
      </c>
      <c r="C293">
        <v>37</v>
      </c>
      <c r="D293">
        <v>42</v>
      </c>
      <c r="E293" t="s">
        <v>18</v>
      </c>
      <c r="F293" t="s">
        <v>22</v>
      </c>
      <c r="G293" t="s">
        <v>14</v>
      </c>
      <c r="H293">
        <v>43.47</v>
      </c>
      <c r="I293">
        <v>1904.39</v>
      </c>
      <c r="J293" t="s">
        <v>15</v>
      </c>
      <c r="K293" t="str">
        <f t="shared" si="4"/>
        <v>25-48 Months</v>
      </c>
      <c r="L293">
        <f>IF(Table13[[#This Row],[Churn]]="Yes",1,0)</f>
        <v>0</v>
      </c>
    </row>
    <row r="294" spans="1:12" x14ac:dyDescent="0.35">
      <c r="A294" t="s">
        <v>316</v>
      </c>
      <c r="B294" t="s">
        <v>11</v>
      </c>
      <c r="C294">
        <v>45</v>
      </c>
      <c r="D294">
        <v>58</v>
      </c>
      <c r="E294" t="s">
        <v>12</v>
      </c>
      <c r="F294" t="s">
        <v>22</v>
      </c>
      <c r="G294" t="s">
        <v>14</v>
      </c>
      <c r="H294">
        <v>54.12</v>
      </c>
      <c r="I294">
        <v>3436.07</v>
      </c>
      <c r="J294" t="s">
        <v>15</v>
      </c>
      <c r="K294" t="str">
        <f t="shared" si="4"/>
        <v>49+ Months</v>
      </c>
      <c r="L294">
        <f>IF(Table13[[#This Row],[Churn]]="Yes",1,0)</f>
        <v>0</v>
      </c>
    </row>
    <row r="295" spans="1:12" x14ac:dyDescent="0.35">
      <c r="A295" t="s">
        <v>317</v>
      </c>
      <c r="B295" t="s">
        <v>17</v>
      </c>
      <c r="C295">
        <v>28</v>
      </c>
      <c r="D295">
        <v>12</v>
      </c>
      <c r="E295" t="s">
        <v>12</v>
      </c>
      <c r="F295" t="s">
        <v>13</v>
      </c>
      <c r="G295" t="s">
        <v>19</v>
      </c>
      <c r="H295">
        <v>88.28</v>
      </c>
      <c r="I295">
        <v>996.1</v>
      </c>
      <c r="J295" t="s">
        <v>15</v>
      </c>
      <c r="K295" t="str">
        <f t="shared" si="4"/>
        <v>0-12 Months</v>
      </c>
      <c r="L295">
        <f>IF(Table13[[#This Row],[Churn]]="Yes",1,0)</f>
        <v>0</v>
      </c>
    </row>
    <row r="296" spans="1:12" x14ac:dyDescent="0.35">
      <c r="A296" t="s">
        <v>318</v>
      </c>
      <c r="B296" t="s">
        <v>17</v>
      </c>
      <c r="C296">
        <v>21</v>
      </c>
      <c r="D296">
        <v>3</v>
      </c>
      <c r="E296" t="s">
        <v>12</v>
      </c>
      <c r="F296" t="s">
        <v>33</v>
      </c>
      <c r="G296" t="s">
        <v>19</v>
      </c>
      <c r="H296">
        <v>34.46</v>
      </c>
      <c r="I296">
        <v>93.24</v>
      </c>
      <c r="J296" t="s">
        <v>15</v>
      </c>
      <c r="K296" t="str">
        <f t="shared" si="4"/>
        <v>0-12 Months</v>
      </c>
      <c r="L296">
        <f>IF(Table13[[#This Row],[Churn]]="Yes",1,0)</f>
        <v>0</v>
      </c>
    </row>
    <row r="297" spans="1:12" x14ac:dyDescent="0.35">
      <c r="A297" t="s">
        <v>319</v>
      </c>
      <c r="B297" t="s">
        <v>17</v>
      </c>
      <c r="C297">
        <v>32</v>
      </c>
      <c r="D297">
        <v>18</v>
      </c>
      <c r="E297" t="s">
        <v>18</v>
      </c>
      <c r="F297" t="s">
        <v>29</v>
      </c>
      <c r="G297" t="s">
        <v>14</v>
      </c>
      <c r="H297">
        <v>132.86000000000001</v>
      </c>
      <c r="I297">
        <v>2188.35</v>
      </c>
      <c r="J297" t="s">
        <v>15</v>
      </c>
      <c r="K297" t="str">
        <f t="shared" si="4"/>
        <v>13-24 Months</v>
      </c>
      <c r="L297">
        <f>IF(Table13[[#This Row],[Churn]]="Yes",1,0)</f>
        <v>0</v>
      </c>
    </row>
    <row r="298" spans="1:12" x14ac:dyDescent="0.35">
      <c r="A298" t="s">
        <v>320</v>
      </c>
      <c r="B298" t="s">
        <v>17</v>
      </c>
      <c r="C298">
        <v>23</v>
      </c>
      <c r="D298">
        <v>40</v>
      </c>
      <c r="E298" t="s">
        <v>12</v>
      </c>
      <c r="F298" t="s">
        <v>29</v>
      </c>
      <c r="G298" t="s">
        <v>19</v>
      </c>
      <c r="H298">
        <v>58.66</v>
      </c>
      <c r="I298">
        <v>2288.14</v>
      </c>
      <c r="J298" t="s">
        <v>15</v>
      </c>
      <c r="K298" t="str">
        <f t="shared" si="4"/>
        <v>25-48 Months</v>
      </c>
      <c r="L298">
        <f>IF(Table13[[#This Row],[Churn]]="Yes",1,0)</f>
        <v>0</v>
      </c>
    </row>
    <row r="299" spans="1:12" x14ac:dyDescent="0.35">
      <c r="A299" t="s">
        <v>321</v>
      </c>
      <c r="B299" t="s">
        <v>11</v>
      </c>
      <c r="C299">
        <v>66</v>
      </c>
      <c r="D299">
        <v>21</v>
      </c>
      <c r="E299" t="s">
        <v>12</v>
      </c>
      <c r="F299" t="s">
        <v>29</v>
      </c>
      <c r="G299" t="s">
        <v>23</v>
      </c>
      <c r="H299">
        <v>41.13</v>
      </c>
      <c r="I299">
        <v>919.1</v>
      </c>
      <c r="J299" t="s">
        <v>15</v>
      </c>
      <c r="K299" t="str">
        <f t="shared" si="4"/>
        <v>13-24 Months</v>
      </c>
      <c r="L299">
        <f>IF(Table13[[#This Row],[Churn]]="Yes",1,0)</f>
        <v>0</v>
      </c>
    </row>
    <row r="300" spans="1:12" x14ac:dyDescent="0.35">
      <c r="A300" t="s">
        <v>322</v>
      </c>
      <c r="B300" t="s">
        <v>11</v>
      </c>
      <c r="C300">
        <v>47</v>
      </c>
      <c r="D300">
        <v>15</v>
      </c>
      <c r="E300" t="s">
        <v>18</v>
      </c>
      <c r="F300" t="s">
        <v>13</v>
      </c>
      <c r="G300" t="s">
        <v>14</v>
      </c>
      <c r="H300">
        <v>107.83</v>
      </c>
      <c r="I300">
        <v>1458.02</v>
      </c>
      <c r="J300" t="s">
        <v>15</v>
      </c>
      <c r="K300" t="str">
        <f t="shared" si="4"/>
        <v>13-24 Months</v>
      </c>
      <c r="L300">
        <f>IF(Table13[[#This Row],[Churn]]="Yes",1,0)</f>
        <v>0</v>
      </c>
    </row>
    <row r="301" spans="1:12" x14ac:dyDescent="0.35">
      <c r="A301" t="s">
        <v>323</v>
      </c>
      <c r="B301" t="s">
        <v>17</v>
      </c>
      <c r="C301">
        <v>55</v>
      </c>
      <c r="D301">
        <v>26</v>
      </c>
      <c r="E301" t="s">
        <v>12</v>
      </c>
      <c r="F301" t="s">
        <v>13</v>
      </c>
      <c r="G301" t="s">
        <v>23</v>
      </c>
      <c r="H301">
        <v>24.95</v>
      </c>
      <c r="I301">
        <v>643.09</v>
      </c>
      <c r="J301" t="s">
        <v>15</v>
      </c>
      <c r="K301" t="str">
        <f t="shared" si="4"/>
        <v>25-48 Months</v>
      </c>
      <c r="L301">
        <f>IF(Table13[[#This Row],[Churn]]="Yes",1,0)</f>
        <v>0</v>
      </c>
    </row>
    <row r="302" spans="1:12" x14ac:dyDescent="0.35">
      <c r="A302" t="s">
        <v>324</v>
      </c>
      <c r="B302" t="s">
        <v>11</v>
      </c>
      <c r="C302">
        <v>68</v>
      </c>
      <c r="D302">
        <v>8</v>
      </c>
      <c r="E302" t="s">
        <v>12</v>
      </c>
      <c r="F302" t="s">
        <v>33</v>
      </c>
      <c r="G302" t="s">
        <v>23</v>
      </c>
      <c r="H302">
        <v>100.6</v>
      </c>
      <c r="I302">
        <v>777.31</v>
      </c>
      <c r="J302" t="s">
        <v>27</v>
      </c>
      <c r="K302" t="str">
        <f t="shared" si="4"/>
        <v>0-12 Months</v>
      </c>
      <c r="L302">
        <f>IF(Table13[[#This Row],[Churn]]="Yes",1,0)</f>
        <v>1</v>
      </c>
    </row>
    <row r="303" spans="1:12" x14ac:dyDescent="0.35">
      <c r="A303" t="s">
        <v>325</v>
      </c>
      <c r="B303" t="s">
        <v>11</v>
      </c>
      <c r="C303">
        <v>19</v>
      </c>
      <c r="D303">
        <v>42</v>
      </c>
      <c r="E303" t="s">
        <v>21</v>
      </c>
      <c r="F303" t="s">
        <v>13</v>
      </c>
      <c r="G303" t="s">
        <v>19</v>
      </c>
      <c r="H303">
        <v>110.77</v>
      </c>
      <c r="I303">
        <v>4235.9399999999996</v>
      </c>
      <c r="J303" t="s">
        <v>27</v>
      </c>
      <c r="K303" t="str">
        <f t="shared" si="4"/>
        <v>25-48 Months</v>
      </c>
      <c r="L303">
        <f>IF(Table13[[#This Row],[Churn]]="Yes",1,0)</f>
        <v>1</v>
      </c>
    </row>
    <row r="304" spans="1:12" x14ac:dyDescent="0.35">
      <c r="A304" t="s">
        <v>326</v>
      </c>
      <c r="B304" t="s">
        <v>11</v>
      </c>
      <c r="C304">
        <v>32</v>
      </c>
      <c r="D304">
        <v>44</v>
      </c>
      <c r="E304" t="s">
        <v>18</v>
      </c>
      <c r="F304" t="s">
        <v>13</v>
      </c>
      <c r="G304" t="s">
        <v>14</v>
      </c>
      <c r="H304">
        <v>47.94</v>
      </c>
      <c r="I304">
        <v>2088.37</v>
      </c>
      <c r="J304" t="s">
        <v>15</v>
      </c>
      <c r="K304" t="str">
        <f t="shared" si="4"/>
        <v>25-48 Months</v>
      </c>
      <c r="L304">
        <f>IF(Table13[[#This Row],[Churn]]="Yes",1,0)</f>
        <v>0</v>
      </c>
    </row>
    <row r="305" spans="1:12" x14ac:dyDescent="0.35">
      <c r="A305" t="s">
        <v>327</v>
      </c>
      <c r="B305" t="s">
        <v>17</v>
      </c>
      <c r="C305">
        <v>28</v>
      </c>
      <c r="D305">
        <v>14</v>
      </c>
      <c r="E305" t="s">
        <v>12</v>
      </c>
      <c r="F305" t="s">
        <v>29</v>
      </c>
      <c r="G305" t="s">
        <v>19</v>
      </c>
      <c r="H305">
        <v>25.46</v>
      </c>
      <c r="I305">
        <v>338.96</v>
      </c>
      <c r="J305" t="s">
        <v>15</v>
      </c>
      <c r="K305" t="str">
        <f t="shared" si="4"/>
        <v>13-24 Months</v>
      </c>
      <c r="L305">
        <f>IF(Table13[[#This Row],[Churn]]="Yes",1,0)</f>
        <v>0</v>
      </c>
    </row>
    <row r="306" spans="1:12" x14ac:dyDescent="0.35">
      <c r="A306" t="s">
        <v>328</v>
      </c>
      <c r="B306" t="s">
        <v>17</v>
      </c>
      <c r="C306">
        <v>25</v>
      </c>
      <c r="D306">
        <v>2</v>
      </c>
      <c r="E306" t="s">
        <v>12</v>
      </c>
      <c r="F306" t="s">
        <v>13</v>
      </c>
      <c r="G306" t="s">
        <v>19</v>
      </c>
      <c r="H306">
        <v>67.27</v>
      </c>
      <c r="I306">
        <v>130.55000000000001</v>
      </c>
      <c r="J306" t="s">
        <v>27</v>
      </c>
      <c r="K306" t="str">
        <f t="shared" si="4"/>
        <v>0-12 Months</v>
      </c>
      <c r="L306">
        <f>IF(Table13[[#This Row],[Churn]]="Yes",1,0)</f>
        <v>1</v>
      </c>
    </row>
    <row r="307" spans="1:12" x14ac:dyDescent="0.35">
      <c r="A307" t="s">
        <v>329</v>
      </c>
      <c r="B307" t="s">
        <v>11</v>
      </c>
      <c r="C307">
        <v>43</v>
      </c>
      <c r="D307">
        <v>37</v>
      </c>
      <c r="E307" t="s">
        <v>12</v>
      </c>
      <c r="F307" t="s">
        <v>22</v>
      </c>
      <c r="G307" t="s">
        <v>14</v>
      </c>
      <c r="H307">
        <v>32.82</v>
      </c>
      <c r="I307">
        <v>1264.28</v>
      </c>
      <c r="J307" t="s">
        <v>27</v>
      </c>
      <c r="K307" t="str">
        <f t="shared" si="4"/>
        <v>25-48 Months</v>
      </c>
      <c r="L307">
        <f>IF(Table13[[#This Row],[Churn]]="Yes",1,0)</f>
        <v>1</v>
      </c>
    </row>
    <row r="308" spans="1:12" x14ac:dyDescent="0.35">
      <c r="A308" t="s">
        <v>330</v>
      </c>
      <c r="B308" t="s">
        <v>17</v>
      </c>
      <c r="C308">
        <v>68</v>
      </c>
      <c r="D308">
        <v>69</v>
      </c>
      <c r="E308" t="s">
        <v>12</v>
      </c>
      <c r="F308" t="s">
        <v>29</v>
      </c>
      <c r="G308" t="s">
        <v>23</v>
      </c>
      <c r="H308">
        <v>35.14</v>
      </c>
      <c r="I308">
        <v>2435.11</v>
      </c>
      <c r="J308" t="s">
        <v>15</v>
      </c>
      <c r="K308" t="str">
        <f t="shared" si="4"/>
        <v>49+ Months</v>
      </c>
      <c r="L308">
        <f>IF(Table13[[#This Row],[Churn]]="Yes",1,0)</f>
        <v>0</v>
      </c>
    </row>
    <row r="309" spans="1:12" x14ac:dyDescent="0.35">
      <c r="A309" t="s">
        <v>331</v>
      </c>
      <c r="B309" t="s">
        <v>17</v>
      </c>
      <c r="C309">
        <v>62</v>
      </c>
      <c r="D309">
        <v>38</v>
      </c>
      <c r="E309" t="s">
        <v>21</v>
      </c>
      <c r="F309" t="s">
        <v>29</v>
      </c>
      <c r="G309" t="s">
        <v>23</v>
      </c>
      <c r="H309">
        <v>53.05</v>
      </c>
      <c r="I309">
        <v>1864.57</v>
      </c>
      <c r="J309" t="s">
        <v>27</v>
      </c>
      <c r="K309" t="str">
        <f t="shared" si="4"/>
        <v>25-48 Months</v>
      </c>
      <c r="L309">
        <f>IF(Table13[[#This Row],[Churn]]="Yes",1,0)</f>
        <v>1</v>
      </c>
    </row>
    <row r="310" spans="1:12" x14ac:dyDescent="0.35">
      <c r="A310" t="s">
        <v>332</v>
      </c>
      <c r="B310" t="s">
        <v>17</v>
      </c>
      <c r="C310">
        <v>61</v>
      </c>
      <c r="D310">
        <v>41</v>
      </c>
      <c r="E310" t="s">
        <v>12</v>
      </c>
      <c r="F310" t="s">
        <v>29</v>
      </c>
      <c r="G310" t="s">
        <v>23</v>
      </c>
      <c r="H310">
        <v>58.41</v>
      </c>
      <c r="I310">
        <v>2615.81</v>
      </c>
      <c r="J310" t="s">
        <v>27</v>
      </c>
      <c r="K310" t="str">
        <f t="shared" si="4"/>
        <v>25-48 Months</v>
      </c>
      <c r="L310">
        <f>IF(Table13[[#This Row],[Churn]]="Yes",1,0)</f>
        <v>1</v>
      </c>
    </row>
    <row r="311" spans="1:12" x14ac:dyDescent="0.35">
      <c r="A311" t="s">
        <v>333</v>
      </c>
      <c r="B311" t="s">
        <v>17</v>
      </c>
      <c r="C311">
        <v>22</v>
      </c>
      <c r="D311">
        <v>62</v>
      </c>
      <c r="E311" t="s">
        <v>12</v>
      </c>
      <c r="F311" t="s">
        <v>29</v>
      </c>
      <c r="G311" t="s">
        <v>19</v>
      </c>
      <c r="H311">
        <v>88.9</v>
      </c>
      <c r="I311">
        <v>5661.62</v>
      </c>
      <c r="J311" t="s">
        <v>15</v>
      </c>
      <c r="K311" t="str">
        <f t="shared" si="4"/>
        <v>49+ Months</v>
      </c>
      <c r="L311">
        <f>IF(Table13[[#This Row],[Churn]]="Yes",1,0)</f>
        <v>0</v>
      </c>
    </row>
    <row r="312" spans="1:12" x14ac:dyDescent="0.35">
      <c r="A312" t="s">
        <v>334</v>
      </c>
      <c r="B312" t="s">
        <v>17</v>
      </c>
      <c r="C312">
        <v>23</v>
      </c>
      <c r="D312">
        <v>60</v>
      </c>
      <c r="E312" t="s">
        <v>12</v>
      </c>
      <c r="F312" t="s">
        <v>13</v>
      </c>
      <c r="G312" t="s">
        <v>19</v>
      </c>
      <c r="H312">
        <v>108.19</v>
      </c>
      <c r="I312">
        <v>6836.57</v>
      </c>
      <c r="J312" t="s">
        <v>15</v>
      </c>
      <c r="K312" t="str">
        <f t="shared" si="4"/>
        <v>49+ Months</v>
      </c>
      <c r="L312">
        <f>IF(Table13[[#This Row],[Churn]]="Yes",1,0)</f>
        <v>0</v>
      </c>
    </row>
    <row r="313" spans="1:12" x14ac:dyDescent="0.35">
      <c r="A313" t="s">
        <v>335</v>
      </c>
      <c r="B313" t="s">
        <v>11</v>
      </c>
      <c r="C313">
        <v>43</v>
      </c>
      <c r="D313">
        <v>14</v>
      </c>
      <c r="E313" t="s">
        <v>21</v>
      </c>
      <c r="F313" t="s">
        <v>29</v>
      </c>
      <c r="G313" t="s">
        <v>14</v>
      </c>
      <c r="H313">
        <v>97.06</v>
      </c>
      <c r="I313">
        <v>1244.48</v>
      </c>
      <c r="J313" t="s">
        <v>15</v>
      </c>
      <c r="K313" t="str">
        <f t="shared" si="4"/>
        <v>13-24 Months</v>
      </c>
      <c r="L313">
        <f>IF(Table13[[#This Row],[Churn]]="Yes",1,0)</f>
        <v>0</v>
      </c>
    </row>
    <row r="314" spans="1:12" x14ac:dyDescent="0.35">
      <c r="A314" t="s">
        <v>336</v>
      </c>
      <c r="B314" t="s">
        <v>17</v>
      </c>
      <c r="C314">
        <v>21</v>
      </c>
      <c r="D314">
        <v>2</v>
      </c>
      <c r="E314" t="s">
        <v>12</v>
      </c>
      <c r="F314" t="s">
        <v>22</v>
      </c>
      <c r="G314" t="s">
        <v>19</v>
      </c>
      <c r="H314">
        <v>39.29</v>
      </c>
      <c r="I314">
        <v>71.459999999999994</v>
      </c>
      <c r="J314" t="s">
        <v>15</v>
      </c>
      <c r="K314" t="str">
        <f t="shared" si="4"/>
        <v>0-12 Months</v>
      </c>
      <c r="L314">
        <f>IF(Table13[[#This Row],[Churn]]="Yes",1,0)</f>
        <v>0</v>
      </c>
    </row>
    <row r="315" spans="1:12" x14ac:dyDescent="0.35">
      <c r="A315" t="s">
        <v>337</v>
      </c>
      <c r="B315" t="s">
        <v>11</v>
      </c>
      <c r="C315">
        <v>36</v>
      </c>
      <c r="D315">
        <v>70</v>
      </c>
      <c r="E315" t="s">
        <v>18</v>
      </c>
      <c r="F315" t="s">
        <v>33</v>
      </c>
      <c r="G315" t="s">
        <v>14</v>
      </c>
      <c r="H315">
        <v>42.37</v>
      </c>
      <c r="I315">
        <v>2680.85</v>
      </c>
      <c r="J315" t="s">
        <v>15</v>
      </c>
      <c r="K315" t="str">
        <f t="shared" si="4"/>
        <v>49+ Months</v>
      </c>
      <c r="L315">
        <f>IF(Table13[[#This Row],[Churn]]="Yes",1,0)</f>
        <v>0</v>
      </c>
    </row>
    <row r="316" spans="1:12" x14ac:dyDescent="0.35">
      <c r="A316" t="s">
        <v>338</v>
      </c>
      <c r="B316" t="s">
        <v>11</v>
      </c>
      <c r="C316">
        <v>37</v>
      </c>
      <c r="D316">
        <v>17</v>
      </c>
      <c r="E316" t="s">
        <v>12</v>
      </c>
      <c r="F316" t="s">
        <v>13</v>
      </c>
      <c r="G316" t="s">
        <v>14</v>
      </c>
      <c r="H316">
        <v>134.24</v>
      </c>
      <c r="I316">
        <v>2140.04</v>
      </c>
      <c r="J316" t="s">
        <v>27</v>
      </c>
      <c r="K316" t="str">
        <f t="shared" si="4"/>
        <v>13-24 Months</v>
      </c>
      <c r="L316">
        <f>IF(Table13[[#This Row],[Churn]]="Yes",1,0)</f>
        <v>1</v>
      </c>
    </row>
    <row r="317" spans="1:12" x14ac:dyDescent="0.35">
      <c r="A317" t="s">
        <v>339</v>
      </c>
      <c r="B317" t="s">
        <v>17</v>
      </c>
      <c r="C317">
        <v>50</v>
      </c>
      <c r="D317">
        <v>28</v>
      </c>
      <c r="E317" t="s">
        <v>18</v>
      </c>
      <c r="F317" t="s">
        <v>33</v>
      </c>
      <c r="G317" t="s">
        <v>23</v>
      </c>
      <c r="H317">
        <v>92.59</v>
      </c>
      <c r="I317">
        <v>2548.14</v>
      </c>
      <c r="J317" t="s">
        <v>15</v>
      </c>
      <c r="K317" t="str">
        <f t="shared" si="4"/>
        <v>25-48 Months</v>
      </c>
      <c r="L317">
        <f>IF(Table13[[#This Row],[Churn]]="Yes",1,0)</f>
        <v>0</v>
      </c>
    </row>
    <row r="318" spans="1:12" x14ac:dyDescent="0.35">
      <c r="A318" t="s">
        <v>340</v>
      </c>
      <c r="B318" t="s">
        <v>11</v>
      </c>
      <c r="C318">
        <v>37</v>
      </c>
      <c r="D318">
        <v>66</v>
      </c>
      <c r="E318" t="s">
        <v>18</v>
      </c>
      <c r="F318" t="s">
        <v>13</v>
      </c>
      <c r="G318" t="s">
        <v>14</v>
      </c>
      <c r="H318">
        <v>133.09</v>
      </c>
      <c r="I318">
        <v>9549.59</v>
      </c>
      <c r="J318" t="s">
        <v>15</v>
      </c>
      <c r="K318" t="str">
        <f t="shared" si="4"/>
        <v>49+ Months</v>
      </c>
      <c r="L318">
        <f>IF(Table13[[#This Row],[Churn]]="Yes",1,0)</f>
        <v>0</v>
      </c>
    </row>
    <row r="319" spans="1:12" x14ac:dyDescent="0.35">
      <c r="A319" t="s">
        <v>341</v>
      </c>
      <c r="B319" t="s">
        <v>11</v>
      </c>
      <c r="C319">
        <v>66</v>
      </c>
      <c r="D319">
        <v>35</v>
      </c>
      <c r="E319" t="s">
        <v>12</v>
      </c>
      <c r="F319" t="s">
        <v>13</v>
      </c>
      <c r="G319" t="s">
        <v>23</v>
      </c>
      <c r="H319">
        <v>68.3</v>
      </c>
      <c r="I319">
        <v>2369.9699999999998</v>
      </c>
      <c r="J319" t="s">
        <v>15</v>
      </c>
      <c r="K319" t="str">
        <f t="shared" si="4"/>
        <v>25-48 Months</v>
      </c>
      <c r="L319">
        <f>IF(Table13[[#This Row],[Churn]]="Yes",1,0)</f>
        <v>0</v>
      </c>
    </row>
    <row r="320" spans="1:12" x14ac:dyDescent="0.35">
      <c r="A320" t="s">
        <v>342</v>
      </c>
      <c r="B320" t="s">
        <v>11</v>
      </c>
      <c r="C320">
        <v>29</v>
      </c>
      <c r="D320">
        <v>5</v>
      </c>
      <c r="E320" t="s">
        <v>12</v>
      </c>
      <c r="F320" t="s">
        <v>33</v>
      </c>
      <c r="G320" t="s">
        <v>19</v>
      </c>
      <c r="H320">
        <v>99.87</v>
      </c>
      <c r="I320">
        <v>478.4</v>
      </c>
      <c r="J320" t="s">
        <v>27</v>
      </c>
      <c r="K320" t="str">
        <f t="shared" si="4"/>
        <v>0-12 Months</v>
      </c>
      <c r="L320">
        <f>IF(Table13[[#This Row],[Churn]]="Yes",1,0)</f>
        <v>1</v>
      </c>
    </row>
    <row r="321" spans="1:12" x14ac:dyDescent="0.35">
      <c r="A321" t="s">
        <v>343</v>
      </c>
      <c r="B321" t="s">
        <v>17</v>
      </c>
      <c r="C321">
        <v>64</v>
      </c>
      <c r="D321">
        <v>65</v>
      </c>
      <c r="E321" t="s">
        <v>12</v>
      </c>
      <c r="F321" t="s">
        <v>29</v>
      </c>
      <c r="G321" t="s">
        <v>23</v>
      </c>
      <c r="H321">
        <v>88.08</v>
      </c>
      <c r="I321">
        <v>5796.12</v>
      </c>
      <c r="J321" t="s">
        <v>15</v>
      </c>
      <c r="K321" t="str">
        <f t="shared" si="4"/>
        <v>49+ Months</v>
      </c>
      <c r="L321">
        <f>IF(Table13[[#This Row],[Churn]]="Yes",1,0)</f>
        <v>0</v>
      </c>
    </row>
    <row r="322" spans="1:12" x14ac:dyDescent="0.35">
      <c r="A322" t="s">
        <v>344</v>
      </c>
      <c r="B322" t="s">
        <v>17</v>
      </c>
      <c r="C322">
        <v>18</v>
      </c>
      <c r="D322">
        <v>40</v>
      </c>
      <c r="E322" t="s">
        <v>12</v>
      </c>
      <c r="F322" t="s">
        <v>33</v>
      </c>
      <c r="G322" t="s">
        <v>19</v>
      </c>
      <c r="H322">
        <v>61.49</v>
      </c>
      <c r="I322">
        <v>2268.6999999999998</v>
      </c>
      <c r="J322" t="s">
        <v>27</v>
      </c>
      <c r="K322" t="str">
        <f t="shared" ref="K322:K385" si="5">IF(D322&lt;=12,"0-12 Months",IF(D322&lt;=24,"13-24 Months",IF(D322&lt;=48,"25-48 Months","49+ Months")))</f>
        <v>25-48 Months</v>
      </c>
      <c r="L322">
        <f>IF(Table13[[#This Row],[Churn]]="Yes",1,0)</f>
        <v>1</v>
      </c>
    </row>
    <row r="323" spans="1:12" x14ac:dyDescent="0.35">
      <c r="A323" t="s">
        <v>345</v>
      </c>
      <c r="B323" t="s">
        <v>11</v>
      </c>
      <c r="C323">
        <v>43</v>
      </c>
      <c r="D323">
        <v>56</v>
      </c>
      <c r="E323" t="s">
        <v>12</v>
      </c>
      <c r="F323" t="s">
        <v>29</v>
      </c>
      <c r="G323" t="s">
        <v>14</v>
      </c>
      <c r="H323">
        <v>81.09</v>
      </c>
      <c r="I323">
        <v>4640.49</v>
      </c>
      <c r="J323" t="s">
        <v>15</v>
      </c>
      <c r="K323" t="str">
        <f t="shared" si="5"/>
        <v>49+ Months</v>
      </c>
      <c r="L323">
        <f>IF(Table13[[#This Row],[Churn]]="Yes",1,0)</f>
        <v>0</v>
      </c>
    </row>
    <row r="324" spans="1:12" x14ac:dyDescent="0.35">
      <c r="A324" t="s">
        <v>346</v>
      </c>
      <c r="B324" t="s">
        <v>17</v>
      </c>
      <c r="C324">
        <v>31</v>
      </c>
      <c r="D324">
        <v>36</v>
      </c>
      <c r="E324" t="s">
        <v>12</v>
      </c>
      <c r="F324" t="s">
        <v>13</v>
      </c>
      <c r="G324" t="s">
        <v>14</v>
      </c>
      <c r="H324">
        <v>85.32</v>
      </c>
      <c r="I324">
        <v>3113.56</v>
      </c>
      <c r="J324" t="s">
        <v>27</v>
      </c>
      <c r="K324" t="str">
        <f t="shared" si="5"/>
        <v>25-48 Months</v>
      </c>
      <c r="L324">
        <f>IF(Table13[[#This Row],[Churn]]="Yes",1,0)</f>
        <v>1</v>
      </c>
    </row>
    <row r="325" spans="1:12" x14ac:dyDescent="0.35">
      <c r="A325" t="s">
        <v>347</v>
      </c>
      <c r="B325" t="s">
        <v>17</v>
      </c>
      <c r="C325">
        <v>55</v>
      </c>
      <c r="D325">
        <v>45</v>
      </c>
      <c r="E325" t="s">
        <v>12</v>
      </c>
      <c r="F325" t="s">
        <v>29</v>
      </c>
      <c r="G325" t="s">
        <v>23</v>
      </c>
      <c r="H325">
        <v>46.1</v>
      </c>
      <c r="I325">
        <v>2195.65</v>
      </c>
      <c r="J325" t="s">
        <v>15</v>
      </c>
      <c r="K325" t="str">
        <f t="shared" si="5"/>
        <v>25-48 Months</v>
      </c>
      <c r="L325">
        <f>IF(Table13[[#This Row],[Churn]]="Yes",1,0)</f>
        <v>0</v>
      </c>
    </row>
    <row r="326" spans="1:12" x14ac:dyDescent="0.35">
      <c r="A326" t="s">
        <v>348</v>
      </c>
      <c r="B326" t="s">
        <v>17</v>
      </c>
      <c r="C326">
        <v>54</v>
      </c>
      <c r="D326">
        <v>23</v>
      </c>
      <c r="E326" t="s">
        <v>18</v>
      </c>
      <c r="F326" t="s">
        <v>22</v>
      </c>
      <c r="G326" t="s">
        <v>23</v>
      </c>
      <c r="H326">
        <v>60.95</v>
      </c>
      <c r="I326">
        <v>1538.3</v>
      </c>
      <c r="J326" t="s">
        <v>15</v>
      </c>
      <c r="K326" t="str">
        <f t="shared" si="5"/>
        <v>13-24 Months</v>
      </c>
      <c r="L326">
        <f>IF(Table13[[#This Row],[Churn]]="Yes",1,0)</f>
        <v>0</v>
      </c>
    </row>
    <row r="327" spans="1:12" x14ac:dyDescent="0.35">
      <c r="A327" t="s">
        <v>349</v>
      </c>
      <c r="B327" t="s">
        <v>17</v>
      </c>
      <c r="C327">
        <v>28</v>
      </c>
      <c r="D327">
        <v>47</v>
      </c>
      <c r="E327" t="s">
        <v>12</v>
      </c>
      <c r="F327" t="s">
        <v>22</v>
      </c>
      <c r="G327" t="s">
        <v>19</v>
      </c>
      <c r="H327">
        <v>122.88</v>
      </c>
      <c r="I327">
        <v>5487.6</v>
      </c>
      <c r="J327" t="s">
        <v>27</v>
      </c>
      <c r="K327" t="str">
        <f t="shared" si="5"/>
        <v>25-48 Months</v>
      </c>
      <c r="L327">
        <f>IF(Table13[[#This Row],[Churn]]="Yes",1,0)</f>
        <v>1</v>
      </c>
    </row>
    <row r="328" spans="1:12" x14ac:dyDescent="0.35">
      <c r="A328" t="s">
        <v>350</v>
      </c>
      <c r="B328" t="s">
        <v>11</v>
      </c>
      <c r="C328">
        <v>53</v>
      </c>
      <c r="D328">
        <v>31</v>
      </c>
      <c r="E328" t="s">
        <v>18</v>
      </c>
      <c r="F328" t="s">
        <v>22</v>
      </c>
      <c r="G328" t="s">
        <v>23</v>
      </c>
      <c r="H328">
        <v>139.05000000000001</v>
      </c>
      <c r="I328">
        <v>4318.87</v>
      </c>
      <c r="J328" t="s">
        <v>15</v>
      </c>
      <c r="K328" t="str">
        <f t="shared" si="5"/>
        <v>25-48 Months</v>
      </c>
      <c r="L328">
        <f>IF(Table13[[#This Row],[Churn]]="Yes",1,0)</f>
        <v>0</v>
      </c>
    </row>
    <row r="329" spans="1:12" x14ac:dyDescent="0.35">
      <c r="A329" t="s">
        <v>351</v>
      </c>
      <c r="B329" t="s">
        <v>11</v>
      </c>
      <c r="C329">
        <v>30</v>
      </c>
      <c r="D329">
        <v>11</v>
      </c>
      <c r="E329" t="s">
        <v>12</v>
      </c>
      <c r="F329" t="s">
        <v>13</v>
      </c>
      <c r="G329" t="s">
        <v>14</v>
      </c>
      <c r="H329">
        <v>66.77</v>
      </c>
      <c r="I329">
        <v>794.53</v>
      </c>
      <c r="J329" t="s">
        <v>15</v>
      </c>
      <c r="K329" t="str">
        <f t="shared" si="5"/>
        <v>0-12 Months</v>
      </c>
      <c r="L329">
        <f>IF(Table13[[#This Row],[Churn]]="Yes",1,0)</f>
        <v>0</v>
      </c>
    </row>
    <row r="330" spans="1:12" x14ac:dyDescent="0.35">
      <c r="A330" t="s">
        <v>352</v>
      </c>
      <c r="B330" t="s">
        <v>17</v>
      </c>
      <c r="C330">
        <v>60</v>
      </c>
      <c r="D330">
        <v>10</v>
      </c>
      <c r="E330" t="s">
        <v>18</v>
      </c>
      <c r="F330" t="s">
        <v>13</v>
      </c>
      <c r="G330" t="s">
        <v>23</v>
      </c>
      <c r="H330">
        <v>59.91</v>
      </c>
      <c r="I330">
        <v>633.27</v>
      </c>
      <c r="J330" t="s">
        <v>15</v>
      </c>
      <c r="K330" t="str">
        <f t="shared" si="5"/>
        <v>0-12 Months</v>
      </c>
      <c r="L330">
        <f>IF(Table13[[#This Row],[Churn]]="Yes",1,0)</f>
        <v>0</v>
      </c>
    </row>
    <row r="331" spans="1:12" x14ac:dyDescent="0.35">
      <c r="A331" t="s">
        <v>353</v>
      </c>
      <c r="B331" t="s">
        <v>17</v>
      </c>
      <c r="C331">
        <v>20</v>
      </c>
      <c r="D331">
        <v>67</v>
      </c>
      <c r="E331" t="s">
        <v>21</v>
      </c>
      <c r="F331" t="s">
        <v>29</v>
      </c>
      <c r="G331" t="s">
        <v>19</v>
      </c>
      <c r="H331">
        <v>45.38</v>
      </c>
      <c r="I331">
        <v>3032.8</v>
      </c>
      <c r="J331" t="s">
        <v>15</v>
      </c>
      <c r="K331" t="str">
        <f t="shared" si="5"/>
        <v>49+ Months</v>
      </c>
      <c r="L331">
        <f>IF(Table13[[#This Row],[Churn]]="Yes",1,0)</f>
        <v>0</v>
      </c>
    </row>
    <row r="332" spans="1:12" x14ac:dyDescent="0.35">
      <c r="A332" t="s">
        <v>354</v>
      </c>
      <c r="B332" t="s">
        <v>11</v>
      </c>
      <c r="C332">
        <v>50</v>
      </c>
      <c r="D332">
        <v>14</v>
      </c>
      <c r="E332" t="s">
        <v>12</v>
      </c>
      <c r="F332" t="s">
        <v>29</v>
      </c>
      <c r="G332" t="s">
        <v>23</v>
      </c>
      <c r="H332">
        <v>108.2</v>
      </c>
      <c r="I332">
        <v>1649.73</v>
      </c>
      <c r="J332" t="s">
        <v>15</v>
      </c>
      <c r="K332" t="str">
        <f t="shared" si="5"/>
        <v>13-24 Months</v>
      </c>
      <c r="L332">
        <f>IF(Table13[[#This Row],[Churn]]="Yes",1,0)</f>
        <v>0</v>
      </c>
    </row>
    <row r="333" spans="1:12" x14ac:dyDescent="0.35">
      <c r="A333" t="s">
        <v>355</v>
      </c>
      <c r="B333" t="s">
        <v>11</v>
      </c>
      <c r="C333">
        <v>23</v>
      </c>
      <c r="D333">
        <v>10</v>
      </c>
      <c r="E333" t="s">
        <v>21</v>
      </c>
      <c r="F333" t="s">
        <v>33</v>
      </c>
      <c r="G333" t="s">
        <v>19</v>
      </c>
      <c r="H333">
        <v>62</v>
      </c>
      <c r="I333">
        <v>565.1</v>
      </c>
      <c r="J333" t="s">
        <v>15</v>
      </c>
      <c r="K333" t="str">
        <f t="shared" si="5"/>
        <v>0-12 Months</v>
      </c>
      <c r="L333">
        <f>IF(Table13[[#This Row],[Churn]]="Yes",1,0)</f>
        <v>0</v>
      </c>
    </row>
    <row r="334" spans="1:12" x14ac:dyDescent="0.35">
      <c r="A334" t="s">
        <v>356</v>
      </c>
      <c r="B334" t="s">
        <v>17</v>
      </c>
      <c r="C334">
        <v>67</v>
      </c>
      <c r="D334">
        <v>1</v>
      </c>
      <c r="E334" t="s">
        <v>12</v>
      </c>
      <c r="F334" t="s">
        <v>13</v>
      </c>
      <c r="G334" t="s">
        <v>23</v>
      </c>
      <c r="H334">
        <v>148.41</v>
      </c>
      <c r="I334">
        <v>161.19999999999999</v>
      </c>
      <c r="J334" t="s">
        <v>27</v>
      </c>
      <c r="K334" t="str">
        <f t="shared" si="5"/>
        <v>0-12 Months</v>
      </c>
      <c r="L334">
        <f>IF(Table13[[#This Row],[Churn]]="Yes",1,0)</f>
        <v>1</v>
      </c>
    </row>
    <row r="335" spans="1:12" x14ac:dyDescent="0.35">
      <c r="A335" t="s">
        <v>357</v>
      </c>
      <c r="B335" t="s">
        <v>11</v>
      </c>
      <c r="C335">
        <v>27</v>
      </c>
      <c r="D335">
        <v>5</v>
      </c>
      <c r="E335" t="s">
        <v>12</v>
      </c>
      <c r="F335" t="s">
        <v>33</v>
      </c>
      <c r="G335" t="s">
        <v>19</v>
      </c>
      <c r="H335">
        <v>62.34</v>
      </c>
      <c r="I335">
        <v>283.68</v>
      </c>
      <c r="J335" t="s">
        <v>27</v>
      </c>
      <c r="K335" t="str">
        <f t="shared" si="5"/>
        <v>0-12 Months</v>
      </c>
      <c r="L335">
        <f>IF(Table13[[#This Row],[Churn]]="Yes",1,0)</f>
        <v>1</v>
      </c>
    </row>
    <row r="336" spans="1:12" x14ac:dyDescent="0.35">
      <c r="A336" t="s">
        <v>358</v>
      </c>
      <c r="B336" t="s">
        <v>17</v>
      </c>
      <c r="C336">
        <v>22</v>
      </c>
      <c r="D336">
        <v>20</v>
      </c>
      <c r="E336" t="s">
        <v>18</v>
      </c>
      <c r="F336" t="s">
        <v>33</v>
      </c>
      <c r="G336" t="s">
        <v>19</v>
      </c>
      <c r="H336">
        <v>71.239999999999995</v>
      </c>
      <c r="I336">
        <v>1438.28</v>
      </c>
      <c r="J336" t="s">
        <v>15</v>
      </c>
      <c r="K336" t="str">
        <f t="shared" si="5"/>
        <v>13-24 Months</v>
      </c>
      <c r="L336">
        <f>IF(Table13[[#This Row],[Churn]]="Yes",1,0)</f>
        <v>0</v>
      </c>
    </row>
    <row r="337" spans="1:12" x14ac:dyDescent="0.35">
      <c r="A337" t="s">
        <v>359</v>
      </c>
      <c r="B337" t="s">
        <v>17</v>
      </c>
      <c r="C337">
        <v>40</v>
      </c>
      <c r="D337">
        <v>8</v>
      </c>
      <c r="E337" t="s">
        <v>12</v>
      </c>
      <c r="F337" t="s">
        <v>13</v>
      </c>
      <c r="G337" t="s">
        <v>14</v>
      </c>
      <c r="H337">
        <v>98.43</v>
      </c>
      <c r="I337">
        <v>848.93</v>
      </c>
      <c r="J337" t="s">
        <v>15</v>
      </c>
      <c r="K337" t="str">
        <f t="shared" si="5"/>
        <v>0-12 Months</v>
      </c>
      <c r="L337">
        <f>IF(Table13[[#This Row],[Churn]]="Yes",1,0)</f>
        <v>0</v>
      </c>
    </row>
    <row r="338" spans="1:12" x14ac:dyDescent="0.35">
      <c r="A338" t="s">
        <v>360</v>
      </c>
      <c r="B338" t="s">
        <v>11</v>
      </c>
      <c r="C338">
        <v>27</v>
      </c>
      <c r="D338">
        <v>43</v>
      </c>
      <c r="E338" t="s">
        <v>12</v>
      </c>
      <c r="F338" t="s">
        <v>22</v>
      </c>
      <c r="G338" t="s">
        <v>19</v>
      </c>
      <c r="H338">
        <v>124.22</v>
      </c>
      <c r="I338">
        <v>5087.9799999999996</v>
      </c>
      <c r="J338" t="s">
        <v>15</v>
      </c>
      <c r="K338" t="str">
        <f t="shared" si="5"/>
        <v>25-48 Months</v>
      </c>
      <c r="L338">
        <f>IF(Table13[[#This Row],[Churn]]="Yes",1,0)</f>
        <v>0</v>
      </c>
    </row>
    <row r="339" spans="1:12" x14ac:dyDescent="0.35">
      <c r="A339" t="s">
        <v>361</v>
      </c>
      <c r="B339" t="s">
        <v>11</v>
      </c>
      <c r="C339">
        <v>61</v>
      </c>
      <c r="D339">
        <v>1</v>
      </c>
      <c r="E339" t="s">
        <v>21</v>
      </c>
      <c r="F339" t="s">
        <v>29</v>
      </c>
      <c r="G339" t="s">
        <v>23</v>
      </c>
      <c r="H339">
        <v>81.040000000000006</v>
      </c>
      <c r="I339">
        <v>80.59</v>
      </c>
      <c r="J339" t="s">
        <v>27</v>
      </c>
      <c r="K339" t="str">
        <f t="shared" si="5"/>
        <v>0-12 Months</v>
      </c>
      <c r="L339">
        <f>IF(Table13[[#This Row],[Churn]]="Yes",1,0)</f>
        <v>1</v>
      </c>
    </row>
    <row r="340" spans="1:12" x14ac:dyDescent="0.35">
      <c r="A340" t="s">
        <v>362</v>
      </c>
      <c r="B340" t="s">
        <v>17</v>
      </c>
      <c r="C340">
        <v>19</v>
      </c>
      <c r="D340">
        <v>57</v>
      </c>
      <c r="E340" t="s">
        <v>18</v>
      </c>
      <c r="F340" t="s">
        <v>29</v>
      </c>
      <c r="G340" t="s">
        <v>19</v>
      </c>
      <c r="H340">
        <v>74.95</v>
      </c>
      <c r="I340">
        <v>4122.05</v>
      </c>
      <c r="J340" t="s">
        <v>15</v>
      </c>
      <c r="K340" t="str">
        <f t="shared" si="5"/>
        <v>49+ Months</v>
      </c>
      <c r="L340">
        <f>IF(Table13[[#This Row],[Churn]]="Yes",1,0)</f>
        <v>0</v>
      </c>
    </row>
    <row r="341" spans="1:12" x14ac:dyDescent="0.35">
      <c r="A341" t="s">
        <v>363</v>
      </c>
      <c r="B341" t="s">
        <v>17</v>
      </c>
      <c r="C341">
        <v>30</v>
      </c>
      <c r="D341">
        <v>64</v>
      </c>
      <c r="E341" t="s">
        <v>21</v>
      </c>
      <c r="F341" t="s">
        <v>29</v>
      </c>
      <c r="G341" t="s">
        <v>14</v>
      </c>
      <c r="H341">
        <v>149.43</v>
      </c>
      <c r="I341">
        <v>10428.34</v>
      </c>
      <c r="J341" t="s">
        <v>15</v>
      </c>
      <c r="K341" t="str">
        <f t="shared" si="5"/>
        <v>49+ Months</v>
      </c>
      <c r="L341">
        <f>IF(Table13[[#This Row],[Churn]]="Yes",1,0)</f>
        <v>0</v>
      </c>
    </row>
    <row r="342" spans="1:12" x14ac:dyDescent="0.35">
      <c r="A342" t="s">
        <v>364</v>
      </c>
      <c r="B342" t="s">
        <v>11</v>
      </c>
      <c r="C342">
        <v>57</v>
      </c>
      <c r="D342">
        <v>28</v>
      </c>
      <c r="E342" t="s">
        <v>12</v>
      </c>
      <c r="F342" t="s">
        <v>13</v>
      </c>
      <c r="G342" t="s">
        <v>23</v>
      </c>
      <c r="H342">
        <v>21.36</v>
      </c>
      <c r="I342">
        <v>636.79</v>
      </c>
      <c r="J342" t="s">
        <v>15</v>
      </c>
      <c r="K342" t="str">
        <f t="shared" si="5"/>
        <v>25-48 Months</v>
      </c>
      <c r="L342">
        <f>IF(Table13[[#This Row],[Churn]]="Yes",1,0)</f>
        <v>0</v>
      </c>
    </row>
    <row r="343" spans="1:12" x14ac:dyDescent="0.35">
      <c r="A343" t="s">
        <v>365</v>
      </c>
      <c r="B343" t="s">
        <v>17</v>
      </c>
      <c r="C343">
        <v>19</v>
      </c>
      <c r="D343">
        <v>37</v>
      </c>
      <c r="E343" t="s">
        <v>21</v>
      </c>
      <c r="F343" t="s">
        <v>13</v>
      </c>
      <c r="G343" t="s">
        <v>19</v>
      </c>
      <c r="H343">
        <v>136.36000000000001</v>
      </c>
      <c r="I343">
        <v>5256.22</v>
      </c>
      <c r="J343" t="s">
        <v>27</v>
      </c>
      <c r="K343" t="str">
        <f t="shared" si="5"/>
        <v>25-48 Months</v>
      </c>
      <c r="L343">
        <f>IF(Table13[[#This Row],[Churn]]="Yes",1,0)</f>
        <v>1</v>
      </c>
    </row>
    <row r="344" spans="1:12" x14ac:dyDescent="0.35">
      <c r="A344" t="s">
        <v>366</v>
      </c>
      <c r="B344" t="s">
        <v>11</v>
      </c>
      <c r="C344">
        <v>37</v>
      </c>
      <c r="D344">
        <v>47</v>
      </c>
      <c r="E344" t="s">
        <v>12</v>
      </c>
      <c r="F344" t="s">
        <v>13</v>
      </c>
      <c r="G344" t="s">
        <v>14</v>
      </c>
      <c r="H344">
        <v>39.39</v>
      </c>
      <c r="I344">
        <v>1883.78</v>
      </c>
      <c r="J344" t="s">
        <v>15</v>
      </c>
      <c r="K344" t="str">
        <f t="shared" si="5"/>
        <v>25-48 Months</v>
      </c>
      <c r="L344">
        <f>IF(Table13[[#This Row],[Churn]]="Yes",1,0)</f>
        <v>0</v>
      </c>
    </row>
    <row r="345" spans="1:12" x14ac:dyDescent="0.35">
      <c r="A345" t="s">
        <v>367</v>
      </c>
      <c r="B345" t="s">
        <v>17</v>
      </c>
      <c r="C345">
        <v>18</v>
      </c>
      <c r="D345">
        <v>37</v>
      </c>
      <c r="E345" t="s">
        <v>21</v>
      </c>
      <c r="F345" t="s">
        <v>13</v>
      </c>
      <c r="G345" t="s">
        <v>19</v>
      </c>
      <c r="H345">
        <v>122.17</v>
      </c>
      <c r="I345">
        <v>4810.12</v>
      </c>
      <c r="J345" t="s">
        <v>15</v>
      </c>
      <c r="K345" t="str">
        <f t="shared" si="5"/>
        <v>25-48 Months</v>
      </c>
      <c r="L345">
        <f>IF(Table13[[#This Row],[Churn]]="Yes",1,0)</f>
        <v>0</v>
      </c>
    </row>
    <row r="346" spans="1:12" x14ac:dyDescent="0.35">
      <c r="A346" t="s">
        <v>368</v>
      </c>
      <c r="B346" t="s">
        <v>11</v>
      </c>
      <c r="C346">
        <v>54</v>
      </c>
      <c r="D346">
        <v>49</v>
      </c>
      <c r="E346" t="s">
        <v>18</v>
      </c>
      <c r="F346" t="s">
        <v>13</v>
      </c>
      <c r="G346" t="s">
        <v>23</v>
      </c>
      <c r="H346">
        <v>100.33</v>
      </c>
      <c r="I346">
        <v>4810.24</v>
      </c>
      <c r="J346" t="s">
        <v>15</v>
      </c>
      <c r="K346" t="str">
        <f t="shared" si="5"/>
        <v>49+ Months</v>
      </c>
      <c r="L346">
        <f>IF(Table13[[#This Row],[Churn]]="Yes",1,0)</f>
        <v>0</v>
      </c>
    </row>
    <row r="347" spans="1:12" x14ac:dyDescent="0.35">
      <c r="A347" t="s">
        <v>369</v>
      </c>
      <c r="B347" t="s">
        <v>11</v>
      </c>
      <c r="C347">
        <v>26</v>
      </c>
      <c r="D347">
        <v>44</v>
      </c>
      <c r="E347" t="s">
        <v>21</v>
      </c>
      <c r="F347" t="s">
        <v>22</v>
      </c>
      <c r="G347" t="s">
        <v>19</v>
      </c>
      <c r="H347">
        <v>64.44</v>
      </c>
      <c r="I347">
        <v>2805.62</v>
      </c>
      <c r="J347" t="s">
        <v>15</v>
      </c>
      <c r="K347" t="str">
        <f t="shared" si="5"/>
        <v>25-48 Months</v>
      </c>
      <c r="L347">
        <f>IF(Table13[[#This Row],[Churn]]="Yes",1,0)</f>
        <v>0</v>
      </c>
    </row>
    <row r="348" spans="1:12" x14ac:dyDescent="0.35">
      <c r="A348" t="s">
        <v>370</v>
      </c>
      <c r="B348" t="s">
        <v>11</v>
      </c>
      <c r="C348">
        <v>34</v>
      </c>
      <c r="D348">
        <v>56</v>
      </c>
      <c r="E348" t="s">
        <v>18</v>
      </c>
      <c r="F348" t="s">
        <v>22</v>
      </c>
      <c r="G348" t="s">
        <v>14</v>
      </c>
      <c r="H348">
        <v>133.6</v>
      </c>
      <c r="I348">
        <v>7825.76</v>
      </c>
      <c r="J348" t="s">
        <v>15</v>
      </c>
      <c r="K348" t="str">
        <f t="shared" si="5"/>
        <v>49+ Months</v>
      </c>
      <c r="L348">
        <f>IF(Table13[[#This Row],[Churn]]="Yes",1,0)</f>
        <v>0</v>
      </c>
    </row>
    <row r="349" spans="1:12" x14ac:dyDescent="0.35">
      <c r="A349" t="s">
        <v>371</v>
      </c>
      <c r="B349" t="s">
        <v>17</v>
      </c>
      <c r="C349">
        <v>26</v>
      </c>
      <c r="D349">
        <v>28</v>
      </c>
      <c r="E349" t="s">
        <v>12</v>
      </c>
      <c r="F349" t="s">
        <v>29</v>
      </c>
      <c r="G349" t="s">
        <v>19</v>
      </c>
      <c r="H349">
        <v>21.68</v>
      </c>
      <c r="I349">
        <v>589.77</v>
      </c>
      <c r="J349" t="s">
        <v>15</v>
      </c>
      <c r="K349" t="str">
        <f t="shared" si="5"/>
        <v>25-48 Months</v>
      </c>
      <c r="L349">
        <f>IF(Table13[[#This Row],[Churn]]="Yes",1,0)</f>
        <v>0</v>
      </c>
    </row>
    <row r="350" spans="1:12" x14ac:dyDescent="0.35">
      <c r="A350" t="s">
        <v>372</v>
      </c>
      <c r="B350" t="s">
        <v>17</v>
      </c>
      <c r="C350">
        <v>28</v>
      </c>
      <c r="D350">
        <v>6</v>
      </c>
      <c r="E350" t="s">
        <v>21</v>
      </c>
      <c r="F350" t="s">
        <v>29</v>
      </c>
      <c r="G350" t="s">
        <v>19</v>
      </c>
      <c r="H350">
        <v>49.47</v>
      </c>
      <c r="I350">
        <v>270.93</v>
      </c>
      <c r="J350" t="s">
        <v>27</v>
      </c>
      <c r="K350" t="str">
        <f t="shared" si="5"/>
        <v>0-12 Months</v>
      </c>
      <c r="L350">
        <f>IF(Table13[[#This Row],[Churn]]="Yes",1,0)</f>
        <v>1</v>
      </c>
    </row>
    <row r="351" spans="1:12" x14ac:dyDescent="0.35">
      <c r="A351" t="s">
        <v>373</v>
      </c>
      <c r="B351" t="s">
        <v>11</v>
      </c>
      <c r="C351">
        <v>32</v>
      </c>
      <c r="D351">
        <v>61</v>
      </c>
      <c r="E351" t="s">
        <v>18</v>
      </c>
      <c r="F351" t="s">
        <v>22</v>
      </c>
      <c r="G351" t="s">
        <v>14</v>
      </c>
      <c r="H351">
        <v>93.7</v>
      </c>
      <c r="I351">
        <v>5229.1000000000004</v>
      </c>
      <c r="J351" t="s">
        <v>15</v>
      </c>
      <c r="K351" t="str">
        <f t="shared" si="5"/>
        <v>49+ Months</v>
      </c>
      <c r="L351">
        <f>IF(Table13[[#This Row],[Churn]]="Yes",1,0)</f>
        <v>0</v>
      </c>
    </row>
    <row r="352" spans="1:12" x14ac:dyDescent="0.35">
      <c r="A352" t="s">
        <v>374</v>
      </c>
      <c r="B352" t="s">
        <v>17</v>
      </c>
      <c r="C352">
        <v>41</v>
      </c>
      <c r="D352">
        <v>20</v>
      </c>
      <c r="E352" t="s">
        <v>12</v>
      </c>
      <c r="F352" t="s">
        <v>13</v>
      </c>
      <c r="G352" t="s">
        <v>14</v>
      </c>
      <c r="H352">
        <v>65.7</v>
      </c>
      <c r="I352">
        <v>1212.92</v>
      </c>
      <c r="J352" t="s">
        <v>15</v>
      </c>
      <c r="K352" t="str">
        <f t="shared" si="5"/>
        <v>13-24 Months</v>
      </c>
      <c r="L352">
        <f>IF(Table13[[#This Row],[Churn]]="Yes",1,0)</f>
        <v>0</v>
      </c>
    </row>
    <row r="353" spans="1:12" x14ac:dyDescent="0.35">
      <c r="A353" t="s">
        <v>375</v>
      </c>
      <c r="B353" t="s">
        <v>11</v>
      </c>
      <c r="C353">
        <v>55</v>
      </c>
      <c r="D353">
        <v>2</v>
      </c>
      <c r="E353" t="s">
        <v>18</v>
      </c>
      <c r="F353" t="s">
        <v>22</v>
      </c>
      <c r="G353" t="s">
        <v>23</v>
      </c>
      <c r="H353">
        <v>99.35</v>
      </c>
      <c r="I353">
        <v>213.39</v>
      </c>
      <c r="J353" t="s">
        <v>27</v>
      </c>
      <c r="K353" t="str">
        <f t="shared" si="5"/>
        <v>0-12 Months</v>
      </c>
      <c r="L353">
        <f>IF(Table13[[#This Row],[Churn]]="Yes",1,0)</f>
        <v>1</v>
      </c>
    </row>
    <row r="354" spans="1:12" x14ac:dyDescent="0.35">
      <c r="A354" t="s">
        <v>376</v>
      </c>
      <c r="B354" t="s">
        <v>11</v>
      </c>
      <c r="C354">
        <v>52</v>
      </c>
      <c r="D354">
        <v>37</v>
      </c>
      <c r="E354" t="s">
        <v>12</v>
      </c>
      <c r="F354" t="s">
        <v>29</v>
      </c>
      <c r="G354" t="s">
        <v>23</v>
      </c>
      <c r="H354">
        <v>23.13</v>
      </c>
      <c r="I354">
        <v>851.06</v>
      </c>
      <c r="J354" t="s">
        <v>15</v>
      </c>
      <c r="K354" t="str">
        <f t="shared" si="5"/>
        <v>25-48 Months</v>
      </c>
      <c r="L354">
        <f>IF(Table13[[#This Row],[Churn]]="Yes",1,0)</f>
        <v>0</v>
      </c>
    </row>
    <row r="355" spans="1:12" x14ac:dyDescent="0.35">
      <c r="A355" t="s">
        <v>377</v>
      </c>
      <c r="B355" t="s">
        <v>17</v>
      </c>
      <c r="C355">
        <v>47</v>
      </c>
      <c r="D355">
        <v>20</v>
      </c>
      <c r="E355" t="s">
        <v>21</v>
      </c>
      <c r="F355" t="s">
        <v>13</v>
      </c>
      <c r="G355" t="s">
        <v>14</v>
      </c>
      <c r="H355">
        <v>35.14</v>
      </c>
      <c r="I355">
        <v>732.72</v>
      </c>
      <c r="J355" t="s">
        <v>27</v>
      </c>
      <c r="K355" t="str">
        <f t="shared" si="5"/>
        <v>13-24 Months</v>
      </c>
      <c r="L355">
        <f>IF(Table13[[#This Row],[Churn]]="Yes",1,0)</f>
        <v>1</v>
      </c>
    </row>
    <row r="356" spans="1:12" x14ac:dyDescent="0.35">
      <c r="A356" t="s">
        <v>378</v>
      </c>
      <c r="B356" t="s">
        <v>17</v>
      </c>
      <c r="C356">
        <v>48</v>
      </c>
      <c r="D356">
        <v>26</v>
      </c>
      <c r="E356" t="s">
        <v>18</v>
      </c>
      <c r="F356" t="s">
        <v>29</v>
      </c>
      <c r="G356" t="s">
        <v>14</v>
      </c>
      <c r="H356">
        <v>36.520000000000003</v>
      </c>
      <c r="I356">
        <v>929.18</v>
      </c>
      <c r="J356" t="s">
        <v>27</v>
      </c>
      <c r="K356" t="str">
        <f t="shared" si="5"/>
        <v>25-48 Months</v>
      </c>
      <c r="L356">
        <f>IF(Table13[[#This Row],[Churn]]="Yes",1,0)</f>
        <v>1</v>
      </c>
    </row>
    <row r="357" spans="1:12" x14ac:dyDescent="0.35">
      <c r="A357" t="s">
        <v>379</v>
      </c>
      <c r="B357" t="s">
        <v>11</v>
      </c>
      <c r="C357">
        <v>66</v>
      </c>
      <c r="D357">
        <v>29</v>
      </c>
      <c r="E357" t="s">
        <v>21</v>
      </c>
      <c r="F357" t="s">
        <v>29</v>
      </c>
      <c r="G357" t="s">
        <v>23</v>
      </c>
      <c r="H357">
        <v>44.61</v>
      </c>
      <c r="I357">
        <v>1231.26</v>
      </c>
      <c r="J357" t="s">
        <v>15</v>
      </c>
      <c r="K357" t="str">
        <f t="shared" si="5"/>
        <v>25-48 Months</v>
      </c>
      <c r="L357">
        <f>IF(Table13[[#This Row],[Churn]]="Yes",1,0)</f>
        <v>0</v>
      </c>
    </row>
    <row r="358" spans="1:12" x14ac:dyDescent="0.35">
      <c r="A358" t="s">
        <v>380</v>
      </c>
      <c r="B358" t="s">
        <v>17</v>
      </c>
      <c r="C358">
        <v>22</v>
      </c>
      <c r="D358">
        <v>1</v>
      </c>
      <c r="E358" t="s">
        <v>12</v>
      </c>
      <c r="F358" t="s">
        <v>22</v>
      </c>
      <c r="G358" t="s">
        <v>19</v>
      </c>
      <c r="H358">
        <v>79.709999999999994</v>
      </c>
      <c r="I358">
        <v>77.27</v>
      </c>
      <c r="J358" t="s">
        <v>15</v>
      </c>
      <c r="K358" t="str">
        <f t="shared" si="5"/>
        <v>0-12 Months</v>
      </c>
      <c r="L358">
        <f>IF(Table13[[#This Row],[Churn]]="Yes",1,0)</f>
        <v>0</v>
      </c>
    </row>
    <row r="359" spans="1:12" x14ac:dyDescent="0.35">
      <c r="A359" t="s">
        <v>381</v>
      </c>
      <c r="B359" t="s">
        <v>17</v>
      </c>
      <c r="C359">
        <v>61</v>
      </c>
      <c r="D359">
        <v>35</v>
      </c>
      <c r="E359" t="s">
        <v>21</v>
      </c>
      <c r="F359" t="s">
        <v>13</v>
      </c>
      <c r="G359" t="s">
        <v>23</v>
      </c>
      <c r="H359">
        <v>117.78</v>
      </c>
      <c r="I359">
        <v>4364.84</v>
      </c>
      <c r="J359" t="s">
        <v>15</v>
      </c>
      <c r="K359" t="str">
        <f t="shared" si="5"/>
        <v>25-48 Months</v>
      </c>
      <c r="L359">
        <f>IF(Table13[[#This Row],[Churn]]="Yes",1,0)</f>
        <v>0</v>
      </c>
    </row>
    <row r="360" spans="1:12" x14ac:dyDescent="0.35">
      <c r="A360" t="s">
        <v>382</v>
      </c>
      <c r="B360" t="s">
        <v>11</v>
      </c>
      <c r="C360">
        <v>67</v>
      </c>
      <c r="D360">
        <v>70</v>
      </c>
      <c r="E360" t="s">
        <v>12</v>
      </c>
      <c r="F360" t="s">
        <v>22</v>
      </c>
      <c r="G360" t="s">
        <v>23</v>
      </c>
      <c r="H360">
        <v>137.72</v>
      </c>
      <c r="I360">
        <v>9881.83</v>
      </c>
      <c r="J360" t="s">
        <v>15</v>
      </c>
      <c r="K360" t="str">
        <f t="shared" si="5"/>
        <v>49+ Months</v>
      </c>
      <c r="L360">
        <f>IF(Table13[[#This Row],[Churn]]="Yes",1,0)</f>
        <v>0</v>
      </c>
    </row>
    <row r="361" spans="1:12" x14ac:dyDescent="0.35">
      <c r="A361" t="s">
        <v>383</v>
      </c>
      <c r="B361" t="s">
        <v>11</v>
      </c>
      <c r="C361">
        <v>31</v>
      </c>
      <c r="D361">
        <v>59</v>
      </c>
      <c r="E361" t="s">
        <v>18</v>
      </c>
      <c r="F361" t="s">
        <v>33</v>
      </c>
      <c r="G361" t="s">
        <v>14</v>
      </c>
      <c r="H361">
        <v>128.6</v>
      </c>
      <c r="I361">
        <v>8251.51</v>
      </c>
      <c r="J361" t="s">
        <v>27</v>
      </c>
      <c r="K361" t="str">
        <f t="shared" si="5"/>
        <v>49+ Months</v>
      </c>
      <c r="L361">
        <f>IF(Table13[[#This Row],[Churn]]="Yes",1,0)</f>
        <v>1</v>
      </c>
    </row>
    <row r="362" spans="1:12" x14ac:dyDescent="0.35">
      <c r="A362" t="s">
        <v>384</v>
      </c>
      <c r="B362" t="s">
        <v>17</v>
      </c>
      <c r="C362">
        <v>70</v>
      </c>
      <c r="D362">
        <v>69</v>
      </c>
      <c r="E362" t="s">
        <v>12</v>
      </c>
      <c r="F362" t="s">
        <v>13</v>
      </c>
      <c r="G362" t="s">
        <v>23</v>
      </c>
      <c r="H362">
        <v>45.6</v>
      </c>
      <c r="I362">
        <v>3259.48</v>
      </c>
      <c r="J362" t="s">
        <v>15</v>
      </c>
      <c r="K362" t="str">
        <f t="shared" si="5"/>
        <v>49+ Months</v>
      </c>
      <c r="L362">
        <f>IF(Table13[[#This Row],[Churn]]="Yes",1,0)</f>
        <v>0</v>
      </c>
    </row>
    <row r="363" spans="1:12" x14ac:dyDescent="0.35">
      <c r="A363" t="s">
        <v>385</v>
      </c>
      <c r="B363" t="s">
        <v>11</v>
      </c>
      <c r="C363">
        <v>28</v>
      </c>
      <c r="D363">
        <v>33</v>
      </c>
      <c r="E363" t="s">
        <v>12</v>
      </c>
      <c r="F363" t="s">
        <v>22</v>
      </c>
      <c r="G363" t="s">
        <v>19</v>
      </c>
      <c r="H363">
        <v>77.349999999999994</v>
      </c>
      <c r="I363">
        <v>2588.38</v>
      </c>
      <c r="J363" t="s">
        <v>15</v>
      </c>
      <c r="K363" t="str">
        <f t="shared" si="5"/>
        <v>25-48 Months</v>
      </c>
      <c r="L363">
        <f>IF(Table13[[#This Row],[Churn]]="Yes",1,0)</f>
        <v>0</v>
      </c>
    </row>
    <row r="364" spans="1:12" x14ac:dyDescent="0.35">
      <c r="A364" t="s">
        <v>386</v>
      </c>
      <c r="B364" t="s">
        <v>11</v>
      </c>
      <c r="C364">
        <v>26</v>
      </c>
      <c r="D364">
        <v>51</v>
      </c>
      <c r="E364" t="s">
        <v>21</v>
      </c>
      <c r="F364" t="s">
        <v>29</v>
      </c>
      <c r="G364" t="s">
        <v>19</v>
      </c>
      <c r="H364">
        <v>45.92</v>
      </c>
      <c r="I364">
        <v>2393.5300000000002</v>
      </c>
      <c r="J364" t="s">
        <v>15</v>
      </c>
      <c r="K364" t="str">
        <f t="shared" si="5"/>
        <v>49+ Months</v>
      </c>
      <c r="L364">
        <f>IF(Table13[[#This Row],[Churn]]="Yes",1,0)</f>
        <v>0</v>
      </c>
    </row>
    <row r="365" spans="1:12" x14ac:dyDescent="0.35">
      <c r="A365" t="s">
        <v>387</v>
      </c>
      <c r="B365" t="s">
        <v>17</v>
      </c>
      <c r="C365">
        <v>51</v>
      </c>
      <c r="D365">
        <v>12</v>
      </c>
      <c r="E365" t="s">
        <v>12</v>
      </c>
      <c r="F365" t="s">
        <v>13</v>
      </c>
      <c r="G365" t="s">
        <v>23</v>
      </c>
      <c r="H365">
        <v>54.38</v>
      </c>
      <c r="I365">
        <v>710.29</v>
      </c>
      <c r="J365" t="s">
        <v>15</v>
      </c>
      <c r="K365" t="str">
        <f t="shared" si="5"/>
        <v>0-12 Months</v>
      </c>
      <c r="L365">
        <f>IF(Table13[[#This Row],[Churn]]="Yes",1,0)</f>
        <v>0</v>
      </c>
    </row>
    <row r="366" spans="1:12" x14ac:dyDescent="0.35">
      <c r="A366" t="s">
        <v>388</v>
      </c>
      <c r="B366" t="s">
        <v>11</v>
      </c>
      <c r="C366">
        <v>29</v>
      </c>
      <c r="D366">
        <v>20</v>
      </c>
      <c r="E366" t="s">
        <v>21</v>
      </c>
      <c r="F366" t="s">
        <v>22</v>
      </c>
      <c r="G366" t="s">
        <v>19</v>
      </c>
      <c r="H366">
        <v>85.46</v>
      </c>
      <c r="I366">
        <v>1807.72</v>
      </c>
      <c r="J366" t="s">
        <v>15</v>
      </c>
      <c r="K366" t="str">
        <f t="shared" si="5"/>
        <v>13-24 Months</v>
      </c>
      <c r="L366">
        <f>IF(Table13[[#This Row],[Churn]]="Yes",1,0)</f>
        <v>0</v>
      </c>
    </row>
    <row r="367" spans="1:12" x14ac:dyDescent="0.35">
      <c r="A367" t="s">
        <v>389</v>
      </c>
      <c r="B367" t="s">
        <v>11</v>
      </c>
      <c r="C367">
        <v>52</v>
      </c>
      <c r="D367">
        <v>53</v>
      </c>
      <c r="E367" t="s">
        <v>21</v>
      </c>
      <c r="F367" t="s">
        <v>13</v>
      </c>
      <c r="G367" t="s">
        <v>23</v>
      </c>
      <c r="H367">
        <v>28.85</v>
      </c>
      <c r="I367">
        <v>1383.5</v>
      </c>
      <c r="J367" t="s">
        <v>15</v>
      </c>
      <c r="K367" t="str">
        <f t="shared" si="5"/>
        <v>49+ Months</v>
      </c>
      <c r="L367">
        <f>IF(Table13[[#This Row],[Churn]]="Yes",1,0)</f>
        <v>0</v>
      </c>
    </row>
    <row r="368" spans="1:12" x14ac:dyDescent="0.35">
      <c r="A368" t="s">
        <v>390</v>
      </c>
      <c r="B368" t="s">
        <v>17</v>
      </c>
      <c r="C368">
        <v>52</v>
      </c>
      <c r="D368">
        <v>43</v>
      </c>
      <c r="E368" t="s">
        <v>18</v>
      </c>
      <c r="F368" t="s">
        <v>13</v>
      </c>
      <c r="G368" t="s">
        <v>23</v>
      </c>
      <c r="H368">
        <v>48.36</v>
      </c>
      <c r="I368">
        <v>2093.6799999999998</v>
      </c>
      <c r="J368" t="s">
        <v>15</v>
      </c>
      <c r="K368" t="str">
        <f t="shared" si="5"/>
        <v>25-48 Months</v>
      </c>
      <c r="L368">
        <f>IF(Table13[[#This Row],[Churn]]="Yes",1,0)</f>
        <v>0</v>
      </c>
    </row>
    <row r="369" spans="1:12" x14ac:dyDescent="0.35">
      <c r="A369" t="s">
        <v>391</v>
      </c>
      <c r="B369" t="s">
        <v>17</v>
      </c>
      <c r="C369">
        <v>18</v>
      </c>
      <c r="D369">
        <v>50</v>
      </c>
      <c r="E369" t="s">
        <v>21</v>
      </c>
      <c r="F369" t="s">
        <v>29</v>
      </c>
      <c r="G369" t="s">
        <v>19</v>
      </c>
      <c r="H369">
        <v>141.6</v>
      </c>
      <c r="I369">
        <v>7346.69</v>
      </c>
      <c r="J369" t="s">
        <v>15</v>
      </c>
      <c r="K369" t="str">
        <f t="shared" si="5"/>
        <v>49+ Months</v>
      </c>
      <c r="L369">
        <f>IF(Table13[[#This Row],[Churn]]="Yes",1,0)</f>
        <v>0</v>
      </c>
    </row>
    <row r="370" spans="1:12" x14ac:dyDescent="0.35">
      <c r="A370" t="s">
        <v>392</v>
      </c>
      <c r="B370" t="s">
        <v>11</v>
      </c>
      <c r="C370">
        <v>57</v>
      </c>
      <c r="D370">
        <v>29</v>
      </c>
      <c r="E370" t="s">
        <v>12</v>
      </c>
      <c r="F370" t="s">
        <v>13</v>
      </c>
      <c r="G370" t="s">
        <v>23</v>
      </c>
      <c r="H370">
        <v>80.599999999999994</v>
      </c>
      <c r="I370">
        <v>2453.66</v>
      </c>
      <c r="J370" t="s">
        <v>15</v>
      </c>
      <c r="K370" t="str">
        <f t="shared" si="5"/>
        <v>25-48 Months</v>
      </c>
      <c r="L370">
        <f>IF(Table13[[#This Row],[Churn]]="Yes",1,0)</f>
        <v>0</v>
      </c>
    </row>
    <row r="371" spans="1:12" x14ac:dyDescent="0.35">
      <c r="A371" t="s">
        <v>393</v>
      </c>
      <c r="B371" t="s">
        <v>11</v>
      </c>
      <c r="C371">
        <v>39</v>
      </c>
      <c r="D371">
        <v>57</v>
      </c>
      <c r="E371" t="s">
        <v>12</v>
      </c>
      <c r="F371" t="s">
        <v>33</v>
      </c>
      <c r="G371" t="s">
        <v>14</v>
      </c>
      <c r="H371">
        <v>77.900000000000006</v>
      </c>
      <c r="I371">
        <v>4185.55</v>
      </c>
      <c r="J371" t="s">
        <v>27</v>
      </c>
      <c r="K371" t="str">
        <f t="shared" si="5"/>
        <v>49+ Months</v>
      </c>
      <c r="L371">
        <f>IF(Table13[[#This Row],[Churn]]="Yes",1,0)</f>
        <v>1</v>
      </c>
    </row>
    <row r="372" spans="1:12" x14ac:dyDescent="0.35">
      <c r="A372" t="s">
        <v>394</v>
      </c>
      <c r="B372" t="s">
        <v>17</v>
      </c>
      <c r="C372">
        <v>46</v>
      </c>
      <c r="D372">
        <v>39</v>
      </c>
      <c r="E372" t="s">
        <v>12</v>
      </c>
      <c r="F372" t="s">
        <v>33</v>
      </c>
      <c r="G372" t="s">
        <v>14</v>
      </c>
      <c r="H372">
        <v>21.89</v>
      </c>
      <c r="I372">
        <v>916.4</v>
      </c>
      <c r="J372" t="s">
        <v>27</v>
      </c>
      <c r="K372" t="str">
        <f t="shared" si="5"/>
        <v>25-48 Months</v>
      </c>
      <c r="L372">
        <f>IF(Table13[[#This Row],[Churn]]="Yes",1,0)</f>
        <v>1</v>
      </c>
    </row>
    <row r="373" spans="1:12" x14ac:dyDescent="0.35">
      <c r="A373" t="s">
        <v>395</v>
      </c>
      <c r="B373" t="s">
        <v>17</v>
      </c>
      <c r="C373">
        <v>25</v>
      </c>
      <c r="D373">
        <v>56</v>
      </c>
      <c r="E373" t="s">
        <v>12</v>
      </c>
      <c r="F373" t="s">
        <v>22</v>
      </c>
      <c r="G373" t="s">
        <v>19</v>
      </c>
      <c r="H373">
        <v>52.16</v>
      </c>
      <c r="I373">
        <v>3187.26</v>
      </c>
      <c r="J373" t="s">
        <v>27</v>
      </c>
      <c r="K373" t="str">
        <f t="shared" si="5"/>
        <v>49+ Months</v>
      </c>
      <c r="L373">
        <f>IF(Table13[[#This Row],[Churn]]="Yes",1,0)</f>
        <v>1</v>
      </c>
    </row>
    <row r="374" spans="1:12" x14ac:dyDescent="0.35">
      <c r="A374" t="s">
        <v>396</v>
      </c>
      <c r="B374" t="s">
        <v>17</v>
      </c>
      <c r="C374">
        <v>28</v>
      </c>
      <c r="D374">
        <v>43</v>
      </c>
      <c r="E374" t="s">
        <v>12</v>
      </c>
      <c r="F374" t="s">
        <v>22</v>
      </c>
      <c r="G374" t="s">
        <v>19</v>
      </c>
      <c r="H374">
        <v>132.62</v>
      </c>
      <c r="I374">
        <v>5402.38</v>
      </c>
      <c r="J374" t="s">
        <v>15</v>
      </c>
      <c r="K374" t="str">
        <f t="shared" si="5"/>
        <v>25-48 Months</v>
      </c>
      <c r="L374">
        <f>IF(Table13[[#This Row],[Churn]]="Yes",1,0)</f>
        <v>0</v>
      </c>
    </row>
    <row r="375" spans="1:12" x14ac:dyDescent="0.35">
      <c r="A375" t="s">
        <v>397</v>
      </c>
      <c r="B375" t="s">
        <v>17</v>
      </c>
      <c r="C375">
        <v>58</v>
      </c>
      <c r="D375">
        <v>50</v>
      </c>
      <c r="E375" t="s">
        <v>21</v>
      </c>
      <c r="F375" t="s">
        <v>13</v>
      </c>
      <c r="G375" t="s">
        <v>23</v>
      </c>
      <c r="H375">
        <v>41.4</v>
      </c>
      <c r="I375">
        <v>2228.4</v>
      </c>
      <c r="J375" t="s">
        <v>15</v>
      </c>
      <c r="K375" t="str">
        <f t="shared" si="5"/>
        <v>49+ Months</v>
      </c>
      <c r="L375">
        <f>IF(Table13[[#This Row],[Churn]]="Yes",1,0)</f>
        <v>0</v>
      </c>
    </row>
    <row r="376" spans="1:12" x14ac:dyDescent="0.35">
      <c r="A376" t="s">
        <v>398</v>
      </c>
      <c r="B376" t="s">
        <v>11</v>
      </c>
      <c r="C376">
        <v>54</v>
      </c>
      <c r="D376">
        <v>23</v>
      </c>
      <c r="E376" t="s">
        <v>21</v>
      </c>
      <c r="F376" t="s">
        <v>13</v>
      </c>
      <c r="G376" t="s">
        <v>23</v>
      </c>
      <c r="H376">
        <v>73.97</v>
      </c>
      <c r="I376">
        <v>1564.18</v>
      </c>
      <c r="J376" t="s">
        <v>15</v>
      </c>
      <c r="K376" t="str">
        <f t="shared" si="5"/>
        <v>13-24 Months</v>
      </c>
      <c r="L376">
        <f>IF(Table13[[#This Row],[Churn]]="Yes",1,0)</f>
        <v>0</v>
      </c>
    </row>
    <row r="377" spans="1:12" x14ac:dyDescent="0.35">
      <c r="A377" t="s">
        <v>399</v>
      </c>
      <c r="B377" t="s">
        <v>17</v>
      </c>
      <c r="C377">
        <v>31</v>
      </c>
      <c r="D377">
        <v>44</v>
      </c>
      <c r="E377" t="s">
        <v>12</v>
      </c>
      <c r="F377" t="s">
        <v>29</v>
      </c>
      <c r="G377" t="s">
        <v>14</v>
      </c>
      <c r="H377">
        <v>21.86</v>
      </c>
      <c r="I377">
        <v>876.37</v>
      </c>
      <c r="J377" t="s">
        <v>15</v>
      </c>
      <c r="K377" t="str">
        <f t="shared" si="5"/>
        <v>25-48 Months</v>
      </c>
      <c r="L377">
        <f>IF(Table13[[#This Row],[Churn]]="Yes",1,0)</f>
        <v>0</v>
      </c>
    </row>
    <row r="378" spans="1:12" x14ac:dyDescent="0.35">
      <c r="A378" t="s">
        <v>400</v>
      </c>
      <c r="B378" t="s">
        <v>17</v>
      </c>
      <c r="C378">
        <v>47</v>
      </c>
      <c r="D378">
        <v>38</v>
      </c>
      <c r="E378" t="s">
        <v>18</v>
      </c>
      <c r="F378" t="s">
        <v>13</v>
      </c>
      <c r="G378" t="s">
        <v>14</v>
      </c>
      <c r="H378">
        <v>82.18</v>
      </c>
      <c r="I378">
        <v>2891.27</v>
      </c>
      <c r="J378" t="s">
        <v>15</v>
      </c>
      <c r="K378" t="str">
        <f t="shared" si="5"/>
        <v>25-48 Months</v>
      </c>
      <c r="L378">
        <f>IF(Table13[[#This Row],[Churn]]="Yes",1,0)</f>
        <v>0</v>
      </c>
    </row>
    <row r="379" spans="1:12" x14ac:dyDescent="0.35">
      <c r="A379" t="s">
        <v>401</v>
      </c>
      <c r="B379" t="s">
        <v>11</v>
      </c>
      <c r="C379">
        <v>52</v>
      </c>
      <c r="D379">
        <v>23</v>
      </c>
      <c r="E379" t="s">
        <v>18</v>
      </c>
      <c r="F379" t="s">
        <v>13</v>
      </c>
      <c r="G379" t="s">
        <v>23</v>
      </c>
      <c r="H379">
        <v>22.73</v>
      </c>
      <c r="I379">
        <v>476.55</v>
      </c>
      <c r="J379" t="s">
        <v>15</v>
      </c>
      <c r="K379" t="str">
        <f t="shared" si="5"/>
        <v>13-24 Months</v>
      </c>
      <c r="L379">
        <f>IF(Table13[[#This Row],[Churn]]="Yes",1,0)</f>
        <v>0</v>
      </c>
    </row>
    <row r="380" spans="1:12" x14ac:dyDescent="0.35">
      <c r="A380" t="s">
        <v>402</v>
      </c>
      <c r="B380" t="s">
        <v>17</v>
      </c>
      <c r="C380">
        <v>38</v>
      </c>
      <c r="D380">
        <v>45</v>
      </c>
      <c r="E380" t="s">
        <v>18</v>
      </c>
      <c r="F380" t="s">
        <v>33</v>
      </c>
      <c r="G380" t="s">
        <v>14</v>
      </c>
      <c r="H380">
        <v>126.55</v>
      </c>
      <c r="I380">
        <v>6087.7</v>
      </c>
      <c r="J380" t="s">
        <v>15</v>
      </c>
      <c r="K380" t="str">
        <f t="shared" si="5"/>
        <v>25-48 Months</v>
      </c>
      <c r="L380">
        <f>IF(Table13[[#This Row],[Churn]]="Yes",1,0)</f>
        <v>0</v>
      </c>
    </row>
    <row r="381" spans="1:12" x14ac:dyDescent="0.35">
      <c r="A381" t="s">
        <v>403</v>
      </c>
      <c r="B381" t="s">
        <v>11</v>
      </c>
      <c r="C381">
        <v>54</v>
      </c>
      <c r="D381">
        <v>52</v>
      </c>
      <c r="E381" t="s">
        <v>21</v>
      </c>
      <c r="F381" t="s">
        <v>13</v>
      </c>
      <c r="G381" t="s">
        <v>23</v>
      </c>
      <c r="H381">
        <v>127.23</v>
      </c>
      <c r="I381">
        <v>6032.5</v>
      </c>
      <c r="J381" t="s">
        <v>15</v>
      </c>
      <c r="K381" t="str">
        <f t="shared" si="5"/>
        <v>49+ Months</v>
      </c>
      <c r="L381">
        <f>IF(Table13[[#This Row],[Churn]]="Yes",1,0)</f>
        <v>0</v>
      </c>
    </row>
    <row r="382" spans="1:12" x14ac:dyDescent="0.35">
      <c r="A382" t="s">
        <v>404</v>
      </c>
      <c r="B382" t="s">
        <v>17</v>
      </c>
      <c r="C382">
        <v>22</v>
      </c>
      <c r="D382">
        <v>50</v>
      </c>
      <c r="E382" t="s">
        <v>12</v>
      </c>
      <c r="F382" t="s">
        <v>13</v>
      </c>
      <c r="G382" t="s">
        <v>19</v>
      </c>
      <c r="H382">
        <v>122.41</v>
      </c>
      <c r="I382">
        <v>5840.99</v>
      </c>
      <c r="J382" t="s">
        <v>15</v>
      </c>
      <c r="K382" t="str">
        <f t="shared" si="5"/>
        <v>49+ Months</v>
      </c>
      <c r="L382">
        <f>IF(Table13[[#This Row],[Churn]]="Yes",1,0)</f>
        <v>0</v>
      </c>
    </row>
    <row r="383" spans="1:12" x14ac:dyDescent="0.35">
      <c r="A383" t="s">
        <v>405</v>
      </c>
      <c r="B383" t="s">
        <v>17</v>
      </c>
      <c r="C383">
        <v>36</v>
      </c>
      <c r="D383">
        <v>8</v>
      </c>
      <c r="E383" t="s">
        <v>12</v>
      </c>
      <c r="F383" t="s">
        <v>13</v>
      </c>
      <c r="G383" t="s">
        <v>14</v>
      </c>
      <c r="H383">
        <v>56.84</v>
      </c>
      <c r="I383">
        <v>418.68</v>
      </c>
      <c r="J383" t="s">
        <v>15</v>
      </c>
      <c r="K383" t="str">
        <f t="shared" si="5"/>
        <v>0-12 Months</v>
      </c>
      <c r="L383">
        <f>IF(Table13[[#This Row],[Churn]]="Yes",1,0)</f>
        <v>0</v>
      </c>
    </row>
    <row r="384" spans="1:12" x14ac:dyDescent="0.35">
      <c r="A384" t="s">
        <v>406</v>
      </c>
      <c r="B384" t="s">
        <v>17</v>
      </c>
      <c r="C384">
        <v>31</v>
      </c>
      <c r="D384">
        <v>1</v>
      </c>
      <c r="E384" t="s">
        <v>12</v>
      </c>
      <c r="F384" t="s">
        <v>22</v>
      </c>
      <c r="G384" t="s">
        <v>14</v>
      </c>
      <c r="H384">
        <v>128.84</v>
      </c>
      <c r="I384">
        <v>123.57</v>
      </c>
      <c r="J384" t="s">
        <v>15</v>
      </c>
      <c r="K384" t="str">
        <f t="shared" si="5"/>
        <v>0-12 Months</v>
      </c>
      <c r="L384">
        <f>IF(Table13[[#This Row],[Churn]]="Yes",1,0)</f>
        <v>0</v>
      </c>
    </row>
    <row r="385" spans="1:12" x14ac:dyDescent="0.35">
      <c r="A385" t="s">
        <v>407</v>
      </c>
      <c r="B385" t="s">
        <v>11</v>
      </c>
      <c r="C385">
        <v>43</v>
      </c>
      <c r="D385">
        <v>8</v>
      </c>
      <c r="E385" t="s">
        <v>12</v>
      </c>
      <c r="F385" t="s">
        <v>22</v>
      </c>
      <c r="G385" t="s">
        <v>14</v>
      </c>
      <c r="H385">
        <v>90.59</v>
      </c>
      <c r="I385">
        <v>665.37</v>
      </c>
      <c r="J385" t="s">
        <v>27</v>
      </c>
      <c r="K385" t="str">
        <f t="shared" si="5"/>
        <v>0-12 Months</v>
      </c>
      <c r="L385">
        <f>IF(Table13[[#This Row],[Churn]]="Yes",1,0)</f>
        <v>1</v>
      </c>
    </row>
    <row r="386" spans="1:12" x14ac:dyDescent="0.35">
      <c r="A386" t="s">
        <v>408</v>
      </c>
      <c r="B386" t="s">
        <v>11</v>
      </c>
      <c r="C386">
        <v>21</v>
      </c>
      <c r="D386">
        <v>29</v>
      </c>
      <c r="E386" t="s">
        <v>18</v>
      </c>
      <c r="F386" t="s">
        <v>29</v>
      </c>
      <c r="G386" t="s">
        <v>19</v>
      </c>
      <c r="H386">
        <v>68.599999999999994</v>
      </c>
      <c r="I386">
        <v>2056.25</v>
      </c>
      <c r="J386" t="s">
        <v>15</v>
      </c>
      <c r="K386" t="str">
        <f t="shared" ref="K386:K449" si="6">IF(D386&lt;=12,"0-12 Months",IF(D386&lt;=24,"13-24 Months",IF(D386&lt;=48,"25-48 Months","49+ Months")))</f>
        <v>25-48 Months</v>
      </c>
      <c r="L386">
        <f>IF(Table13[[#This Row],[Churn]]="Yes",1,0)</f>
        <v>0</v>
      </c>
    </row>
    <row r="387" spans="1:12" x14ac:dyDescent="0.35">
      <c r="A387" t="s">
        <v>409</v>
      </c>
      <c r="B387" t="s">
        <v>17</v>
      </c>
      <c r="C387">
        <v>42</v>
      </c>
      <c r="D387">
        <v>5</v>
      </c>
      <c r="E387" t="s">
        <v>18</v>
      </c>
      <c r="F387" t="s">
        <v>13</v>
      </c>
      <c r="G387" t="s">
        <v>14</v>
      </c>
      <c r="H387">
        <v>101.29</v>
      </c>
      <c r="I387">
        <v>469.31</v>
      </c>
      <c r="J387" t="s">
        <v>15</v>
      </c>
      <c r="K387" t="str">
        <f t="shared" si="6"/>
        <v>0-12 Months</v>
      </c>
      <c r="L387">
        <f>IF(Table13[[#This Row],[Churn]]="Yes",1,0)</f>
        <v>0</v>
      </c>
    </row>
    <row r="388" spans="1:12" x14ac:dyDescent="0.35">
      <c r="A388" t="s">
        <v>410</v>
      </c>
      <c r="B388" t="s">
        <v>11</v>
      </c>
      <c r="C388">
        <v>62</v>
      </c>
      <c r="D388">
        <v>47</v>
      </c>
      <c r="E388" t="s">
        <v>12</v>
      </c>
      <c r="F388" t="s">
        <v>33</v>
      </c>
      <c r="G388" t="s">
        <v>23</v>
      </c>
      <c r="H388">
        <v>21.6</v>
      </c>
      <c r="I388">
        <v>1086.6400000000001</v>
      </c>
      <c r="J388" t="s">
        <v>15</v>
      </c>
      <c r="K388" t="str">
        <f t="shared" si="6"/>
        <v>25-48 Months</v>
      </c>
      <c r="L388">
        <f>IF(Table13[[#This Row],[Churn]]="Yes",1,0)</f>
        <v>0</v>
      </c>
    </row>
    <row r="389" spans="1:12" x14ac:dyDescent="0.35">
      <c r="A389" t="s">
        <v>411</v>
      </c>
      <c r="B389" t="s">
        <v>11</v>
      </c>
      <c r="C389">
        <v>59</v>
      </c>
      <c r="D389">
        <v>34</v>
      </c>
      <c r="E389" t="s">
        <v>12</v>
      </c>
      <c r="F389" t="s">
        <v>13</v>
      </c>
      <c r="G389" t="s">
        <v>23</v>
      </c>
      <c r="H389">
        <v>38.58</v>
      </c>
      <c r="I389">
        <v>1394.93</v>
      </c>
      <c r="J389" t="s">
        <v>27</v>
      </c>
      <c r="K389" t="str">
        <f t="shared" si="6"/>
        <v>25-48 Months</v>
      </c>
      <c r="L389">
        <f>IF(Table13[[#This Row],[Churn]]="Yes",1,0)</f>
        <v>1</v>
      </c>
    </row>
    <row r="390" spans="1:12" x14ac:dyDescent="0.35">
      <c r="A390" t="s">
        <v>412</v>
      </c>
      <c r="B390" t="s">
        <v>11</v>
      </c>
      <c r="C390">
        <v>42</v>
      </c>
      <c r="D390">
        <v>65</v>
      </c>
      <c r="E390" t="s">
        <v>18</v>
      </c>
      <c r="F390" t="s">
        <v>29</v>
      </c>
      <c r="G390" t="s">
        <v>14</v>
      </c>
      <c r="H390">
        <v>116.5</v>
      </c>
      <c r="I390">
        <v>6835.94</v>
      </c>
      <c r="J390" t="s">
        <v>15</v>
      </c>
      <c r="K390" t="str">
        <f t="shared" si="6"/>
        <v>49+ Months</v>
      </c>
      <c r="L390">
        <f>IF(Table13[[#This Row],[Churn]]="Yes",1,0)</f>
        <v>0</v>
      </c>
    </row>
    <row r="391" spans="1:12" x14ac:dyDescent="0.35">
      <c r="A391" t="s">
        <v>413</v>
      </c>
      <c r="B391" t="s">
        <v>11</v>
      </c>
      <c r="C391">
        <v>35</v>
      </c>
      <c r="D391">
        <v>55</v>
      </c>
      <c r="E391" t="s">
        <v>12</v>
      </c>
      <c r="F391" t="s">
        <v>22</v>
      </c>
      <c r="G391" t="s">
        <v>14</v>
      </c>
      <c r="H391">
        <v>51.74</v>
      </c>
      <c r="I391">
        <v>3070.92</v>
      </c>
      <c r="J391" t="s">
        <v>15</v>
      </c>
      <c r="K391" t="str">
        <f t="shared" si="6"/>
        <v>49+ Months</v>
      </c>
      <c r="L391">
        <f>IF(Table13[[#This Row],[Churn]]="Yes",1,0)</f>
        <v>0</v>
      </c>
    </row>
    <row r="392" spans="1:12" x14ac:dyDescent="0.35">
      <c r="A392" t="s">
        <v>414</v>
      </c>
      <c r="B392" t="s">
        <v>11</v>
      </c>
      <c r="C392">
        <v>57</v>
      </c>
      <c r="D392">
        <v>43</v>
      </c>
      <c r="E392" t="s">
        <v>12</v>
      </c>
      <c r="F392" t="s">
        <v>33</v>
      </c>
      <c r="G392" t="s">
        <v>23</v>
      </c>
      <c r="H392">
        <v>97.74</v>
      </c>
      <c r="I392">
        <v>3806.87</v>
      </c>
      <c r="J392" t="s">
        <v>27</v>
      </c>
      <c r="K392" t="str">
        <f t="shared" si="6"/>
        <v>25-48 Months</v>
      </c>
      <c r="L392">
        <f>IF(Table13[[#This Row],[Churn]]="Yes",1,0)</f>
        <v>1</v>
      </c>
    </row>
    <row r="393" spans="1:12" x14ac:dyDescent="0.35">
      <c r="A393" t="s">
        <v>415</v>
      </c>
      <c r="B393" t="s">
        <v>11</v>
      </c>
      <c r="C393">
        <v>25</v>
      </c>
      <c r="D393">
        <v>30</v>
      </c>
      <c r="E393" t="s">
        <v>18</v>
      </c>
      <c r="F393" t="s">
        <v>29</v>
      </c>
      <c r="G393" t="s">
        <v>19</v>
      </c>
      <c r="H393">
        <v>70.06</v>
      </c>
      <c r="I393">
        <v>1992.36</v>
      </c>
      <c r="J393" t="s">
        <v>15</v>
      </c>
      <c r="K393" t="str">
        <f t="shared" si="6"/>
        <v>25-48 Months</v>
      </c>
      <c r="L393">
        <f>IF(Table13[[#This Row],[Churn]]="Yes",1,0)</f>
        <v>0</v>
      </c>
    </row>
    <row r="394" spans="1:12" x14ac:dyDescent="0.35">
      <c r="A394" t="s">
        <v>416</v>
      </c>
      <c r="B394" t="s">
        <v>17</v>
      </c>
      <c r="C394">
        <v>56</v>
      </c>
      <c r="D394">
        <v>17</v>
      </c>
      <c r="E394" t="s">
        <v>12</v>
      </c>
      <c r="F394" t="s">
        <v>22</v>
      </c>
      <c r="G394" t="s">
        <v>23</v>
      </c>
      <c r="H394">
        <v>131.12</v>
      </c>
      <c r="I394">
        <v>2020.58</v>
      </c>
      <c r="J394" t="s">
        <v>15</v>
      </c>
      <c r="K394" t="str">
        <f t="shared" si="6"/>
        <v>13-24 Months</v>
      </c>
      <c r="L394">
        <f>IF(Table13[[#This Row],[Churn]]="Yes",1,0)</f>
        <v>0</v>
      </c>
    </row>
    <row r="395" spans="1:12" x14ac:dyDescent="0.35">
      <c r="A395" t="s">
        <v>417</v>
      </c>
      <c r="B395" t="s">
        <v>17</v>
      </c>
      <c r="C395">
        <v>57</v>
      </c>
      <c r="D395">
        <v>26</v>
      </c>
      <c r="E395" t="s">
        <v>12</v>
      </c>
      <c r="F395" t="s">
        <v>33</v>
      </c>
      <c r="G395" t="s">
        <v>23</v>
      </c>
      <c r="H395">
        <v>143.81</v>
      </c>
      <c r="I395">
        <v>3616.3</v>
      </c>
      <c r="J395" t="s">
        <v>15</v>
      </c>
      <c r="K395" t="str">
        <f t="shared" si="6"/>
        <v>25-48 Months</v>
      </c>
      <c r="L395">
        <f>IF(Table13[[#This Row],[Churn]]="Yes",1,0)</f>
        <v>0</v>
      </c>
    </row>
    <row r="396" spans="1:12" x14ac:dyDescent="0.35">
      <c r="A396" t="s">
        <v>418</v>
      </c>
      <c r="B396" t="s">
        <v>11</v>
      </c>
      <c r="C396">
        <v>31</v>
      </c>
      <c r="D396">
        <v>8</v>
      </c>
      <c r="E396" t="s">
        <v>12</v>
      </c>
      <c r="F396" t="s">
        <v>13</v>
      </c>
      <c r="G396" t="s">
        <v>14</v>
      </c>
      <c r="H396">
        <v>134.86000000000001</v>
      </c>
      <c r="I396">
        <v>1081.8699999999999</v>
      </c>
      <c r="J396" t="s">
        <v>15</v>
      </c>
      <c r="K396" t="str">
        <f t="shared" si="6"/>
        <v>0-12 Months</v>
      </c>
      <c r="L396">
        <f>IF(Table13[[#This Row],[Churn]]="Yes",1,0)</f>
        <v>0</v>
      </c>
    </row>
    <row r="397" spans="1:12" x14ac:dyDescent="0.35">
      <c r="A397" t="s">
        <v>419</v>
      </c>
      <c r="B397" t="s">
        <v>17</v>
      </c>
      <c r="C397">
        <v>49</v>
      </c>
      <c r="D397">
        <v>47</v>
      </c>
      <c r="E397" t="s">
        <v>18</v>
      </c>
      <c r="F397" t="s">
        <v>33</v>
      </c>
      <c r="G397" t="s">
        <v>14</v>
      </c>
      <c r="H397">
        <v>55.18</v>
      </c>
      <c r="I397">
        <v>2747.33</v>
      </c>
      <c r="J397" t="s">
        <v>15</v>
      </c>
      <c r="K397" t="str">
        <f t="shared" si="6"/>
        <v>25-48 Months</v>
      </c>
      <c r="L397">
        <f>IF(Table13[[#This Row],[Churn]]="Yes",1,0)</f>
        <v>0</v>
      </c>
    </row>
    <row r="398" spans="1:12" x14ac:dyDescent="0.35">
      <c r="A398" t="s">
        <v>420</v>
      </c>
      <c r="B398" t="s">
        <v>17</v>
      </c>
      <c r="C398">
        <v>68</v>
      </c>
      <c r="D398">
        <v>72</v>
      </c>
      <c r="E398" t="s">
        <v>21</v>
      </c>
      <c r="F398" t="s">
        <v>22</v>
      </c>
      <c r="G398" t="s">
        <v>23</v>
      </c>
      <c r="H398">
        <v>45.24</v>
      </c>
      <c r="I398">
        <v>3151.73</v>
      </c>
      <c r="J398" t="s">
        <v>15</v>
      </c>
      <c r="K398" t="str">
        <f t="shared" si="6"/>
        <v>49+ Months</v>
      </c>
      <c r="L398">
        <f>IF(Table13[[#This Row],[Churn]]="Yes",1,0)</f>
        <v>0</v>
      </c>
    </row>
    <row r="399" spans="1:12" x14ac:dyDescent="0.35">
      <c r="A399" t="s">
        <v>421</v>
      </c>
      <c r="B399" t="s">
        <v>17</v>
      </c>
      <c r="C399">
        <v>55</v>
      </c>
      <c r="D399">
        <v>46</v>
      </c>
      <c r="E399" t="s">
        <v>12</v>
      </c>
      <c r="F399" t="s">
        <v>22</v>
      </c>
      <c r="G399" t="s">
        <v>23</v>
      </c>
      <c r="H399">
        <v>81.680000000000007</v>
      </c>
      <c r="I399">
        <v>3911.7</v>
      </c>
      <c r="J399" t="s">
        <v>27</v>
      </c>
      <c r="K399" t="str">
        <f t="shared" si="6"/>
        <v>25-48 Months</v>
      </c>
      <c r="L399">
        <f>IF(Table13[[#This Row],[Churn]]="Yes",1,0)</f>
        <v>1</v>
      </c>
    </row>
    <row r="400" spans="1:12" x14ac:dyDescent="0.35">
      <c r="A400" t="s">
        <v>422</v>
      </c>
      <c r="B400" t="s">
        <v>17</v>
      </c>
      <c r="C400">
        <v>50</v>
      </c>
      <c r="D400">
        <v>68</v>
      </c>
      <c r="E400" t="s">
        <v>12</v>
      </c>
      <c r="F400" t="s">
        <v>22</v>
      </c>
      <c r="G400" t="s">
        <v>23</v>
      </c>
      <c r="H400">
        <v>20.95</v>
      </c>
      <c r="I400">
        <v>1335.56</v>
      </c>
      <c r="J400" t="s">
        <v>27</v>
      </c>
      <c r="K400" t="str">
        <f t="shared" si="6"/>
        <v>49+ Months</v>
      </c>
      <c r="L400">
        <f>IF(Table13[[#This Row],[Churn]]="Yes",1,0)</f>
        <v>1</v>
      </c>
    </row>
    <row r="401" spans="1:12" x14ac:dyDescent="0.35">
      <c r="A401" t="s">
        <v>423</v>
      </c>
      <c r="B401" t="s">
        <v>11</v>
      </c>
      <c r="C401">
        <v>40</v>
      </c>
      <c r="D401">
        <v>33</v>
      </c>
      <c r="E401" t="s">
        <v>12</v>
      </c>
      <c r="F401" t="s">
        <v>29</v>
      </c>
      <c r="G401" t="s">
        <v>14</v>
      </c>
      <c r="H401">
        <v>23.36</v>
      </c>
      <c r="I401">
        <v>809.52</v>
      </c>
      <c r="J401" t="s">
        <v>27</v>
      </c>
      <c r="K401" t="str">
        <f t="shared" si="6"/>
        <v>25-48 Months</v>
      </c>
      <c r="L401">
        <f>IF(Table13[[#This Row],[Churn]]="Yes",1,0)</f>
        <v>1</v>
      </c>
    </row>
    <row r="402" spans="1:12" x14ac:dyDescent="0.35">
      <c r="A402" t="s">
        <v>424</v>
      </c>
      <c r="B402" t="s">
        <v>17</v>
      </c>
      <c r="C402">
        <v>32</v>
      </c>
      <c r="D402">
        <v>1</v>
      </c>
      <c r="E402" t="s">
        <v>21</v>
      </c>
      <c r="F402" t="s">
        <v>29</v>
      </c>
      <c r="G402" t="s">
        <v>14</v>
      </c>
      <c r="H402">
        <v>91.93</v>
      </c>
      <c r="I402">
        <v>87.08</v>
      </c>
      <c r="J402" t="s">
        <v>15</v>
      </c>
      <c r="K402" t="str">
        <f t="shared" si="6"/>
        <v>0-12 Months</v>
      </c>
      <c r="L402">
        <f>IF(Table13[[#This Row],[Churn]]="Yes",1,0)</f>
        <v>0</v>
      </c>
    </row>
    <row r="403" spans="1:12" x14ac:dyDescent="0.35">
      <c r="A403" t="s">
        <v>425</v>
      </c>
      <c r="B403" t="s">
        <v>17</v>
      </c>
      <c r="C403">
        <v>50</v>
      </c>
      <c r="D403">
        <v>19</v>
      </c>
      <c r="E403" t="s">
        <v>21</v>
      </c>
      <c r="F403" t="s">
        <v>13</v>
      </c>
      <c r="G403" t="s">
        <v>23</v>
      </c>
      <c r="H403">
        <v>87.66</v>
      </c>
      <c r="I403">
        <v>1546.8</v>
      </c>
      <c r="J403" t="s">
        <v>15</v>
      </c>
      <c r="K403" t="str">
        <f t="shared" si="6"/>
        <v>13-24 Months</v>
      </c>
      <c r="L403">
        <f>IF(Table13[[#This Row],[Churn]]="Yes",1,0)</f>
        <v>0</v>
      </c>
    </row>
    <row r="404" spans="1:12" x14ac:dyDescent="0.35">
      <c r="A404" t="s">
        <v>426</v>
      </c>
      <c r="B404" t="s">
        <v>11</v>
      </c>
      <c r="C404">
        <v>42</v>
      </c>
      <c r="D404">
        <v>31</v>
      </c>
      <c r="E404" t="s">
        <v>12</v>
      </c>
      <c r="F404" t="s">
        <v>29</v>
      </c>
      <c r="G404" t="s">
        <v>14</v>
      </c>
      <c r="H404">
        <v>149.30000000000001</v>
      </c>
      <c r="I404">
        <v>4337.1000000000004</v>
      </c>
      <c r="J404" t="s">
        <v>15</v>
      </c>
      <c r="K404" t="str">
        <f t="shared" si="6"/>
        <v>25-48 Months</v>
      </c>
      <c r="L404">
        <f>IF(Table13[[#This Row],[Churn]]="Yes",1,0)</f>
        <v>0</v>
      </c>
    </row>
    <row r="405" spans="1:12" x14ac:dyDescent="0.35">
      <c r="A405" t="s">
        <v>427</v>
      </c>
      <c r="B405" t="s">
        <v>11</v>
      </c>
      <c r="C405">
        <v>34</v>
      </c>
      <c r="D405">
        <v>14</v>
      </c>
      <c r="E405" t="s">
        <v>18</v>
      </c>
      <c r="F405" t="s">
        <v>13</v>
      </c>
      <c r="G405" t="s">
        <v>14</v>
      </c>
      <c r="H405">
        <v>46.24</v>
      </c>
      <c r="I405">
        <v>606.20000000000005</v>
      </c>
      <c r="J405" t="s">
        <v>15</v>
      </c>
      <c r="K405" t="str">
        <f t="shared" si="6"/>
        <v>13-24 Months</v>
      </c>
      <c r="L405">
        <f>IF(Table13[[#This Row],[Churn]]="Yes",1,0)</f>
        <v>0</v>
      </c>
    </row>
    <row r="406" spans="1:12" x14ac:dyDescent="0.35">
      <c r="A406" t="s">
        <v>428</v>
      </c>
      <c r="B406" t="s">
        <v>17</v>
      </c>
      <c r="C406">
        <v>50</v>
      </c>
      <c r="D406">
        <v>53</v>
      </c>
      <c r="E406" t="s">
        <v>12</v>
      </c>
      <c r="F406" t="s">
        <v>33</v>
      </c>
      <c r="G406" t="s">
        <v>23</v>
      </c>
      <c r="H406">
        <v>53.55</v>
      </c>
      <c r="I406">
        <v>2845.45</v>
      </c>
      <c r="J406" t="s">
        <v>15</v>
      </c>
      <c r="K406" t="str">
        <f t="shared" si="6"/>
        <v>49+ Months</v>
      </c>
      <c r="L406">
        <f>IF(Table13[[#This Row],[Churn]]="Yes",1,0)</f>
        <v>0</v>
      </c>
    </row>
    <row r="407" spans="1:12" x14ac:dyDescent="0.35">
      <c r="A407" t="s">
        <v>429</v>
      </c>
      <c r="B407" t="s">
        <v>17</v>
      </c>
      <c r="C407">
        <v>64</v>
      </c>
      <c r="D407">
        <v>48</v>
      </c>
      <c r="E407" t="s">
        <v>12</v>
      </c>
      <c r="F407" t="s">
        <v>33</v>
      </c>
      <c r="G407" t="s">
        <v>23</v>
      </c>
      <c r="H407">
        <v>34.76</v>
      </c>
      <c r="I407">
        <v>1783.54</v>
      </c>
      <c r="J407" t="s">
        <v>15</v>
      </c>
      <c r="K407" t="str">
        <f t="shared" si="6"/>
        <v>25-48 Months</v>
      </c>
      <c r="L407">
        <f>IF(Table13[[#This Row],[Churn]]="Yes",1,0)</f>
        <v>0</v>
      </c>
    </row>
    <row r="408" spans="1:12" x14ac:dyDescent="0.35">
      <c r="A408" t="s">
        <v>430</v>
      </c>
      <c r="B408" t="s">
        <v>17</v>
      </c>
      <c r="C408">
        <v>19</v>
      </c>
      <c r="D408">
        <v>69</v>
      </c>
      <c r="E408" t="s">
        <v>12</v>
      </c>
      <c r="F408" t="s">
        <v>22</v>
      </c>
      <c r="G408" t="s">
        <v>19</v>
      </c>
      <c r="H408">
        <v>139.28</v>
      </c>
      <c r="I408">
        <v>8802.2900000000009</v>
      </c>
      <c r="J408" t="s">
        <v>27</v>
      </c>
      <c r="K408" t="str">
        <f t="shared" si="6"/>
        <v>49+ Months</v>
      </c>
      <c r="L408">
        <f>IF(Table13[[#This Row],[Churn]]="Yes",1,0)</f>
        <v>1</v>
      </c>
    </row>
    <row r="409" spans="1:12" x14ac:dyDescent="0.35">
      <c r="A409" t="s">
        <v>431</v>
      </c>
      <c r="B409" t="s">
        <v>17</v>
      </c>
      <c r="C409">
        <v>31</v>
      </c>
      <c r="D409">
        <v>62</v>
      </c>
      <c r="E409" t="s">
        <v>12</v>
      </c>
      <c r="F409" t="s">
        <v>33</v>
      </c>
      <c r="G409" t="s">
        <v>14</v>
      </c>
      <c r="H409">
        <v>121.12</v>
      </c>
      <c r="I409">
        <v>7820.27</v>
      </c>
      <c r="J409" t="s">
        <v>15</v>
      </c>
      <c r="K409" t="str">
        <f t="shared" si="6"/>
        <v>49+ Months</v>
      </c>
      <c r="L409">
        <f>IF(Table13[[#This Row],[Churn]]="Yes",1,0)</f>
        <v>0</v>
      </c>
    </row>
    <row r="410" spans="1:12" x14ac:dyDescent="0.35">
      <c r="A410" t="s">
        <v>432</v>
      </c>
      <c r="B410" t="s">
        <v>17</v>
      </c>
      <c r="C410">
        <v>70</v>
      </c>
      <c r="D410">
        <v>66</v>
      </c>
      <c r="E410" t="s">
        <v>12</v>
      </c>
      <c r="F410" t="s">
        <v>22</v>
      </c>
      <c r="G410" t="s">
        <v>23</v>
      </c>
      <c r="H410">
        <v>126.9</v>
      </c>
      <c r="I410">
        <v>8633.94</v>
      </c>
      <c r="J410" t="s">
        <v>15</v>
      </c>
      <c r="K410" t="str">
        <f t="shared" si="6"/>
        <v>49+ Months</v>
      </c>
      <c r="L410">
        <f>IF(Table13[[#This Row],[Churn]]="Yes",1,0)</f>
        <v>0</v>
      </c>
    </row>
    <row r="411" spans="1:12" x14ac:dyDescent="0.35">
      <c r="A411" t="s">
        <v>433</v>
      </c>
      <c r="B411" t="s">
        <v>17</v>
      </c>
      <c r="C411">
        <v>57</v>
      </c>
      <c r="D411">
        <v>64</v>
      </c>
      <c r="E411" t="s">
        <v>12</v>
      </c>
      <c r="F411" t="s">
        <v>13</v>
      </c>
      <c r="G411" t="s">
        <v>23</v>
      </c>
      <c r="H411">
        <v>137.36000000000001</v>
      </c>
      <c r="I411">
        <v>9446.01</v>
      </c>
      <c r="J411" t="s">
        <v>15</v>
      </c>
      <c r="K411" t="str">
        <f t="shared" si="6"/>
        <v>49+ Months</v>
      </c>
      <c r="L411">
        <f>IF(Table13[[#This Row],[Churn]]="Yes",1,0)</f>
        <v>0</v>
      </c>
    </row>
    <row r="412" spans="1:12" x14ac:dyDescent="0.35">
      <c r="A412" t="s">
        <v>434</v>
      </c>
      <c r="B412" t="s">
        <v>11</v>
      </c>
      <c r="C412">
        <v>57</v>
      </c>
      <c r="D412">
        <v>70</v>
      </c>
      <c r="E412" t="s">
        <v>12</v>
      </c>
      <c r="F412" t="s">
        <v>29</v>
      </c>
      <c r="G412" t="s">
        <v>23</v>
      </c>
      <c r="H412">
        <v>88.24</v>
      </c>
      <c r="I412">
        <v>5860.73</v>
      </c>
      <c r="J412" t="s">
        <v>15</v>
      </c>
      <c r="K412" t="str">
        <f t="shared" si="6"/>
        <v>49+ Months</v>
      </c>
      <c r="L412">
        <f>IF(Table13[[#This Row],[Churn]]="Yes",1,0)</f>
        <v>0</v>
      </c>
    </row>
    <row r="413" spans="1:12" x14ac:dyDescent="0.35">
      <c r="A413" t="s">
        <v>435</v>
      </c>
      <c r="B413" t="s">
        <v>17</v>
      </c>
      <c r="C413">
        <v>68</v>
      </c>
      <c r="D413">
        <v>63</v>
      </c>
      <c r="E413" t="s">
        <v>21</v>
      </c>
      <c r="F413" t="s">
        <v>13</v>
      </c>
      <c r="G413" t="s">
        <v>23</v>
      </c>
      <c r="H413">
        <v>78.66</v>
      </c>
      <c r="I413">
        <v>4906.13</v>
      </c>
      <c r="J413" t="s">
        <v>15</v>
      </c>
      <c r="K413" t="str">
        <f t="shared" si="6"/>
        <v>49+ Months</v>
      </c>
      <c r="L413">
        <f>IF(Table13[[#This Row],[Churn]]="Yes",1,0)</f>
        <v>0</v>
      </c>
    </row>
    <row r="414" spans="1:12" x14ac:dyDescent="0.35">
      <c r="A414" t="s">
        <v>436</v>
      </c>
      <c r="B414" t="s">
        <v>17</v>
      </c>
      <c r="C414">
        <v>56</v>
      </c>
      <c r="D414">
        <v>33</v>
      </c>
      <c r="E414" t="s">
        <v>12</v>
      </c>
      <c r="F414" t="s">
        <v>22</v>
      </c>
      <c r="G414" t="s">
        <v>23</v>
      </c>
      <c r="H414">
        <v>62.95</v>
      </c>
      <c r="I414">
        <v>2254.27</v>
      </c>
      <c r="J414" t="s">
        <v>27</v>
      </c>
      <c r="K414" t="str">
        <f t="shared" si="6"/>
        <v>25-48 Months</v>
      </c>
      <c r="L414">
        <f>IF(Table13[[#This Row],[Churn]]="Yes",1,0)</f>
        <v>1</v>
      </c>
    </row>
    <row r="415" spans="1:12" x14ac:dyDescent="0.35">
      <c r="A415" t="s">
        <v>437</v>
      </c>
      <c r="B415" t="s">
        <v>11</v>
      </c>
      <c r="C415">
        <v>68</v>
      </c>
      <c r="D415">
        <v>41</v>
      </c>
      <c r="E415" t="s">
        <v>21</v>
      </c>
      <c r="F415" t="s">
        <v>13</v>
      </c>
      <c r="G415" t="s">
        <v>23</v>
      </c>
      <c r="H415">
        <v>96.6</v>
      </c>
      <c r="I415">
        <v>4087.33</v>
      </c>
      <c r="J415" t="s">
        <v>15</v>
      </c>
      <c r="K415" t="str">
        <f t="shared" si="6"/>
        <v>25-48 Months</v>
      </c>
      <c r="L415">
        <f>IF(Table13[[#This Row],[Churn]]="Yes",1,0)</f>
        <v>0</v>
      </c>
    </row>
    <row r="416" spans="1:12" x14ac:dyDescent="0.35">
      <c r="A416" t="s">
        <v>438</v>
      </c>
      <c r="B416" t="s">
        <v>11</v>
      </c>
      <c r="C416">
        <v>23</v>
      </c>
      <c r="D416">
        <v>48</v>
      </c>
      <c r="E416" t="s">
        <v>18</v>
      </c>
      <c r="F416" t="s">
        <v>22</v>
      </c>
      <c r="G416" t="s">
        <v>19</v>
      </c>
      <c r="H416">
        <v>79.06</v>
      </c>
      <c r="I416">
        <v>3710.46</v>
      </c>
      <c r="J416" t="s">
        <v>15</v>
      </c>
      <c r="K416" t="str">
        <f t="shared" si="6"/>
        <v>25-48 Months</v>
      </c>
      <c r="L416">
        <f>IF(Table13[[#This Row],[Churn]]="Yes",1,0)</f>
        <v>0</v>
      </c>
    </row>
    <row r="417" spans="1:12" x14ac:dyDescent="0.35">
      <c r="A417" t="s">
        <v>439</v>
      </c>
      <c r="B417" t="s">
        <v>11</v>
      </c>
      <c r="C417">
        <v>23</v>
      </c>
      <c r="D417">
        <v>13</v>
      </c>
      <c r="E417" t="s">
        <v>12</v>
      </c>
      <c r="F417" t="s">
        <v>29</v>
      </c>
      <c r="G417" t="s">
        <v>19</v>
      </c>
      <c r="H417">
        <v>78.7</v>
      </c>
      <c r="I417">
        <v>947.68</v>
      </c>
      <c r="J417" t="s">
        <v>15</v>
      </c>
      <c r="K417" t="str">
        <f t="shared" si="6"/>
        <v>13-24 Months</v>
      </c>
      <c r="L417">
        <f>IF(Table13[[#This Row],[Churn]]="Yes",1,0)</f>
        <v>0</v>
      </c>
    </row>
    <row r="418" spans="1:12" x14ac:dyDescent="0.35">
      <c r="A418" t="s">
        <v>440</v>
      </c>
      <c r="B418" t="s">
        <v>11</v>
      </c>
      <c r="C418">
        <v>20</v>
      </c>
      <c r="D418">
        <v>31</v>
      </c>
      <c r="E418" t="s">
        <v>12</v>
      </c>
      <c r="F418" t="s">
        <v>22</v>
      </c>
      <c r="G418" t="s">
        <v>19</v>
      </c>
      <c r="H418">
        <v>141.80000000000001</v>
      </c>
      <c r="I418">
        <v>4186.99</v>
      </c>
      <c r="J418" t="s">
        <v>15</v>
      </c>
      <c r="K418" t="str">
        <f t="shared" si="6"/>
        <v>25-48 Months</v>
      </c>
      <c r="L418">
        <f>IF(Table13[[#This Row],[Churn]]="Yes",1,0)</f>
        <v>0</v>
      </c>
    </row>
    <row r="419" spans="1:12" x14ac:dyDescent="0.35">
      <c r="A419" t="s">
        <v>441</v>
      </c>
      <c r="B419" t="s">
        <v>17</v>
      </c>
      <c r="C419">
        <v>24</v>
      </c>
      <c r="D419">
        <v>68</v>
      </c>
      <c r="E419" t="s">
        <v>12</v>
      </c>
      <c r="F419" t="s">
        <v>33</v>
      </c>
      <c r="G419" t="s">
        <v>19</v>
      </c>
      <c r="H419">
        <v>147.91999999999999</v>
      </c>
      <c r="I419">
        <v>10221.94</v>
      </c>
      <c r="J419" t="s">
        <v>15</v>
      </c>
      <c r="K419" t="str">
        <f t="shared" si="6"/>
        <v>49+ Months</v>
      </c>
      <c r="L419">
        <f>IF(Table13[[#This Row],[Churn]]="Yes",1,0)</f>
        <v>0</v>
      </c>
    </row>
    <row r="420" spans="1:12" x14ac:dyDescent="0.35">
      <c r="A420" t="s">
        <v>442</v>
      </c>
      <c r="B420" t="s">
        <v>17</v>
      </c>
      <c r="C420">
        <v>68</v>
      </c>
      <c r="D420">
        <v>4</v>
      </c>
      <c r="E420" t="s">
        <v>12</v>
      </c>
      <c r="F420" t="s">
        <v>22</v>
      </c>
      <c r="G420" t="s">
        <v>23</v>
      </c>
      <c r="H420">
        <v>123.54</v>
      </c>
      <c r="I420">
        <v>515.72</v>
      </c>
      <c r="J420" t="s">
        <v>27</v>
      </c>
      <c r="K420" t="str">
        <f t="shared" si="6"/>
        <v>0-12 Months</v>
      </c>
      <c r="L420">
        <f>IF(Table13[[#This Row],[Churn]]="Yes",1,0)</f>
        <v>1</v>
      </c>
    </row>
    <row r="421" spans="1:12" x14ac:dyDescent="0.35">
      <c r="A421" t="s">
        <v>443</v>
      </c>
      <c r="B421" t="s">
        <v>17</v>
      </c>
      <c r="C421">
        <v>25</v>
      </c>
      <c r="D421">
        <v>19</v>
      </c>
      <c r="E421" t="s">
        <v>12</v>
      </c>
      <c r="F421" t="s">
        <v>33</v>
      </c>
      <c r="G421" t="s">
        <v>19</v>
      </c>
      <c r="H421">
        <v>118.38</v>
      </c>
      <c r="I421">
        <v>2080.27</v>
      </c>
      <c r="J421" t="s">
        <v>15</v>
      </c>
      <c r="K421" t="str">
        <f t="shared" si="6"/>
        <v>13-24 Months</v>
      </c>
      <c r="L421">
        <f>IF(Table13[[#This Row],[Churn]]="Yes",1,0)</f>
        <v>0</v>
      </c>
    </row>
    <row r="422" spans="1:12" x14ac:dyDescent="0.35">
      <c r="A422" t="s">
        <v>444</v>
      </c>
      <c r="B422" t="s">
        <v>17</v>
      </c>
      <c r="C422">
        <v>59</v>
      </c>
      <c r="D422">
        <v>70</v>
      </c>
      <c r="E422" t="s">
        <v>21</v>
      </c>
      <c r="F422" t="s">
        <v>33</v>
      </c>
      <c r="G422" t="s">
        <v>23</v>
      </c>
      <c r="H422">
        <v>108.47</v>
      </c>
      <c r="I422">
        <v>7744.15</v>
      </c>
      <c r="J422" t="s">
        <v>15</v>
      </c>
      <c r="K422" t="str">
        <f t="shared" si="6"/>
        <v>49+ Months</v>
      </c>
      <c r="L422">
        <f>IF(Table13[[#This Row],[Churn]]="Yes",1,0)</f>
        <v>0</v>
      </c>
    </row>
    <row r="423" spans="1:12" x14ac:dyDescent="0.35">
      <c r="A423" t="s">
        <v>445</v>
      </c>
      <c r="B423" t="s">
        <v>17</v>
      </c>
      <c r="C423">
        <v>69</v>
      </c>
      <c r="D423">
        <v>13</v>
      </c>
      <c r="E423" t="s">
        <v>21</v>
      </c>
      <c r="F423" t="s">
        <v>33</v>
      </c>
      <c r="G423" t="s">
        <v>23</v>
      </c>
      <c r="H423">
        <v>41.59</v>
      </c>
      <c r="I423">
        <v>546.11</v>
      </c>
      <c r="J423" t="s">
        <v>15</v>
      </c>
      <c r="K423" t="str">
        <f t="shared" si="6"/>
        <v>13-24 Months</v>
      </c>
      <c r="L423">
        <f>IF(Table13[[#This Row],[Churn]]="Yes",1,0)</f>
        <v>0</v>
      </c>
    </row>
    <row r="424" spans="1:12" x14ac:dyDescent="0.35">
      <c r="A424" t="s">
        <v>446</v>
      </c>
      <c r="B424" t="s">
        <v>17</v>
      </c>
      <c r="C424">
        <v>32</v>
      </c>
      <c r="D424">
        <v>23</v>
      </c>
      <c r="E424" t="s">
        <v>12</v>
      </c>
      <c r="F424" t="s">
        <v>33</v>
      </c>
      <c r="G424" t="s">
        <v>14</v>
      </c>
      <c r="H424">
        <v>27.68</v>
      </c>
      <c r="I424">
        <v>638.41999999999996</v>
      </c>
      <c r="J424" t="s">
        <v>15</v>
      </c>
      <c r="K424" t="str">
        <f t="shared" si="6"/>
        <v>13-24 Months</v>
      </c>
      <c r="L424">
        <f>IF(Table13[[#This Row],[Churn]]="Yes",1,0)</f>
        <v>0</v>
      </c>
    </row>
    <row r="425" spans="1:12" x14ac:dyDescent="0.35">
      <c r="A425" t="s">
        <v>447</v>
      </c>
      <c r="B425" t="s">
        <v>11</v>
      </c>
      <c r="C425">
        <v>64</v>
      </c>
      <c r="D425">
        <v>1</v>
      </c>
      <c r="E425" t="s">
        <v>18</v>
      </c>
      <c r="F425" t="s">
        <v>33</v>
      </c>
      <c r="G425" t="s">
        <v>23</v>
      </c>
      <c r="H425">
        <v>109.79</v>
      </c>
      <c r="I425">
        <v>113.96</v>
      </c>
      <c r="J425" t="s">
        <v>15</v>
      </c>
      <c r="K425" t="str">
        <f t="shared" si="6"/>
        <v>0-12 Months</v>
      </c>
      <c r="L425">
        <f>IF(Table13[[#This Row],[Churn]]="Yes",1,0)</f>
        <v>0</v>
      </c>
    </row>
    <row r="426" spans="1:12" x14ac:dyDescent="0.35">
      <c r="A426" t="s">
        <v>448</v>
      </c>
      <c r="B426" t="s">
        <v>17</v>
      </c>
      <c r="C426">
        <v>46</v>
      </c>
      <c r="D426">
        <v>54</v>
      </c>
      <c r="E426" t="s">
        <v>12</v>
      </c>
      <c r="F426" t="s">
        <v>22</v>
      </c>
      <c r="G426" t="s">
        <v>14</v>
      </c>
      <c r="H426">
        <v>114.74</v>
      </c>
      <c r="I426">
        <v>6614.12</v>
      </c>
      <c r="J426" t="s">
        <v>15</v>
      </c>
      <c r="K426" t="str">
        <f t="shared" si="6"/>
        <v>49+ Months</v>
      </c>
      <c r="L426">
        <f>IF(Table13[[#This Row],[Churn]]="Yes",1,0)</f>
        <v>0</v>
      </c>
    </row>
    <row r="427" spans="1:12" x14ac:dyDescent="0.35">
      <c r="A427" t="s">
        <v>449</v>
      </c>
      <c r="B427" t="s">
        <v>11</v>
      </c>
      <c r="C427">
        <v>50</v>
      </c>
      <c r="D427">
        <v>71</v>
      </c>
      <c r="E427" t="s">
        <v>18</v>
      </c>
      <c r="F427" t="s">
        <v>29</v>
      </c>
      <c r="G427" t="s">
        <v>23</v>
      </c>
      <c r="H427">
        <v>26.11</v>
      </c>
      <c r="I427">
        <v>1788.18</v>
      </c>
      <c r="J427" t="s">
        <v>27</v>
      </c>
      <c r="K427" t="str">
        <f t="shared" si="6"/>
        <v>49+ Months</v>
      </c>
      <c r="L427">
        <f>IF(Table13[[#This Row],[Churn]]="Yes",1,0)</f>
        <v>1</v>
      </c>
    </row>
    <row r="428" spans="1:12" x14ac:dyDescent="0.35">
      <c r="A428" t="s">
        <v>450</v>
      </c>
      <c r="B428" t="s">
        <v>11</v>
      </c>
      <c r="C428">
        <v>69</v>
      </c>
      <c r="D428">
        <v>15</v>
      </c>
      <c r="E428" t="s">
        <v>21</v>
      </c>
      <c r="F428" t="s">
        <v>13</v>
      </c>
      <c r="G428" t="s">
        <v>23</v>
      </c>
      <c r="H428">
        <v>140.65</v>
      </c>
      <c r="I428">
        <v>2273.89</v>
      </c>
      <c r="J428" t="s">
        <v>15</v>
      </c>
      <c r="K428" t="str">
        <f t="shared" si="6"/>
        <v>13-24 Months</v>
      </c>
      <c r="L428">
        <f>IF(Table13[[#This Row],[Churn]]="Yes",1,0)</f>
        <v>0</v>
      </c>
    </row>
    <row r="429" spans="1:12" x14ac:dyDescent="0.35">
      <c r="A429" t="s">
        <v>451</v>
      </c>
      <c r="B429" t="s">
        <v>17</v>
      </c>
      <c r="C429">
        <v>47</v>
      </c>
      <c r="D429">
        <v>65</v>
      </c>
      <c r="E429" t="s">
        <v>21</v>
      </c>
      <c r="F429" t="s">
        <v>13</v>
      </c>
      <c r="G429" t="s">
        <v>14</v>
      </c>
      <c r="H429">
        <v>31.85</v>
      </c>
      <c r="I429">
        <v>1929.74</v>
      </c>
      <c r="J429" t="s">
        <v>15</v>
      </c>
      <c r="K429" t="str">
        <f t="shared" si="6"/>
        <v>49+ Months</v>
      </c>
      <c r="L429">
        <f>IF(Table13[[#This Row],[Churn]]="Yes",1,0)</f>
        <v>0</v>
      </c>
    </row>
    <row r="430" spans="1:12" x14ac:dyDescent="0.35">
      <c r="A430" t="s">
        <v>452</v>
      </c>
      <c r="B430" t="s">
        <v>11</v>
      </c>
      <c r="C430">
        <v>56</v>
      </c>
      <c r="D430">
        <v>71</v>
      </c>
      <c r="E430" t="s">
        <v>12</v>
      </c>
      <c r="F430" t="s">
        <v>29</v>
      </c>
      <c r="G430" t="s">
        <v>23</v>
      </c>
      <c r="H430">
        <v>57.17</v>
      </c>
      <c r="I430">
        <v>3793.63</v>
      </c>
      <c r="J430" t="s">
        <v>15</v>
      </c>
      <c r="K430" t="str">
        <f t="shared" si="6"/>
        <v>49+ Months</v>
      </c>
      <c r="L430">
        <f>IF(Table13[[#This Row],[Churn]]="Yes",1,0)</f>
        <v>0</v>
      </c>
    </row>
    <row r="431" spans="1:12" x14ac:dyDescent="0.35">
      <c r="A431" t="s">
        <v>453</v>
      </c>
      <c r="B431" t="s">
        <v>17</v>
      </c>
      <c r="C431">
        <v>44</v>
      </c>
      <c r="D431">
        <v>15</v>
      </c>
      <c r="E431" t="s">
        <v>12</v>
      </c>
      <c r="F431" t="s">
        <v>29</v>
      </c>
      <c r="G431" t="s">
        <v>14</v>
      </c>
      <c r="H431">
        <v>107.41</v>
      </c>
      <c r="I431">
        <v>1536</v>
      </c>
      <c r="J431" t="s">
        <v>27</v>
      </c>
      <c r="K431" t="str">
        <f t="shared" si="6"/>
        <v>13-24 Months</v>
      </c>
      <c r="L431">
        <f>IF(Table13[[#This Row],[Churn]]="Yes",1,0)</f>
        <v>1</v>
      </c>
    </row>
    <row r="432" spans="1:12" x14ac:dyDescent="0.35">
      <c r="A432" t="s">
        <v>454</v>
      </c>
      <c r="B432" t="s">
        <v>11</v>
      </c>
      <c r="C432">
        <v>53</v>
      </c>
      <c r="D432">
        <v>21</v>
      </c>
      <c r="E432" t="s">
        <v>18</v>
      </c>
      <c r="F432" t="s">
        <v>33</v>
      </c>
      <c r="G432" t="s">
        <v>23</v>
      </c>
      <c r="H432">
        <v>42.08</v>
      </c>
      <c r="I432">
        <v>816.44</v>
      </c>
      <c r="J432" t="s">
        <v>15</v>
      </c>
      <c r="K432" t="str">
        <f t="shared" si="6"/>
        <v>13-24 Months</v>
      </c>
      <c r="L432">
        <f>IF(Table13[[#This Row],[Churn]]="Yes",1,0)</f>
        <v>0</v>
      </c>
    </row>
    <row r="433" spans="1:12" x14ac:dyDescent="0.35">
      <c r="A433" t="s">
        <v>455</v>
      </c>
      <c r="B433" t="s">
        <v>17</v>
      </c>
      <c r="C433">
        <v>46</v>
      </c>
      <c r="D433">
        <v>19</v>
      </c>
      <c r="E433" t="s">
        <v>12</v>
      </c>
      <c r="F433" t="s">
        <v>33</v>
      </c>
      <c r="G433" t="s">
        <v>14</v>
      </c>
      <c r="H433">
        <v>27.2</v>
      </c>
      <c r="I433">
        <v>488.93</v>
      </c>
      <c r="J433" t="s">
        <v>27</v>
      </c>
      <c r="K433" t="str">
        <f t="shared" si="6"/>
        <v>13-24 Months</v>
      </c>
      <c r="L433">
        <f>IF(Table13[[#This Row],[Churn]]="Yes",1,0)</f>
        <v>1</v>
      </c>
    </row>
    <row r="434" spans="1:12" x14ac:dyDescent="0.35">
      <c r="A434" t="s">
        <v>456</v>
      </c>
      <c r="B434" t="s">
        <v>11</v>
      </c>
      <c r="C434">
        <v>55</v>
      </c>
      <c r="D434">
        <v>60</v>
      </c>
      <c r="E434" t="s">
        <v>18</v>
      </c>
      <c r="F434" t="s">
        <v>33</v>
      </c>
      <c r="G434" t="s">
        <v>23</v>
      </c>
      <c r="H434">
        <v>63.05</v>
      </c>
      <c r="I434">
        <v>3485.21</v>
      </c>
      <c r="J434" t="s">
        <v>27</v>
      </c>
      <c r="K434" t="str">
        <f t="shared" si="6"/>
        <v>49+ Months</v>
      </c>
      <c r="L434">
        <f>IF(Table13[[#This Row],[Churn]]="Yes",1,0)</f>
        <v>1</v>
      </c>
    </row>
    <row r="435" spans="1:12" x14ac:dyDescent="0.35">
      <c r="A435" t="s">
        <v>457</v>
      </c>
      <c r="B435" t="s">
        <v>17</v>
      </c>
      <c r="C435">
        <v>50</v>
      </c>
      <c r="D435">
        <v>33</v>
      </c>
      <c r="E435" t="s">
        <v>12</v>
      </c>
      <c r="F435" t="s">
        <v>13</v>
      </c>
      <c r="G435" t="s">
        <v>23</v>
      </c>
      <c r="H435">
        <v>119.58</v>
      </c>
      <c r="I435">
        <v>4200.08</v>
      </c>
      <c r="J435" t="s">
        <v>27</v>
      </c>
      <c r="K435" t="str">
        <f t="shared" si="6"/>
        <v>25-48 Months</v>
      </c>
      <c r="L435">
        <f>IF(Table13[[#This Row],[Churn]]="Yes",1,0)</f>
        <v>1</v>
      </c>
    </row>
    <row r="436" spans="1:12" x14ac:dyDescent="0.35">
      <c r="A436" t="s">
        <v>458</v>
      </c>
      <c r="B436" t="s">
        <v>17</v>
      </c>
      <c r="C436">
        <v>54</v>
      </c>
      <c r="D436">
        <v>49</v>
      </c>
      <c r="E436" t="s">
        <v>12</v>
      </c>
      <c r="F436" t="s">
        <v>29</v>
      </c>
      <c r="G436" t="s">
        <v>23</v>
      </c>
      <c r="H436">
        <v>73.78</v>
      </c>
      <c r="I436">
        <v>3354.18</v>
      </c>
      <c r="J436" t="s">
        <v>15</v>
      </c>
      <c r="K436" t="str">
        <f t="shared" si="6"/>
        <v>49+ Months</v>
      </c>
      <c r="L436">
        <f>IF(Table13[[#This Row],[Churn]]="Yes",1,0)</f>
        <v>0</v>
      </c>
    </row>
    <row r="437" spans="1:12" x14ac:dyDescent="0.35">
      <c r="A437" t="s">
        <v>459</v>
      </c>
      <c r="B437" t="s">
        <v>17</v>
      </c>
      <c r="C437">
        <v>44</v>
      </c>
      <c r="D437">
        <v>35</v>
      </c>
      <c r="E437" t="s">
        <v>12</v>
      </c>
      <c r="F437" t="s">
        <v>29</v>
      </c>
      <c r="G437" t="s">
        <v>14</v>
      </c>
      <c r="H437">
        <v>104.89</v>
      </c>
      <c r="I437">
        <v>3852.72</v>
      </c>
      <c r="J437" t="s">
        <v>15</v>
      </c>
      <c r="K437" t="str">
        <f t="shared" si="6"/>
        <v>25-48 Months</v>
      </c>
      <c r="L437">
        <f>IF(Table13[[#This Row],[Churn]]="Yes",1,0)</f>
        <v>0</v>
      </c>
    </row>
    <row r="438" spans="1:12" x14ac:dyDescent="0.35">
      <c r="A438" t="s">
        <v>460</v>
      </c>
      <c r="B438" t="s">
        <v>17</v>
      </c>
      <c r="C438">
        <v>50</v>
      </c>
      <c r="D438">
        <v>44</v>
      </c>
      <c r="E438" t="s">
        <v>12</v>
      </c>
      <c r="F438" t="s">
        <v>29</v>
      </c>
      <c r="G438" t="s">
        <v>23</v>
      </c>
      <c r="H438">
        <v>95.35</v>
      </c>
      <c r="I438">
        <v>3816.06</v>
      </c>
      <c r="J438" t="s">
        <v>15</v>
      </c>
      <c r="K438" t="str">
        <f t="shared" si="6"/>
        <v>25-48 Months</v>
      </c>
      <c r="L438">
        <f>IF(Table13[[#This Row],[Churn]]="Yes",1,0)</f>
        <v>0</v>
      </c>
    </row>
    <row r="439" spans="1:12" x14ac:dyDescent="0.35">
      <c r="A439" t="s">
        <v>461</v>
      </c>
      <c r="B439" t="s">
        <v>17</v>
      </c>
      <c r="C439">
        <v>21</v>
      </c>
      <c r="D439">
        <v>11</v>
      </c>
      <c r="E439" t="s">
        <v>18</v>
      </c>
      <c r="F439" t="s">
        <v>29</v>
      </c>
      <c r="G439" t="s">
        <v>19</v>
      </c>
      <c r="H439">
        <v>22.89</v>
      </c>
      <c r="I439">
        <v>274.38</v>
      </c>
      <c r="J439" t="s">
        <v>15</v>
      </c>
      <c r="K439" t="str">
        <f t="shared" si="6"/>
        <v>0-12 Months</v>
      </c>
      <c r="L439">
        <f>IF(Table13[[#This Row],[Churn]]="Yes",1,0)</f>
        <v>0</v>
      </c>
    </row>
    <row r="440" spans="1:12" x14ac:dyDescent="0.35">
      <c r="A440" t="s">
        <v>462</v>
      </c>
      <c r="B440" t="s">
        <v>11</v>
      </c>
      <c r="C440">
        <v>39</v>
      </c>
      <c r="D440">
        <v>72</v>
      </c>
      <c r="E440" t="s">
        <v>12</v>
      </c>
      <c r="F440" t="s">
        <v>29</v>
      </c>
      <c r="G440" t="s">
        <v>14</v>
      </c>
      <c r="H440">
        <v>148.51</v>
      </c>
      <c r="I440">
        <v>11144.3</v>
      </c>
      <c r="J440" t="s">
        <v>27</v>
      </c>
      <c r="K440" t="str">
        <f t="shared" si="6"/>
        <v>49+ Months</v>
      </c>
      <c r="L440">
        <f>IF(Table13[[#This Row],[Churn]]="Yes",1,0)</f>
        <v>1</v>
      </c>
    </row>
    <row r="441" spans="1:12" x14ac:dyDescent="0.35">
      <c r="A441" t="s">
        <v>463</v>
      </c>
      <c r="B441" t="s">
        <v>11</v>
      </c>
      <c r="C441">
        <v>19</v>
      </c>
      <c r="D441">
        <v>66</v>
      </c>
      <c r="E441" t="s">
        <v>12</v>
      </c>
      <c r="F441" t="s">
        <v>33</v>
      </c>
      <c r="G441" t="s">
        <v>19</v>
      </c>
      <c r="H441">
        <v>25.39</v>
      </c>
      <c r="I441">
        <v>1510.44</v>
      </c>
      <c r="J441" t="s">
        <v>15</v>
      </c>
      <c r="K441" t="str">
        <f t="shared" si="6"/>
        <v>49+ Months</v>
      </c>
      <c r="L441">
        <f>IF(Table13[[#This Row],[Churn]]="Yes",1,0)</f>
        <v>0</v>
      </c>
    </row>
    <row r="442" spans="1:12" x14ac:dyDescent="0.35">
      <c r="A442" t="s">
        <v>464</v>
      </c>
      <c r="B442" t="s">
        <v>11</v>
      </c>
      <c r="C442">
        <v>27</v>
      </c>
      <c r="D442">
        <v>46</v>
      </c>
      <c r="E442" t="s">
        <v>12</v>
      </c>
      <c r="F442" t="s">
        <v>22</v>
      </c>
      <c r="G442" t="s">
        <v>19</v>
      </c>
      <c r="H442">
        <v>145.81</v>
      </c>
      <c r="I442">
        <v>7061.21</v>
      </c>
      <c r="J442" t="s">
        <v>27</v>
      </c>
      <c r="K442" t="str">
        <f t="shared" si="6"/>
        <v>25-48 Months</v>
      </c>
      <c r="L442">
        <f>IF(Table13[[#This Row],[Churn]]="Yes",1,0)</f>
        <v>1</v>
      </c>
    </row>
    <row r="443" spans="1:12" x14ac:dyDescent="0.35">
      <c r="A443" t="s">
        <v>465</v>
      </c>
      <c r="B443" t="s">
        <v>17</v>
      </c>
      <c r="C443">
        <v>22</v>
      </c>
      <c r="D443">
        <v>9</v>
      </c>
      <c r="E443" t="s">
        <v>12</v>
      </c>
      <c r="F443" t="s">
        <v>29</v>
      </c>
      <c r="G443" t="s">
        <v>19</v>
      </c>
      <c r="H443">
        <v>91.48</v>
      </c>
      <c r="I443">
        <v>825.64</v>
      </c>
      <c r="J443" t="s">
        <v>27</v>
      </c>
      <c r="K443" t="str">
        <f t="shared" si="6"/>
        <v>0-12 Months</v>
      </c>
      <c r="L443">
        <f>IF(Table13[[#This Row],[Churn]]="Yes",1,0)</f>
        <v>1</v>
      </c>
    </row>
    <row r="444" spans="1:12" x14ac:dyDescent="0.35">
      <c r="A444" t="s">
        <v>466</v>
      </c>
      <c r="B444" t="s">
        <v>11</v>
      </c>
      <c r="C444">
        <v>27</v>
      </c>
      <c r="D444">
        <v>3</v>
      </c>
      <c r="E444" t="s">
        <v>12</v>
      </c>
      <c r="F444" t="s">
        <v>29</v>
      </c>
      <c r="G444" t="s">
        <v>19</v>
      </c>
      <c r="H444">
        <v>145.21</v>
      </c>
      <c r="I444">
        <v>459.97</v>
      </c>
      <c r="J444" t="s">
        <v>15</v>
      </c>
      <c r="K444" t="str">
        <f t="shared" si="6"/>
        <v>0-12 Months</v>
      </c>
      <c r="L444">
        <f>IF(Table13[[#This Row],[Churn]]="Yes",1,0)</f>
        <v>0</v>
      </c>
    </row>
    <row r="445" spans="1:12" x14ac:dyDescent="0.35">
      <c r="A445" t="s">
        <v>467</v>
      </c>
      <c r="B445" t="s">
        <v>17</v>
      </c>
      <c r="C445">
        <v>50</v>
      </c>
      <c r="D445">
        <v>26</v>
      </c>
      <c r="E445" t="s">
        <v>12</v>
      </c>
      <c r="F445" t="s">
        <v>13</v>
      </c>
      <c r="G445" t="s">
        <v>23</v>
      </c>
      <c r="H445">
        <v>34.92</v>
      </c>
      <c r="I445">
        <v>912.01</v>
      </c>
      <c r="J445" t="s">
        <v>27</v>
      </c>
      <c r="K445" t="str">
        <f t="shared" si="6"/>
        <v>25-48 Months</v>
      </c>
      <c r="L445">
        <f>IF(Table13[[#This Row],[Churn]]="Yes",1,0)</f>
        <v>1</v>
      </c>
    </row>
    <row r="446" spans="1:12" x14ac:dyDescent="0.35">
      <c r="A446" t="s">
        <v>468</v>
      </c>
      <c r="B446" t="s">
        <v>17</v>
      </c>
      <c r="C446">
        <v>55</v>
      </c>
      <c r="D446">
        <v>72</v>
      </c>
      <c r="E446" t="s">
        <v>18</v>
      </c>
      <c r="F446" t="s">
        <v>29</v>
      </c>
      <c r="G446" t="s">
        <v>23</v>
      </c>
      <c r="H446">
        <v>83.07</v>
      </c>
      <c r="I446">
        <v>6200.08</v>
      </c>
      <c r="J446" t="s">
        <v>15</v>
      </c>
      <c r="K446" t="str">
        <f t="shared" si="6"/>
        <v>49+ Months</v>
      </c>
      <c r="L446">
        <f>IF(Table13[[#This Row],[Churn]]="Yes",1,0)</f>
        <v>0</v>
      </c>
    </row>
    <row r="447" spans="1:12" x14ac:dyDescent="0.35">
      <c r="A447" t="s">
        <v>469</v>
      </c>
      <c r="B447" t="s">
        <v>11</v>
      </c>
      <c r="C447">
        <v>30</v>
      </c>
      <c r="D447">
        <v>48</v>
      </c>
      <c r="E447" t="s">
        <v>12</v>
      </c>
      <c r="F447" t="s">
        <v>33</v>
      </c>
      <c r="G447" t="s">
        <v>14</v>
      </c>
      <c r="H447">
        <v>42.04</v>
      </c>
      <c r="I447">
        <v>2133.48</v>
      </c>
      <c r="J447" t="s">
        <v>15</v>
      </c>
      <c r="K447" t="str">
        <f t="shared" si="6"/>
        <v>25-48 Months</v>
      </c>
      <c r="L447">
        <f>IF(Table13[[#This Row],[Churn]]="Yes",1,0)</f>
        <v>0</v>
      </c>
    </row>
    <row r="448" spans="1:12" x14ac:dyDescent="0.35">
      <c r="A448" t="s">
        <v>470</v>
      </c>
      <c r="B448" t="s">
        <v>11</v>
      </c>
      <c r="C448">
        <v>48</v>
      </c>
      <c r="D448">
        <v>66</v>
      </c>
      <c r="E448" t="s">
        <v>12</v>
      </c>
      <c r="F448" t="s">
        <v>13</v>
      </c>
      <c r="G448" t="s">
        <v>14</v>
      </c>
      <c r="H448">
        <v>26.63</v>
      </c>
      <c r="I448">
        <v>1724.22</v>
      </c>
      <c r="J448" t="s">
        <v>15</v>
      </c>
      <c r="K448" t="str">
        <f t="shared" si="6"/>
        <v>49+ Months</v>
      </c>
      <c r="L448">
        <f>IF(Table13[[#This Row],[Churn]]="Yes",1,0)</f>
        <v>0</v>
      </c>
    </row>
    <row r="449" spans="1:12" x14ac:dyDescent="0.35">
      <c r="A449" t="s">
        <v>471</v>
      </c>
      <c r="B449" t="s">
        <v>17</v>
      </c>
      <c r="C449">
        <v>64</v>
      </c>
      <c r="D449">
        <v>70</v>
      </c>
      <c r="E449" t="s">
        <v>12</v>
      </c>
      <c r="F449" t="s">
        <v>13</v>
      </c>
      <c r="G449" t="s">
        <v>23</v>
      </c>
      <c r="H449">
        <v>100.28</v>
      </c>
      <c r="I449">
        <v>6321.44</v>
      </c>
      <c r="J449" t="s">
        <v>15</v>
      </c>
      <c r="K449" t="str">
        <f t="shared" si="6"/>
        <v>49+ Months</v>
      </c>
      <c r="L449">
        <f>IF(Table13[[#This Row],[Churn]]="Yes",1,0)</f>
        <v>0</v>
      </c>
    </row>
    <row r="450" spans="1:12" x14ac:dyDescent="0.35">
      <c r="A450" t="s">
        <v>472</v>
      </c>
      <c r="B450" t="s">
        <v>11</v>
      </c>
      <c r="C450">
        <v>53</v>
      </c>
      <c r="D450">
        <v>28</v>
      </c>
      <c r="E450" t="s">
        <v>12</v>
      </c>
      <c r="F450" t="s">
        <v>13</v>
      </c>
      <c r="G450" t="s">
        <v>23</v>
      </c>
      <c r="H450">
        <v>47.01</v>
      </c>
      <c r="I450">
        <v>1408.41</v>
      </c>
      <c r="J450" t="s">
        <v>27</v>
      </c>
      <c r="K450" t="str">
        <f t="shared" ref="K450:K513" si="7">IF(D450&lt;=12,"0-12 Months",IF(D450&lt;=24,"13-24 Months",IF(D450&lt;=48,"25-48 Months","49+ Months")))</f>
        <v>25-48 Months</v>
      </c>
      <c r="L450">
        <f>IF(Table13[[#This Row],[Churn]]="Yes",1,0)</f>
        <v>1</v>
      </c>
    </row>
    <row r="451" spans="1:12" x14ac:dyDescent="0.35">
      <c r="A451" t="s">
        <v>473</v>
      </c>
      <c r="B451" t="s">
        <v>17</v>
      </c>
      <c r="C451">
        <v>62</v>
      </c>
      <c r="D451">
        <v>26</v>
      </c>
      <c r="E451" t="s">
        <v>18</v>
      </c>
      <c r="F451" t="s">
        <v>29</v>
      </c>
      <c r="G451" t="s">
        <v>23</v>
      </c>
      <c r="H451">
        <v>96.4</v>
      </c>
      <c r="I451">
        <v>2446.69</v>
      </c>
      <c r="J451" t="s">
        <v>15</v>
      </c>
      <c r="K451" t="str">
        <f t="shared" si="7"/>
        <v>25-48 Months</v>
      </c>
      <c r="L451">
        <f>IF(Table13[[#This Row],[Churn]]="Yes",1,0)</f>
        <v>0</v>
      </c>
    </row>
    <row r="452" spans="1:12" x14ac:dyDescent="0.35">
      <c r="A452" t="s">
        <v>474</v>
      </c>
      <c r="B452" t="s">
        <v>17</v>
      </c>
      <c r="C452">
        <v>41</v>
      </c>
      <c r="D452">
        <v>25</v>
      </c>
      <c r="E452" t="s">
        <v>12</v>
      </c>
      <c r="F452" t="s">
        <v>22</v>
      </c>
      <c r="G452" t="s">
        <v>14</v>
      </c>
      <c r="H452">
        <v>34.61</v>
      </c>
      <c r="I452">
        <v>864.57</v>
      </c>
      <c r="J452" t="s">
        <v>15</v>
      </c>
      <c r="K452" t="str">
        <f t="shared" si="7"/>
        <v>25-48 Months</v>
      </c>
      <c r="L452">
        <f>IF(Table13[[#This Row],[Churn]]="Yes",1,0)</f>
        <v>0</v>
      </c>
    </row>
    <row r="453" spans="1:12" x14ac:dyDescent="0.35">
      <c r="A453" t="s">
        <v>475</v>
      </c>
      <c r="B453" t="s">
        <v>17</v>
      </c>
      <c r="C453">
        <v>69</v>
      </c>
      <c r="D453">
        <v>12</v>
      </c>
      <c r="E453" t="s">
        <v>12</v>
      </c>
      <c r="F453" t="s">
        <v>22</v>
      </c>
      <c r="G453" t="s">
        <v>23</v>
      </c>
      <c r="H453">
        <v>63.16</v>
      </c>
      <c r="I453">
        <v>683.31</v>
      </c>
      <c r="J453" t="s">
        <v>15</v>
      </c>
      <c r="K453" t="str">
        <f t="shared" si="7"/>
        <v>0-12 Months</v>
      </c>
      <c r="L453">
        <f>IF(Table13[[#This Row],[Churn]]="Yes",1,0)</f>
        <v>0</v>
      </c>
    </row>
    <row r="454" spans="1:12" x14ac:dyDescent="0.35">
      <c r="A454" t="s">
        <v>476</v>
      </c>
      <c r="B454" t="s">
        <v>17</v>
      </c>
      <c r="C454">
        <v>32</v>
      </c>
      <c r="D454">
        <v>5</v>
      </c>
      <c r="E454" t="s">
        <v>21</v>
      </c>
      <c r="F454" t="s">
        <v>22</v>
      </c>
      <c r="G454" t="s">
        <v>14</v>
      </c>
      <c r="H454">
        <v>121.61</v>
      </c>
      <c r="I454">
        <v>607.09</v>
      </c>
      <c r="J454" t="s">
        <v>27</v>
      </c>
      <c r="K454" t="str">
        <f t="shared" si="7"/>
        <v>0-12 Months</v>
      </c>
      <c r="L454">
        <f>IF(Table13[[#This Row],[Churn]]="Yes",1,0)</f>
        <v>1</v>
      </c>
    </row>
    <row r="455" spans="1:12" x14ac:dyDescent="0.35">
      <c r="A455" t="s">
        <v>477</v>
      </c>
      <c r="B455" t="s">
        <v>17</v>
      </c>
      <c r="C455">
        <v>46</v>
      </c>
      <c r="D455">
        <v>48</v>
      </c>
      <c r="E455" t="s">
        <v>12</v>
      </c>
      <c r="F455" t="s">
        <v>29</v>
      </c>
      <c r="G455" t="s">
        <v>14</v>
      </c>
      <c r="H455">
        <v>76.819999999999993</v>
      </c>
      <c r="I455">
        <v>4046.13</v>
      </c>
      <c r="J455" t="s">
        <v>15</v>
      </c>
      <c r="K455" t="str">
        <f t="shared" si="7"/>
        <v>25-48 Months</v>
      </c>
      <c r="L455">
        <f>IF(Table13[[#This Row],[Churn]]="Yes",1,0)</f>
        <v>0</v>
      </c>
    </row>
    <row r="456" spans="1:12" x14ac:dyDescent="0.35">
      <c r="A456" t="s">
        <v>478</v>
      </c>
      <c r="B456" t="s">
        <v>11</v>
      </c>
      <c r="C456">
        <v>25</v>
      </c>
      <c r="D456">
        <v>37</v>
      </c>
      <c r="E456" t="s">
        <v>12</v>
      </c>
      <c r="F456" t="s">
        <v>1024</v>
      </c>
      <c r="G456" t="s">
        <v>19</v>
      </c>
      <c r="H456">
        <v>101.61</v>
      </c>
      <c r="I456">
        <v>3592.85</v>
      </c>
      <c r="J456" t="s">
        <v>15</v>
      </c>
      <c r="K456" t="str">
        <f t="shared" si="7"/>
        <v>25-48 Months</v>
      </c>
      <c r="L456">
        <f>IF(Table13[[#This Row],[Churn]]="Yes",1,0)</f>
        <v>0</v>
      </c>
    </row>
    <row r="457" spans="1:12" x14ac:dyDescent="0.35">
      <c r="A457" t="s">
        <v>479</v>
      </c>
      <c r="B457" t="s">
        <v>11</v>
      </c>
      <c r="C457">
        <v>22</v>
      </c>
      <c r="D457">
        <v>44</v>
      </c>
      <c r="E457" t="s">
        <v>18</v>
      </c>
      <c r="F457" t="s">
        <v>13</v>
      </c>
      <c r="G457" t="s">
        <v>19</v>
      </c>
      <c r="H457">
        <v>104.17</v>
      </c>
      <c r="I457">
        <v>4487.6099999999997</v>
      </c>
      <c r="J457" t="s">
        <v>15</v>
      </c>
      <c r="K457" t="str">
        <f t="shared" si="7"/>
        <v>25-48 Months</v>
      </c>
      <c r="L457">
        <f>IF(Table13[[#This Row],[Churn]]="Yes",1,0)</f>
        <v>0</v>
      </c>
    </row>
    <row r="458" spans="1:12" x14ac:dyDescent="0.35">
      <c r="A458" t="s">
        <v>480</v>
      </c>
      <c r="B458" t="s">
        <v>17</v>
      </c>
      <c r="C458">
        <v>46</v>
      </c>
      <c r="D458">
        <v>15</v>
      </c>
      <c r="E458" t="s">
        <v>21</v>
      </c>
      <c r="F458" t="s">
        <v>33</v>
      </c>
      <c r="G458" t="s">
        <v>14</v>
      </c>
      <c r="H458">
        <v>129.69</v>
      </c>
      <c r="I458">
        <v>2018.18</v>
      </c>
      <c r="J458" t="s">
        <v>15</v>
      </c>
      <c r="K458" t="str">
        <f t="shared" si="7"/>
        <v>13-24 Months</v>
      </c>
      <c r="L458">
        <f>IF(Table13[[#This Row],[Churn]]="Yes",1,0)</f>
        <v>0</v>
      </c>
    </row>
    <row r="459" spans="1:12" x14ac:dyDescent="0.35">
      <c r="A459" t="s">
        <v>481</v>
      </c>
      <c r="B459" t="s">
        <v>17</v>
      </c>
      <c r="C459">
        <v>64</v>
      </c>
      <c r="D459">
        <v>43</v>
      </c>
      <c r="E459" t="s">
        <v>18</v>
      </c>
      <c r="F459" t="s">
        <v>13</v>
      </c>
      <c r="G459" t="s">
        <v>23</v>
      </c>
      <c r="H459">
        <v>62.24</v>
      </c>
      <c r="I459">
        <v>2844.82</v>
      </c>
      <c r="J459" t="s">
        <v>15</v>
      </c>
      <c r="K459" t="str">
        <f t="shared" si="7"/>
        <v>25-48 Months</v>
      </c>
      <c r="L459">
        <f>IF(Table13[[#This Row],[Churn]]="Yes",1,0)</f>
        <v>0</v>
      </c>
    </row>
    <row r="460" spans="1:12" x14ac:dyDescent="0.35">
      <c r="A460" t="s">
        <v>482</v>
      </c>
      <c r="B460" t="s">
        <v>11</v>
      </c>
      <c r="C460">
        <v>21</v>
      </c>
      <c r="D460">
        <v>48</v>
      </c>
      <c r="E460" t="s">
        <v>12</v>
      </c>
      <c r="F460" t="s">
        <v>13</v>
      </c>
      <c r="G460" t="s">
        <v>19</v>
      </c>
      <c r="H460">
        <v>109.35</v>
      </c>
      <c r="I460">
        <v>5162.08</v>
      </c>
      <c r="J460" t="s">
        <v>15</v>
      </c>
      <c r="K460" t="str">
        <f t="shared" si="7"/>
        <v>25-48 Months</v>
      </c>
      <c r="L460">
        <f>IF(Table13[[#This Row],[Churn]]="Yes",1,0)</f>
        <v>0</v>
      </c>
    </row>
    <row r="461" spans="1:12" x14ac:dyDescent="0.35">
      <c r="A461" t="s">
        <v>483</v>
      </c>
      <c r="B461" t="s">
        <v>11</v>
      </c>
      <c r="C461">
        <v>29</v>
      </c>
      <c r="D461">
        <v>70</v>
      </c>
      <c r="E461" t="s">
        <v>12</v>
      </c>
      <c r="F461" t="s">
        <v>22</v>
      </c>
      <c r="G461" t="s">
        <v>19</v>
      </c>
      <c r="H461">
        <v>145.01</v>
      </c>
      <c r="I461">
        <v>9764.2999999999993</v>
      </c>
      <c r="J461" t="s">
        <v>15</v>
      </c>
      <c r="K461" t="str">
        <f t="shared" si="7"/>
        <v>49+ Months</v>
      </c>
      <c r="L461">
        <f>IF(Table13[[#This Row],[Churn]]="Yes",1,0)</f>
        <v>0</v>
      </c>
    </row>
    <row r="462" spans="1:12" x14ac:dyDescent="0.35">
      <c r="A462" t="s">
        <v>484</v>
      </c>
      <c r="B462" t="s">
        <v>17</v>
      </c>
      <c r="C462">
        <v>62</v>
      </c>
      <c r="D462">
        <v>46</v>
      </c>
      <c r="E462" t="s">
        <v>12</v>
      </c>
      <c r="F462" t="s">
        <v>22</v>
      </c>
      <c r="G462" t="s">
        <v>23</v>
      </c>
      <c r="H462">
        <v>114.93</v>
      </c>
      <c r="I462">
        <v>5749.72</v>
      </c>
      <c r="J462" t="s">
        <v>27</v>
      </c>
      <c r="K462" t="str">
        <f t="shared" si="7"/>
        <v>25-48 Months</v>
      </c>
      <c r="L462">
        <f>IF(Table13[[#This Row],[Churn]]="Yes",1,0)</f>
        <v>1</v>
      </c>
    </row>
    <row r="463" spans="1:12" x14ac:dyDescent="0.35">
      <c r="A463" t="s">
        <v>485</v>
      </c>
      <c r="B463" t="s">
        <v>11</v>
      </c>
      <c r="C463">
        <v>19</v>
      </c>
      <c r="D463">
        <v>43</v>
      </c>
      <c r="E463" t="s">
        <v>12</v>
      </c>
      <c r="F463" t="s">
        <v>13</v>
      </c>
      <c r="G463" t="s">
        <v>19</v>
      </c>
      <c r="H463">
        <v>83.68</v>
      </c>
      <c r="I463">
        <v>3725.72</v>
      </c>
      <c r="J463" t="s">
        <v>15</v>
      </c>
      <c r="K463" t="str">
        <f t="shared" si="7"/>
        <v>25-48 Months</v>
      </c>
      <c r="L463">
        <f>IF(Table13[[#This Row],[Churn]]="Yes",1,0)</f>
        <v>0</v>
      </c>
    </row>
    <row r="464" spans="1:12" x14ac:dyDescent="0.35">
      <c r="A464" t="s">
        <v>486</v>
      </c>
      <c r="B464" t="s">
        <v>17</v>
      </c>
      <c r="C464">
        <v>44</v>
      </c>
      <c r="D464">
        <v>21</v>
      </c>
      <c r="E464" t="s">
        <v>18</v>
      </c>
      <c r="F464" t="s">
        <v>13</v>
      </c>
      <c r="G464" t="s">
        <v>14</v>
      </c>
      <c r="H464">
        <v>101.99</v>
      </c>
      <c r="I464">
        <v>1978.59</v>
      </c>
      <c r="J464" t="s">
        <v>15</v>
      </c>
      <c r="K464" t="str">
        <f t="shared" si="7"/>
        <v>13-24 Months</v>
      </c>
      <c r="L464">
        <f>IF(Table13[[#This Row],[Churn]]="Yes",1,0)</f>
        <v>0</v>
      </c>
    </row>
    <row r="465" spans="1:12" x14ac:dyDescent="0.35">
      <c r="A465" t="s">
        <v>487</v>
      </c>
      <c r="B465" t="s">
        <v>11</v>
      </c>
      <c r="C465">
        <v>48</v>
      </c>
      <c r="D465">
        <v>23</v>
      </c>
      <c r="E465" t="s">
        <v>12</v>
      </c>
      <c r="F465" t="s">
        <v>13</v>
      </c>
      <c r="G465" t="s">
        <v>14</v>
      </c>
      <c r="H465">
        <v>116.16</v>
      </c>
      <c r="I465">
        <v>2441.34</v>
      </c>
      <c r="J465" t="s">
        <v>27</v>
      </c>
      <c r="K465" t="str">
        <f t="shared" si="7"/>
        <v>13-24 Months</v>
      </c>
      <c r="L465">
        <f>IF(Table13[[#This Row],[Churn]]="Yes",1,0)</f>
        <v>1</v>
      </c>
    </row>
    <row r="466" spans="1:12" x14ac:dyDescent="0.35">
      <c r="A466" t="s">
        <v>488</v>
      </c>
      <c r="B466" t="s">
        <v>17</v>
      </c>
      <c r="C466">
        <v>68</v>
      </c>
      <c r="D466">
        <v>47</v>
      </c>
      <c r="E466" t="s">
        <v>18</v>
      </c>
      <c r="F466" t="s">
        <v>33</v>
      </c>
      <c r="G466" t="s">
        <v>23</v>
      </c>
      <c r="H466">
        <v>99.6</v>
      </c>
      <c r="I466">
        <v>4665.8</v>
      </c>
      <c r="J466" t="s">
        <v>15</v>
      </c>
      <c r="K466" t="str">
        <f t="shared" si="7"/>
        <v>25-48 Months</v>
      </c>
      <c r="L466">
        <f>IF(Table13[[#This Row],[Churn]]="Yes",1,0)</f>
        <v>0</v>
      </c>
    </row>
    <row r="467" spans="1:12" x14ac:dyDescent="0.35">
      <c r="A467" t="s">
        <v>489</v>
      </c>
      <c r="B467" t="s">
        <v>11</v>
      </c>
      <c r="C467">
        <v>68</v>
      </c>
      <c r="D467">
        <v>15</v>
      </c>
      <c r="E467" t="s">
        <v>21</v>
      </c>
      <c r="F467" t="s">
        <v>13</v>
      </c>
      <c r="G467" t="s">
        <v>23</v>
      </c>
      <c r="H467">
        <v>22.17</v>
      </c>
      <c r="I467">
        <v>313.93</v>
      </c>
      <c r="J467" t="s">
        <v>15</v>
      </c>
      <c r="K467" t="str">
        <f t="shared" si="7"/>
        <v>13-24 Months</v>
      </c>
      <c r="L467">
        <f>IF(Table13[[#This Row],[Churn]]="Yes",1,0)</f>
        <v>0</v>
      </c>
    </row>
    <row r="468" spans="1:12" x14ac:dyDescent="0.35">
      <c r="A468" t="s">
        <v>490</v>
      </c>
      <c r="B468" t="s">
        <v>17</v>
      </c>
      <c r="C468">
        <v>53</v>
      </c>
      <c r="D468">
        <v>25</v>
      </c>
      <c r="E468" t="s">
        <v>12</v>
      </c>
      <c r="F468" t="s">
        <v>33</v>
      </c>
      <c r="G468" t="s">
        <v>23</v>
      </c>
      <c r="H468">
        <v>45.32</v>
      </c>
      <c r="I468">
        <v>1077.25</v>
      </c>
      <c r="J468" t="s">
        <v>15</v>
      </c>
      <c r="K468" t="str">
        <f t="shared" si="7"/>
        <v>25-48 Months</v>
      </c>
      <c r="L468">
        <f>IF(Table13[[#This Row],[Churn]]="Yes",1,0)</f>
        <v>0</v>
      </c>
    </row>
    <row r="469" spans="1:12" x14ac:dyDescent="0.35">
      <c r="A469" t="s">
        <v>491</v>
      </c>
      <c r="B469" t="s">
        <v>11</v>
      </c>
      <c r="C469">
        <v>53</v>
      </c>
      <c r="D469">
        <v>36</v>
      </c>
      <c r="E469" t="s">
        <v>12</v>
      </c>
      <c r="F469" t="s">
        <v>13</v>
      </c>
      <c r="G469" t="s">
        <v>23</v>
      </c>
      <c r="H469">
        <v>125.36</v>
      </c>
      <c r="I469">
        <v>4853.8599999999997</v>
      </c>
      <c r="J469" t="s">
        <v>27</v>
      </c>
      <c r="K469" t="str">
        <f t="shared" si="7"/>
        <v>25-48 Months</v>
      </c>
      <c r="L469">
        <f>IF(Table13[[#This Row],[Churn]]="Yes",1,0)</f>
        <v>1</v>
      </c>
    </row>
    <row r="470" spans="1:12" x14ac:dyDescent="0.35">
      <c r="A470" t="s">
        <v>492</v>
      </c>
      <c r="B470" t="s">
        <v>11</v>
      </c>
      <c r="C470">
        <v>43</v>
      </c>
      <c r="D470">
        <v>51</v>
      </c>
      <c r="E470" t="s">
        <v>21</v>
      </c>
      <c r="F470" t="s">
        <v>33</v>
      </c>
      <c r="G470" t="s">
        <v>14</v>
      </c>
      <c r="H470">
        <v>55.44</v>
      </c>
      <c r="I470">
        <v>2595.34</v>
      </c>
      <c r="J470" t="s">
        <v>15</v>
      </c>
      <c r="K470" t="str">
        <f t="shared" si="7"/>
        <v>49+ Months</v>
      </c>
      <c r="L470">
        <f>IF(Table13[[#This Row],[Churn]]="Yes",1,0)</f>
        <v>0</v>
      </c>
    </row>
    <row r="471" spans="1:12" x14ac:dyDescent="0.35">
      <c r="A471" t="s">
        <v>493</v>
      </c>
      <c r="B471" t="s">
        <v>17</v>
      </c>
      <c r="C471">
        <v>60</v>
      </c>
      <c r="D471">
        <v>15</v>
      </c>
      <c r="E471" t="s">
        <v>12</v>
      </c>
      <c r="F471" t="s">
        <v>33</v>
      </c>
      <c r="G471" t="s">
        <v>23</v>
      </c>
      <c r="H471">
        <v>115.1</v>
      </c>
      <c r="I471">
        <v>1800.87</v>
      </c>
      <c r="J471" t="s">
        <v>27</v>
      </c>
      <c r="K471" t="str">
        <f t="shared" si="7"/>
        <v>13-24 Months</v>
      </c>
      <c r="L471">
        <f>IF(Table13[[#This Row],[Churn]]="Yes",1,0)</f>
        <v>1</v>
      </c>
    </row>
    <row r="472" spans="1:12" x14ac:dyDescent="0.35">
      <c r="A472" t="s">
        <v>494</v>
      </c>
      <c r="B472" t="s">
        <v>11</v>
      </c>
      <c r="C472">
        <v>44</v>
      </c>
      <c r="D472">
        <v>68</v>
      </c>
      <c r="E472" t="s">
        <v>18</v>
      </c>
      <c r="F472" t="s">
        <v>13</v>
      </c>
      <c r="G472" t="s">
        <v>14</v>
      </c>
      <c r="H472">
        <v>68.38</v>
      </c>
      <c r="I472">
        <v>4437.01</v>
      </c>
      <c r="J472" t="s">
        <v>27</v>
      </c>
      <c r="K472" t="str">
        <f t="shared" si="7"/>
        <v>49+ Months</v>
      </c>
      <c r="L472">
        <f>IF(Table13[[#This Row],[Churn]]="Yes",1,0)</f>
        <v>1</v>
      </c>
    </row>
    <row r="473" spans="1:12" x14ac:dyDescent="0.35">
      <c r="A473" t="s">
        <v>495</v>
      </c>
      <c r="B473" t="s">
        <v>17</v>
      </c>
      <c r="C473">
        <v>22</v>
      </c>
      <c r="D473">
        <v>21</v>
      </c>
      <c r="E473" t="s">
        <v>12</v>
      </c>
      <c r="F473" t="s">
        <v>33</v>
      </c>
      <c r="G473" t="s">
        <v>19</v>
      </c>
      <c r="H473">
        <v>87.84</v>
      </c>
      <c r="I473">
        <v>1940.68</v>
      </c>
      <c r="J473" t="s">
        <v>27</v>
      </c>
      <c r="K473" t="str">
        <f t="shared" si="7"/>
        <v>13-24 Months</v>
      </c>
      <c r="L473">
        <f>IF(Table13[[#This Row],[Churn]]="Yes",1,0)</f>
        <v>1</v>
      </c>
    </row>
    <row r="474" spans="1:12" x14ac:dyDescent="0.35">
      <c r="A474" t="s">
        <v>496</v>
      </c>
      <c r="B474" t="s">
        <v>11</v>
      </c>
      <c r="C474">
        <v>37</v>
      </c>
      <c r="D474">
        <v>13</v>
      </c>
      <c r="E474" t="s">
        <v>12</v>
      </c>
      <c r="F474" t="s">
        <v>29</v>
      </c>
      <c r="G474" t="s">
        <v>14</v>
      </c>
      <c r="H474">
        <v>28.84</v>
      </c>
      <c r="I474">
        <v>391.6</v>
      </c>
      <c r="J474" t="s">
        <v>15</v>
      </c>
      <c r="K474" t="str">
        <f t="shared" si="7"/>
        <v>13-24 Months</v>
      </c>
      <c r="L474">
        <f>IF(Table13[[#This Row],[Churn]]="Yes",1,0)</f>
        <v>0</v>
      </c>
    </row>
    <row r="475" spans="1:12" x14ac:dyDescent="0.35">
      <c r="A475" t="s">
        <v>497</v>
      </c>
      <c r="B475" t="s">
        <v>17</v>
      </c>
      <c r="C475">
        <v>28</v>
      </c>
      <c r="D475">
        <v>19</v>
      </c>
      <c r="E475" t="s">
        <v>21</v>
      </c>
      <c r="F475" t="s">
        <v>33</v>
      </c>
      <c r="G475" t="s">
        <v>19</v>
      </c>
      <c r="H475">
        <v>43.56</v>
      </c>
      <c r="I475">
        <v>746.1</v>
      </c>
      <c r="J475" t="s">
        <v>15</v>
      </c>
      <c r="K475" t="str">
        <f t="shared" si="7"/>
        <v>13-24 Months</v>
      </c>
      <c r="L475">
        <f>IF(Table13[[#This Row],[Churn]]="Yes",1,0)</f>
        <v>0</v>
      </c>
    </row>
    <row r="476" spans="1:12" x14ac:dyDescent="0.35">
      <c r="A476" t="s">
        <v>498</v>
      </c>
      <c r="B476" t="s">
        <v>11</v>
      </c>
      <c r="C476">
        <v>27</v>
      </c>
      <c r="D476">
        <v>34</v>
      </c>
      <c r="E476" t="s">
        <v>18</v>
      </c>
      <c r="F476" t="s">
        <v>22</v>
      </c>
      <c r="G476" t="s">
        <v>19</v>
      </c>
      <c r="H476">
        <v>144.44</v>
      </c>
      <c r="I476">
        <v>4919.93</v>
      </c>
      <c r="J476" t="s">
        <v>27</v>
      </c>
      <c r="K476" t="str">
        <f t="shared" si="7"/>
        <v>25-48 Months</v>
      </c>
      <c r="L476">
        <f>IF(Table13[[#This Row],[Churn]]="Yes",1,0)</f>
        <v>1</v>
      </c>
    </row>
    <row r="477" spans="1:12" x14ac:dyDescent="0.35">
      <c r="A477" t="s">
        <v>499</v>
      </c>
      <c r="B477" t="s">
        <v>17</v>
      </c>
      <c r="C477">
        <v>57</v>
      </c>
      <c r="D477">
        <v>68</v>
      </c>
      <c r="E477" t="s">
        <v>12</v>
      </c>
      <c r="F477" t="s">
        <v>29</v>
      </c>
      <c r="G477" t="s">
        <v>23</v>
      </c>
      <c r="H477">
        <v>135.72</v>
      </c>
      <c r="I477">
        <v>8563.2199999999993</v>
      </c>
      <c r="J477" t="s">
        <v>15</v>
      </c>
      <c r="K477" t="str">
        <f t="shared" si="7"/>
        <v>49+ Months</v>
      </c>
      <c r="L477">
        <f>IF(Table13[[#This Row],[Churn]]="Yes",1,0)</f>
        <v>0</v>
      </c>
    </row>
    <row r="478" spans="1:12" x14ac:dyDescent="0.35">
      <c r="A478" t="s">
        <v>500</v>
      </c>
      <c r="B478" t="s">
        <v>11</v>
      </c>
      <c r="C478">
        <v>55</v>
      </c>
      <c r="D478">
        <v>52</v>
      </c>
      <c r="E478" t="s">
        <v>18</v>
      </c>
      <c r="F478" t="s">
        <v>22</v>
      </c>
      <c r="G478" t="s">
        <v>23</v>
      </c>
      <c r="H478">
        <v>104.8</v>
      </c>
      <c r="I478">
        <v>5848.76</v>
      </c>
      <c r="J478" t="s">
        <v>15</v>
      </c>
      <c r="K478" t="str">
        <f t="shared" si="7"/>
        <v>49+ Months</v>
      </c>
      <c r="L478">
        <f>IF(Table13[[#This Row],[Churn]]="Yes",1,0)</f>
        <v>0</v>
      </c>
    </row>
    <row r="479" spans="1:12" x14ac:dyDescent="0.35">
      <c r="A479" t="s">
        <v>501</v>
      </c>
      <c r="B479" t="s">
        <v>17</v>
      </c>
      <c r="C479">
        <v>23</v>
      </c>
      <c r="D479">
        <v>27</v>
      </c>
      <c r="E479" t="s">
        <v>12</v>
      </c>
      <c r="F479" t="s">
        <v>33</v>
      </c>
      <c r="G479" t="s">
        <v>19</v>
      </c>
      <c r="H479">
        <v>79.75</v>
      </c>
      <c r="I479">
        <v>2313.27</v>
      </c>
      <c r="J479" t="s">
        <v>15</v>
      </c>
      <c r="K479" t="str">
        <f t="shared" si="7"/>
        <v>25-48 Months</v>
      </c>
      <c r="L479">
        <f>IF(Table13[[#This Row],[Churn]]="Yes",1,0)</f>
        <v>0</v>
      </c>
    </row>
    <row r="480" spans="1:12" x14ac:dyDescent="0.35">
      <c r="A480" t="s">
        <v>502</v>
      </c>
      <c r="B480" t="s">
        <v>11</v>
      </c>
      <c r="C480">
        <v>25</v>
      </c>
      <c r="D480">
        <v>29</v>
      </c>
      <c r="E480" t="s">
        <v>21</v>
      </c>
      <c r="F480" t="s">
        <v>29</v>
      </c>
      <c r="G480" t="s">
        <v>19</v>
      </c>
      <c r="H480">
        <v>107.85</v>
      </c>
      <c r="I480">
        <v>3076.57</v>
      </c>
      <c r="J480" t="s">
        <v>15</v>
      </c>
      <c r="K480" t="str">
        <f t="shared" si="7"/>
        <v>25-48 Months</v>
      </c>
      <c r="L480">
        <f>IF(Table13[[#This Row],[Churn]]="Yes",1,0)</f>
        <v>0</v>
      </c>
    </row>
    <row r="481" spans="1:12" x14ac:dyDescent="0.35">
      <c r="A481" t="s">
        <v>503</v>
      </c>
      <c r="B481" t="s">
        <v>17</v>
      </c>
      <c r="C481">
        <v>40</v>
      </c>
      <c r="D481">
        <v>28</v>
      </c>
      <c r="E481" t="s">
        <v>21</v>
      </c>
      <c r="F481" t="s">
        <v>13</v>
      </c>
      <c r="G481" t="s">
        <v>14</v>
      </c>
      <c r="H481">
        <v>100.42</v>
      </c>
      <c r="I481">
        <v>2780.49</v>
      </c>
      <c r="J481" t="s">
        <v>15</v>
      </c>
      <c r="K481" t="str">
        <f t="shared" si="7"/>
        <v>25-48 Months</v>
      </c>
      <c r="L481">
        <f>IF(Table13[[#This Row],[Churn]]="Yes",1,0)</f>
        <v>0</v>
      </c>
    </row>
    <row r="482" spans="1:12" x14ac:dyDescent="0.35">
      <c r="A482" t="s">
        <v>504</v>
      </c>
      <c r="B482" t="s">
        <v>17</v>
      </c>
      <c r="C482">
        <v>64</v>
      </c>
      <c r="D482">
        <v>35</v>
      </c>
      <c r="E482" t="s">
        <v>12</v>
      </c>
      <c r="F482" t="s">
        <v>22</v>
      </c>
      <c r="G482" t="s">
        <v>23</v>
      </c>
      <c r="H482">
        <v>93.91</v>
      </c>
      <c r="I482">
        <v>3157.53</v>
      </c>
      <c r="J482" t="s">
        <v>15</v>
      </c>
      <c r="K482" t="str">
        <f t="shared" si="7"/>
        <v>25-48 Months</v>
      </c>
      <c r="L482">
        <f>IF(Table13[[#This Row],[Churn]]="Yes",1,0)</f>
        <v>0</v>
      </c>
    </row>
    <row r="483" spans="1:12" x14ac:dyDescent="0.35">
      <c r="A483" t="s">
        <v>505</v>
      </c>
      <c r="B483" t="s">
        <v>17</v>
      </c>
      <c r="C483">
        <v>43</v>
      </c>
      <c r="D483">
        <v>8</v>
      </c>
      <c r="E483" t="s">
        <v>12</v>
      </c>
      <c r="F483" t="s">
        <v>33</v>
      </c>
      <c r="G483" t="s">
        <v>14</v>
      </c>
      <c r="H483">
        <v>27.69</v>
      </c>
      <c r="I483">
        <v>231.12</v>
      </c>
      <c r="J483" t="s">
        <v>15</v>
      </c>
      <c r="K483" t="str">
        <f t="shared" si="7"/>
        <v>0-12 Months</v>
      </c>
      <c r="L483">
        <f>IF(Table13[[#This Row],[Churn]]="Yes",1,0)</f>
        <v>0</v>
      </c>
    </row>
    <row r="484" spans="1:12" x14ac:dyDescent="0.35">
      <c r="A484" t="s">
        <v>506</v>
      </c>
      <c r="B484" t="s">
        <v>11</v>
      </c>
      <c r="C484">
        <v>63</v>
      </c>
      <c r="D484">
        <v>16</v>
      </c>
      <c r="E484" t="s">
        <v>21</v>
      </c>
      <c r="F484" t="s">
        <v>13</v>
      </c>
      <c r="G484" t="s">
        <v>23</v>
      </c>
      <c r="H484">
        <v>102.26</v>
      </c>
      <c r="I484">
        <v>1589.91</v>
      </c>
      <c r="J484" t="s">
        <v>15</v>
      </c>
      <c r="K484" t="str">
        <f t="shared" si="7"/>
        <v>13-24 Months</v>
      </c>
      <c r="L484">
        <f>IF(Table13[[#This Row],[Churn]]="Yes",1,0)</f>
        <v>0</v>
      </c>
    </row>
    <row r="485" spans="1:12" x14ac:dyDescent="0.35">
      <c r="A485" t="s">
        <v>507</v>
      </c>
      <c r="B485" t="s">
        <v>17</v>
      </c>
      <c r="C485">
        <v>60</v>
      </c>
      <c r="D485">
        <v>36</v>
      </c>
      <c r="E485" t="s">
        <v>12</v>
      </c>
      <c r="F485" t="s">
        <v>29</v>
      </c>
      <c r="G485" t="s">
        <v>23</v>
      </c>
      <c r="H485">
        <v>119.96</v>
      </c>
      <c r="I485">
        <v>4118</v>
      </c>
      <c r="J485" t="s">
        <v>15</v>
      </c>
      <c r="K485" t="str">
        <f t="shared" si="7"/>
        <v>25-48 Months</v>
      </c>
      <c r="L485">
        <f>IF(Table13[[#This Row],[Churn]]="Yes",1,0)</f>
        <v>0</v>
      </c>
    </row>
    <row r="486" spans="1:12" x14ac:dyDescent="0.35">
      <c r="A486" t="s">
        <v>508</v>
      </c>
      <c r="B486" t="s">
        <v>11</v>
      </c>
      <c r="C486">
        <v>29</v>
      </c>
      <c r="D486">
        <v>30</v>
      </c>
      <c r="E486" t="s">
        <v>21</v>
      </c>
      <c r="F486" t="s">
        <v>29</v>
      </c>
      <c r="G486" t="s">
        <v>19</v>
      </c>
      <c r="H486">
        <v>149.22999999999999</v>
      </c>
      <c r="I486">
        <v>4416.22</v>
      </c>
      <c r="J486" t="s">
        <v>15</v>
      </c>
      <c r="K486" t="str">
        <f t="shared" si="7"/>
        <v>25-48 Months</v>
      </c>
      <c r="L486">
        <f>IF(Table13[[#This Row],[Churn]]="Yes",1,0)</f>
        <v>0</v>
      </c>
    </row>
    <row r="487" spans="1:12" x14ac:dyDescent="0.35">
      <c r="A487" t="s">
        <v>509</v>
      </c>
      <c r="B487" t="s">
        <v>17</v>
      </c>
      <c r="C487">
        <v>43</v>
      </c>
      <c r="D487">
        <v>18</v>
      </c>
      <c r="E487" t="s">
        <v>12</v>
      </c>
      <c r="F487" t="s">
        <v>13</v>
      </c>
      <c r="G487" t="s">
        <v>14</v>
      </c>
      <c r="H487">
        <v>21.44</v>
      </c>
      <c r="I487">
        <v>354.39</v>
      </c>
      <c r="J487" t="s">
        <v>15</v>
      </c>
      <c r="K487" t="str">
        <f t="shared" si="7"/>
        <v>13-24 Months</v>
      </c>
      <c r="L487">
        <f>IF(Table13[[#This Row],[Churn]]="Yes",1,0)</f>
        <v>0</v>
      </c>
    </row>
    <row r="488" spans="1:12" x14ac:dyDescent="0.35">
      <c r="A488" t="s">
        <v>510</v>
      </c>
      <c r="B488" t="s">
        <v>11</v>
      </c>
      <c r="C488">
        <v>30</v>
      </c>
      <c r="D488">
        <v>2</v>
      </c>
      <c r="E488" t="s">
        <v>18</v>
      </c>
      <c r="F488" t="s">
        <v>13</v>
      </c>
      <c r="G488" t="s">
        <v>14</v>
      </c>
      <c r="H488">
        <v>114.92</v>
      </c>
      <c r="I488">
        <v>241.18</v>
      </c>
      <c r="J488" t="s">
        <v>27</v>
      </c>
      <c r="K488" t="str">
        <f t="shared" si="7"/>
        <v>0-12 Months</v>
      </c>
      <c r="L488">
        <f>IF(Table13[[#This Row],[Churn]]="Yes",1,0)</f>
        <v>1</v>
      </c>
    </row>
    <row r="489" spans="1:12" x14ac:dyDescent="0.35">
      <c r="A489" t="s">
        <v>511</v>
      </c>
      <c r="B489" t="s">
        <v>17</v>
      </c>
      <c r="C489">
        <v>57</v>
      </c>
      <c r="D489">
        <v>49</v>
      </c>
      <c r="E489" t="s">
        <v>21</v>
      </c>
      <c r="F489" t="s">
        <v>33</v>
      </c>
      <c r="G489" t="s">
        <v>23</v>
      </c>
      <c r="H489">
        <v>94.33</v>
      </c>
      <c r="I489">
        <v>4171.6000000000004</v>
      </c>
      <c r="J489" t="s">
        <v>15</v>
      </c>
      <c r="K489" t="str">
        <f t="shared" si="7"/>
        <v>49+ Months</v>
      </c>
      <c r="L489">
        <f>IF(Table13[[#This Row],[Churn]]="Yes",1,0)</f>
        <v>0</v>
      </c>
    </row>
    <row r="490" spans="1:12" x14ac:dyDescent="0.35">
      <c r="A490" t="s">
        <v>512</v>
      </c>
      <c r="B490" t="s">
        <v>11</v>
      </c>
      <c r="C490">
        <v>35</v>
      </c>
      <c r="D490">
        <v>4</v>
      </c>
      <c r="E490" t="s">
        <v>18</v>
      </c>
      <c r="F490" t="s">
        <v>29</v>
      </c>
      <c r="G490" t="s">
        <v>14</v>
      </c>
      <c r="H490">
        <v>76.430000000000007</v>
      </c>
      <c r="I490">
        <v>314.55</v>
      </c>
      <c r="J490" t="s">
        <v>15</v>
      </c>
      <c r="K490" t="str">
        <f t="shared" si="7"/>
        <v>0-12 Months</v>
      </c>
      <c r="L490">
        <f>IF(Table13[[#This Row],[Churn]]="Yes",1,0)</f>
        <v>0</v>
      </c>
    </row>
    <row r="491" spans="1:12" x14ac:dyDescent="0.35">
      <c r="A491" t="s">
        <v>513</v>
      </c>
      <c r="B491" t="s">
        <v>11</v>
      </c>
      <c r="C491">
        <v>42</v>
      </c>
      <c r="D491">
        <v>7</v>
      </c>
      <c r="E491" t="s">
        <v>12</v>
      </c>
      <c r="F491" t="s">
        <v>22</v>
      </c>
      <c r="G491" t="s">
        <v>14</v>
      </c>
      <c r="H491">
        <v>36.58</v>
      </c>
      <c r="I491">
        <v>239.82</v>
      </c>
      <c r="J491" t="s">
        <v>27</v>
      </c>
      <c r="K491" t="str">
        <f t="shared" si="7"/>
        <v>0-12 Months</v>
      </c>
      <c r="L491">
        <f>IF(Table13[[#This Row],[Churn]]="Yes",1,0)</f>
        <v>1</v>
      </c>
    </row>
    <row r="492" spans="1:12" x14ac:dyDescent="0.35">
      <c r="A492" t="s">
        <v>514</v>
      </c>
      <c r="B492" t="s">
        <v>17</v>
      </c>
      <c r="C492">
        <v>50</v>
      </c>
      <c r="D492">
        <v>39</v>
      </c>
      <c r="E492" t="s">
        <v>21</v>
      </c>
      <c r="F492" t="s">
        <v>29</v>
      </c>
      <c r="G492" t="s">
        <v>23</v>
      </c>
      <c r="H492">
        <v>73.180000000000007</v>
      </c>
      <c r="I492">
        <v>2701.28</v>
      </c>
      <c r="J492" t="s">
        <v>15</v>
      </c>
      <c r="K492" t="str">
        <f t="shared" si="7"/>
        <v>25-48 Months</v>
      </c>
      <c r="L492">
        <f>IF(Table13[[#This Row],[Churn]]="Yes",1,0)</f>
        <v>0</v>
      </c>
    </row>
    <row r="493" spans="1:12" x14ac:dyDescent="0.35">
      <c r="A493" t="s">
        <v>515</v>
      </c>
      <c r="B493" t="s">
        <v>11</v>
      </c>
      <c r="C493">
        <v>64</v>
      </c>
      <c r="D493">
        <v>13</v>
      </c>
      <c r="E493" t="s">
        <v>21</v>
      </c>
      <c r="F493" t="s">
        <v>29</v>
      </c>
      <c r="G493" t="s">
        <v>23</v>
      </c>
      <c r="H493">
        <v>66.069999999999993</v>
      </c>
      <c r="I493">
        <v>882.21</v>
      </c>
      <c r="J493" t="s">
        <v>15</v>
      </c>
      <c r="K493" t="str">
        <f t="shared" si="7"/>
        <v>13-24 Months</v>
      </c>
      <c r="L493">
        <f>IF(Table13[[#This Row],[Churn]]="Yes",1,0)</f>
        <v>0</v>
      </c>
    </row>
    <row r="494" spans="1:12" x14ac:dyDescent="0.35">
      <c r="A494" t="s">
        <v>516</v>
      </c>
      <c r="B494" t="s">
        <v>11</v>
      </c>
      <c r="C494">
        <v>57</v>
      </c>
      <c r="D494">
        <v>31</v>
      </c>
      <c r="E494" t="s">
        <v>12</v>
      </c>
      <c r="F494" t="s">
        <v>13</v>
      </c>
      <c r="G494" t="s">
        <v>23</v>
      </c>
      <c r="H494">
        <v>59.37</v>
      </c>
      <c r="I494">
        <v>2021.92</v>
      </c>
      <c r="J494" t="s">
        <v>15</v>
      </c>
      <c r="K494" t="str">
        <f t="shared" si="7"/>
        <v>25-48 Months</v>
      </c>
      <c r="L494">
        <f>IF(Table13[[#This Row],[Churn]]="Yes",1,0)</f>
        <v>0</v>
      </c>
    </row>
    <row r="495" spans="1:12" x14ac:dyDescent="0.35">
      <c r="A495" t="s">
        <v>517</v>
      </c>
      <c r="B495" t="s">
        <v>17</v>
      </c>
      <c r="C495">
        <v>60</v>
      </c>
      <c r="D495">
        <v>71</v>
      </c>
      <c r="E495" t="s">
        <v>12</v>
      </c>
      <c r="F495" t="s">
        <v>13</v>
      </c>
      <c r="G495" t="s">
        <v>23</v>
      </c>
      <c r="H495">
        <v>115.01</v>
      </c>
      <c r="I495">
        <v>8619.26</v>
      </c>
      <c r="J495" t="s">
        <v>15</v>
      </c>
      <c r="K495" t="str">
        <f t="shared" si="7"/>
        <v>49+ Months</v>
      </c>
      <c r="L495">
        <f>IF(Table13[[#This Row],[Churn]]="Yes",1,0)</f>
        <v>0</v>
      </c>
    </row>
    <row r="496" spans="1:12" x14ac:dyDescent="0.35">
      <c r="A496" t="s">
        <v>518</v>
      </c>
      <c r="B496" t="s">
        <v>11</v>
      </c>
      <c r="C496">
        <v>29</v>
      </c>
      <c r="D496">
        <v>63</v>
      </c>
      <c r="E496" t="s">
        <v>12</v>
      </c>
      <c r="F496" t="s">
        <v>22</v>
      </c>
      <c r="G496" t="s">
        <v>19</v>
      </c>
      <c r="H496">
        <v>111.09</v>
      </c>
      <c r="I496">
        <v>6614.92</v>
      </c>
      <c r="J496" t="s">
        <v>15</v>
      </c>
      <c r="K496" t="str">
        <f t="shared" si="7"/>
        <v>49+ Months</v>
      </c>
      <c r="L496">
        <f>IF(Table13[[#This Row],[Churn]]="Yes",1,0)</f>
        <v>0</v>
      </c>
    </row>
    <row r="497" spans="1:12" x14ac:dyDescent="0.35">
      <c r="A497" t="s">
        <v>519</v>
      </c>
      <c r="B497" t="s">
        <v>11</v>
      </c>
      <c r="C497">
        <v>61</v>
      </c>
      <c r="D497">
        <v>56</v>
      </c>
      <c r="E497" t="s">
        <v>21</v>
      </c>
      <c r="F497" t="s">
        <v>33</v>
      </c>
      <c r="G497" t="s">
        <v>23</v>
      </c>
      <c r="H497">
        <v>96.57</v>
      </c>
      <c r="I497">
        <v>5057.51</v>
      </c>
      <c r="J497" t="s">
        <v>15</v>
      </c>
      <c r="K497" t="str">
        <f t="shared" si="7"/>
        <v>49+ Months</v>
      </c>
      <c r="L497">
        <f>IF(Table13[[#This Row],[Churn]]="Yes",1,0)</f>
        <v>0</v>
      </c>
    </row>
    <row r="498" spans="1:12" x14ac:dyDescent="0.35">
      <c r="A498" t="s">
        <v>520</v>
      </c>
      <c r="B498" t="s">
        <v>11</v>
      </c>
      <c r="C498">
        <v>53</v>
      </c>
      <c r="D498">
        <v>42</v>
      </c>
      <c r="E498" t="s">
        <v>12</v>
      </c>
      <c r="F498" t="s">
        <v>22</v>
      </c>
      <c r="G498" t="s">
        <v>23</v>
      </c>
      <c r="H498">
        <v>142.03</v>
      </c>
      <c r="I498">
        <v>6402.19</v>
      </c>
      <c r="J498" t="s">
        <v>15</v>
      </c>
      <c r="K498" t="str">
        <f t="shared" si="7"/>
        <v>25-48 Months</v>
      </c>
      <c r="L498">
        <f>IF(Table13[[#This Row],[Churn]]="Yes",1,0)</f>
        <v>0</v>
      </c>
    </row>
    <row r="499" spans="1:12" x14ac:dyDescent="0.35">
      <c r="A499" t="s">
        <v>521</v>
      </c>
      <c r="B499" t="s">
        <v>17</v>
      </c>
      <c r="C499">
        <v>65</v>
      </c>
      <c r="D499">
        <v>61</v>
      </c>
      <c r="E499" t="s">
        <v>12</v>
      </c>
      <c r="F499" t="s">
        <v>33</v>
      </c>
      <c r="G499" t="s">
        <v>23</v>
      </c>
      <c r="H499">
        <v>65.48</v>
      </c>
      <c r="I499">
        <v>3949.69</v>
      </c>
      <c r="J499" t="s">
        <v>15</v>
      </c>
      <c r="K499" t="str">
        <f t="shared" si="7"/>
        <v>49+ Months</v>
      </c>
      <c r="L499">
        <f>IF(Table13[[#This Row],[Churn]]="Yes",1,0)</f>
        <v>0</v>
      </c>
    </row>
    <row r="500" spans="1:12" x14ac:dyDescent="0.35">
      <c r="A500" t="s">
        <v>522</v>
      </c>
      <c r="B500" t="s">
        <v>11</v>
      </c>
      <c r="C500">
        <v>21</v>
      </c>
      <c r="D500">
        <v>42</v>
      </c>
      <c r="E500" t="s">
        <v>21</v>
      </c>
      <c r="F500" t="s">
        <v>33</v>
      </c>
      <c r="G500" t="s">
        <v>19</v>
      </c>
      <c r="H500">
        <v>51.69</v>
      </c>
      <c r="I500">
        <v>2013.39</v>
      </c>
      <c r="J500" t="s">
        <v>15</v>
      </c>
      <c r="K500" t="str">
        <f t="shared" si="7"/>
        <v>25-48 Months</v>
      </c>
      <c r="L500">
        <f>IF(Table13[[#This Row],[Churn]]="Yes",1,0)</f>
        <v>0</v>
      </c>
    </row>
    <row r="501" spans="1:12" x14ac:dyDescent="0.35">
      <c r="A501" t="s">
        <v>523</v>
      </c>
      <c r="B501" t="s">
        <v>17</v>
      </c>
      <c r="C501">
        <v>22</v>
      </c>
      <c r="D501">
        <v>56</v>
      </c>
      <c r="E501" t="s">
        <v>12</v>
      </c>
      <c r="F501" t="s">
        <v>13</v>
      </c>
      <c r="G501" t="s">
        <v>19</v>
      </c>
      <c r="H501">
        <v>105.27</v>
      </c>
      <c r="I501">
        <v>6322.18</v>
      </c>
      <c r="J501" t="s">
        <v>15</v>
      </c>
      <c r="K501" t="str">
        <f t="shared" si="7"/>
        <v>49+ Months</v>
      </c>
      <c r="L501">
        <f>IF(Table13[[#This Row],[Churn]]="Yes",1,0)</f>
        <v>0</v>
      </c>
    </row>
    <row r="502" spans="1:12" x14ac:dyDescent="0.35">
      <c r="A502" t="s">
        <v>524</v>
      </c>
      <c r="B502" t="s">
        <v>11</v>
      </c>
      <c r="C502">
        <v>54</v>
      </c>
      <c r="D502">
        <v>36</v>
      </c>
      <c r="E502" t="s">
        <v>12</v>
      </c>
      <c r="F502" t="s">
        <v>33</v>
      </c>
      <c r="G502" t="s">
        <v>23</v>
      </c>
      <c r="H502">
        <v>45.85</v>
      </c>
      <c r="I502">
        <v>1754.95</v>
      </c>
      <c r="J502" t="s">
        <v>15</v>
      </c>
      <c r="K502" t="str">
        <f t="shared" si="7"/>
        <v>25-48 Months</v>
      </c>
      <c r="L502">
        <f>IF(Table13[[#This Row],[Churn]]="Yes",1,0)</f>
        <v>0</v>
      </c>
    </row>
    <row r="503" spans="1:12" x14ac:dyDescent="0.35">
      <c r="A503" t="s">
        <v>525</v>
      </c>
      <c r="B503" t="s">
        <v>11</v>
      </c>
      <c r="C503">
        <v>25</v>
      </c>
      <c r="D503">
        <v>68</v>
      </c>
      <c r="E503" t="s">
        <v>18</v>
      </c>
      <c r="F503" t="s">
        <v>22</v>
      </c>
      <c r="G503" t="s">
        <v>19</v>
      </c>
      <c r="H503">
        <v>60.95</v>
      </c>
      <c r="I503">
        <v>4545.72</v>
      </c>
      <c r="J503" t="s">
        <v>15</v>
      </c>
      <c r="K503" t="str">
        <f t="shared" si="7"/>
        <v>49+ Months</v>
      </c>
      <c r="L503">
        <f>IF(Table13[[#This Row],[Churn]]="Yes",1,0)</f>
        <v>0</v>
      </c>
    </row>
    <row r="504" spans="1:12" x14ac:dyDescent="0.35">
      <c r="A504" t="s">
        <v>526</v>
      </c>
      <c r="B504" t="s">
        <v>11</v>
      </c>
      <c r="C504">
        <v>59</v>
      </c>
      <c r="D504">
        <v>7</v>
      </c>
      <c r="E504" t="s">
        <v>18</v>
      </c>
      <c r="F504" t="s">
        <v>29</v>
      </c>
      <c r="G504" t="s">
        <v>23</v>
      </c>
      <c r="H504">
        <v>49.2</v>
      </c>
      <c r="I504">
        <v>372.62</v>
      </c>
      <c r="J504" t="s">
        <v>15</v>
      </c>
      <c r="K504" t="str">
        <f t="shared" si="7"/>
        <v>0-12 Months</v>
      </c>
      <c r="L504">
        <f>IF(Table13[[#This Row],[Churn]]="Yes",1,0)</f>
        <v>0</v>
      </c>
    </row>
    <row r="505" spans="1:12" x14ac:dyDescent="0.35">
      <c r="A505" t="s">
        <v>527</v>
      </c>
      <c r="B505" t="s">
        <v>17</v>
      </c>
      <c r="C505">
        <v>66</v>
      </c>
      <c r="D505">
        <v>54</v>
      </c>
      <c r="E505" t="s">
        <v>12</v>
      </c>
      <c r="F505" t="s">
        <v>22</v>
      </c>
      <c r="G505" t="s">
        <v>23</v>
      </c>
      <c r="H505">
        <v>28.99</v>
      </c>
      <c r="I505">
        <v>1675.6</v>
      </c>
      <c r="J505" t="s">
        <v>27</v>
      </c>
      <c r="K505" t="str">
        <f t="shared" si="7"/>
        <v>49+ Months</v>
      </c>
      <c r="L505">
        <f>IF(Table13[[#This Row],[Churn]]="Yes",1,0)</f>
        <v>1</v>
      </c>
    </row>
    <row r="506" spans="1:12" x14ac:dyDescent="0.35">
      <c r="A506" t="s">
        <v>528</v>
      </c>
      <c r="B506" t="s">
        <v>11</v>
      </c>
      <c r="C506">
        <v>45</v>
      </c>
      <c r="D506">
        <v>1</v>
      </c>
      <c r="E506" t="s">
        <v>12</v>
      </c>
      <c r="F506" t="s">
        <v>29</v>
      </c>
      <c r="G506" t="s">
        <v>14</v>
      </c>
      <c r="H506">
        <v>127.57</v>
      </c>
      <c r="I506">
        <v>116.15</v>
      </c>
      <c r="J506" t="s">
        <v>27</v>
      </c>
      <c r="K506" t="str">
        <f t="shared" si="7"/>
        <v>0-12 Months</v>
      </c>
      <c r="L506">
        <f>IF(Table13[[#This Row],[Churn]]="Yes",1,0)</f>
        <v>1</v>
      </c>
    </row>
    <row r="507" spans="1:12" x14ac:dyDescent="0.35">
      <c r="A507" t="s">
        <v>529</v>
      </c>
      <c r="B507" t="s">
        <v>11</v>
      </c>
      <c r="C507">
        <v>48</v>
      </c>
      <c r="D507">
        <v>44</v>
      </c>
      <c r="E507" t="s">
        <v>21</v>
      </c>
      <c r="F507" t="s">
        <v>13</v>
      </c>
      <c r="G507" t="s">
        <v>14</v>
      </c>
      <c r="H507">
        <v>53.09</v>
      </c>
      <c r="I507">
        <v>2151.15</v>
      </c>
      <c r="J507" t="s">
        <v>15</v>
      </c>
      <c r="K507" t="str">
        <f t="shared" si="7"/>
        <v>25-48 Months</v>
      </c>
      <c r="L507">
        <f>IF(Table13[[#This Row],[Churn]]="Yes",1,0)</f>
        <v>0</v>
      </c>
    </row>
    <row r="508" spans="1:12" x14ac:dyDescent="0.35">
      <c r="A508" t="s">
        <v>530</v>
      </c>
      <c r="B508" t="s">
        <v>17</v>
      </c>
      <c r="C508">
        <v>26</v>
      </c>
      <c r="D508">
        <v>45</v>
      </c>
      <c r="E508" t="s">
        <v>12</v>
      </c>
      <c r="F508" t="s">
        <v>22</v>
      </c>
      <c r="G508" t="s">
        <v>19</v>
      </c>
      <c r="H508">
        <v>81.489999999999995</v>
      </c>
      <c r="I508">
        <v>3717.64</v>
      </c>
      <c r="J508" t="s">
        <v>15</v>
      </c>
      <c r="K508" t="str">
        <f t="shared" si="7"/>
        <v>25-48 Months</v>
      </c>
      <c r="L508">
        <f>IF(Table13[[#This Row],[Churn]]="Yes",1,0)</f>
        <v>0</v>
      </c>
    </row>
    <row r="509" spans="1:12" x14ac:dyDescent="0.35">
      <c r="A509" t="s">
        <v>531</v>
      </c>
      <c r="B509" t="s">
        <v>11</v>
      </c>
      <c r="C509">
        <v>68</v>
      </c>
      <c r="D509">
        <v>47</v>
      </c>
      <c r="E509" t="s">
        <v>12</v>
      </c>
      <c r="F509" t="s">
        <v>29</v>
      </c>
      <c r="G509" t="s">
        <v>23</v>
      </c>
      <c r="H509">
        <v>25.63</v>
      </c>
      <c r="I509">
        <v>1212.19</v>
      </c>
      <c r="J509" t="s">
        <v>27</v>
      </c>
      <c r="K509" t="str">
        <f t="shared" si="7"/>
        <v>25-48 Months</v>
      </c>
      <c r="L509">
        <f>IF(Table13[[#This Row],[Churn]]="Yes",1,0)</f>
        <v>1</v>
      </c>
    </row>
    <row r="510" spans="1:12" x14ac:dyDescent="0.35">
      <c r="A510" t="s">
        <v>532</v>
      </c>
      <c r="B510" t="s">
        <v>17</v>
      </c>
      <c r="C510">
        <v>46</v>
      </c>
      <c r="D510">
        <v>13</v>
      </c>
      <c r="E510" t="s">
        <v>12</v>
      </c>
      <c r="F510" t="s">
        <v>29</v>
      </c>
      <c r="G510" t="s">
        <v>14</v>
      </c>
      <c r="H510">
        <v>110.91</v>
      </c>
      <c r="I510">
        <v>1429.71</v>
      </c>
      <c r="J510" t="s">
        <v>27</v>
      </c>
      <c r="K510" t="str">
        <f t="shared" si="7"/>
        <v>13-24 Months</v>
      </c>
      <c r="L510">
        <f>IF(Table13[[#This Row],[Churn]]="Yes",1,0)</f>
        <v>1</v>
      </c>
    </row>
    <row r="511" spans="1:12" x14ac:dyDescent="0.35">
      <c r="A511" t="s">
        <v>533</v>
      </c>
      <c r="B511" t="s">
        <v>17</v>
      </c>
      <c r="C511">
        <v>31</v>
      </c>
      <c r="D511">
        <v>22</v>
      </c>
      <c r="E511" t="s">
        <v>12</v>
      </c>
      <c r="F511" t="s">
        <v>33</v>
      </c>
      <c r="G511" t="s">
        <v>14</v>
      </c>
      <c r="H511">
        <v>62.97</v>
      </c>
      <c r="I511">
        <v>1356.74</v>
      </c>
      <c r="J511" t="s">
        <v>27</v>
      </c>
      <c r="K511" t="str">
        <f t="shared" si="7"/>
        <v>13-24 Months</v>
      </c>
      <c r="L511">
        <f>IF(Table13[[#This Row],[Churn]]="Yes",1,0)</f>
        <v>1</v>
      </c>
    </row>
    <row r="512" spans="1:12" x14ac:dyDescent="0.35">
      <c r="A512" t="s">
        <v>534</v>
      </c>
      <c r="B512" t="s">
        <v>11</v>
      </c>
      <c r="C512">
        <v>57</v>
      </c>
      <c r="D512">
        <v>21</v>
      </c>
      <c r="E512" t="s">
        <v>21</v>
      </c>
      <c r="F512" t="s">
        <v>22</v>
      </c>
      <c r="G512" t="s">
        <v>23</v>
      </c>
      <c r="H512">
        <v>116.82</v>
      </c>
      <c r="I512">
        <v>2419.4699999999998</v>
      </c>
      <c r="J512" t="s">
        <v>15</v>
      </c>
      <c r="K512" t="str">
        <f t="shared" si="7"/>
        <v>13-24 Months</v>
      </c>
      <c r="L512">
        <f>IF(Table13[[#This Row],[Churn]]="Yes",1,0)</f>
        <v>0</v>
      </c>
    </row>
    <row r="513" spans="1:12" x14ac:dyDescent="0.35">
      <c r="A513" t="s">
        <v>535</v>
      </c>
      <c r="B513" t="s">
        <v>17</v>
      </c>
      <c r="C513">
        <v>58</v>
      </c>
      <c r="D513">
        <v>9</v>
      </c>
      <c r="E513" t="s">
        <v>12</v>
      </c>
      <c r="F513" t="s">
        <v>29</v>
      </c>
      <c r="G513" t="s">
        <v>23</v>
      </c>
      <c r="H513">
        <v>73.61</v>
      </c>
      <c r="I513">
        <v>671.67</v>
      </c>
      <c r="J513" t="s">
        <v>27</v>
      </c>
      <c r="K513" t="str">
        <f t="shared" si="7"/>
        <v>0-12 Months</v>
      </c>
      <c r="L513">
        <f>IF(Table13[[#This Row],[Churn]]="Yes",1,0)</f>
        <v>1</v>
      </c>
    </row>
    <row r="514" spans="1:12" x14ac:dyDescent="0.35">
      <c r="A514" t="s">
        <v>536</v>
      </c>
      <c r="B514" t="s">
        <v>11</v>
      </c>
      <c r="C514">
        <v>39</v>
      </c>
      <c r="D514">
        <v>26</v>
      </c>
      <c r="E514" t="s">
        <v>21</v>
      </c>
      <c r="F514" t="s">
        <v>22</v>
      </c>
      <c r="G514" t="s">
        <v>14</v>
      </c>
      <c r="H514">
        <v>45.45</v>
      </c>
      <c r="I514">
        <v>1064.02</v>
      </c>
      <c r="J514" t="s">
        <v>15</v>
      </c>
      <c r="K514" t="str">
        <f t="shared" ref="K514:K577" si="8">IF(D514&lt;=12,"0-12 Months",IF(D514&lt;=24,"13-24 Months",IF(D514&lt;=48,"25-48 Months","49+ Months")))</f>
        <v>25-48 Months</v>
      </c>
      <c r="L514">
        <f>IF(Table13[[#This Row],[Churn]]="Yes",1,0)</f>
        <v>0</v>
      </c>
    </row>
    <row r="515" spans="1:12" x14ac:dyDescent="0.35">
      <c r="A515" t="s">
        <v>537</v>
      </c>
      <c r="B515" t="s">
        <v>17</v>
      </c>
      <c r="C515">
        <v>28</v>
      </c>
      <c r="D515">
        <v>9</v>
      </c>
      <c r="E515" t="s">
        <v>18</v>
      </c>
      <c r="F515" t="s">
        <v>13</v>
      </c>
      <c r="G515" t="s">
        <v>19</v>
      </c>
      <c r="H515">
        <v>86.71</v>
      </c>
      <c r="I515">
        <v>743.04</v>
      </c>
      <c r="J515" t="s">
        <v>15</v>
      </c>
      <c r="K515" t="str">
        <f t="shared" si="8"/>
        <v>0-12 Months</v>
      </c>
      <c r="L515">
        <f>IF(Table13[[#This Row],[Churn]]="Yes",1,0)</f>
        <v>0</v>
      </c>
    </row>
    <row r="516" spans="1:12" x14ac:dyDescent="0.35">
      <c r="A516" t="s">
        <v>538</v>
      </c>
      <c r="B516" t="s">
        <v>17</v>
      </c>
      <c r="C516">
        <v>40</v>
      </c>
      <c r="D516">
        <v>15</v>
      </c>
      <c r="E516" t="s">
        <v>12</v>
      </c>
      <c r="F516" t="s">
        <v>13</v>
      </c>
      <c r="G516" t="s">
        <v>14</v>
      </c>
      <c r="H516">
        <v>36.97</v>
      </c>
      <c r="I516">
        <v>556.58000000000004</v>
      </c>
      <c r="J516" t="s">
        <v>15</v>
      </c>
      <c r="K516" t="str">
        <f t="shared" si="8"/>
        <v>13-24 Months</v>
      </c>
      <c r="L516">
        <f>IF(Table13[[#This Row],[Churn]]="Yes",1,0)</f>
        <v>0</v>
      </c>
    </row>
    <row r="517" spans="1:12" x14ac:dyDescent="0.35">
      <c r="A517" t="s">
        <v>539</v>
      </c>
      <c r="B517" t="s">
        <v>11</v>
      </c>
      <c r="C517">
        <v>18</v>
      </c>
      <c r="D517">
        <v>10</v>
      </c>
      <c r="E517" t="s">
        <v>21</v>
      </c>
      <c r="F517" t="s">
        <v>33</v>
      </c>
      <c r="G517" t="s">
        <v>19</v>
      </c>
      <c r="H517">
        <v>77.27</v>
      </c>
      <c r="I517">
        <v>807.04</v>
      </c>
      <c r="J517" t="s">
        <v>15</v>
      </c>
      <c r="K517" t="str">
        <f t="shared" si="8"/>
        <v>0-12 Months</v>
      </c>
      <c r="L517">
        <f>IF(Table13[[#This Row],[Churn]]="Yes",1,0)</f>
        <v>0</v>
      </c>
    </row>
    <row r="518" spans="1:12" x14ac:dyDescent="0.35">
      <c r="A518" t="s">
        <v>540</v>
      </c>
      <c r="B518" t="s">
        <v>17</v>
      </c>
      <c r="C518">
        <v>63</v>
      </c>
      <c r="D518">
        <v>42</v>
      </c>
      <c r="E518" t="s">
        <v>18</v>
      </c>
      <c r="F518" t="s">
        <v>22</v>
      </c>
      <c r="G518" t="s">
        <v>23</v>
      </c>
      <c r="H518">
        <v>61.25</v>
      </c>
      <c r="I518">
        <v>2404.85</v>
      </c>
      <c r="J518" t="s">
        <v>15</v>
      </c>
      <c r="K518" t="str">
        <f t="shared" si="8"/>
        <v>25-48 Months</v>
      </c>
      <c r="L518">
        <f>IF(Table13[[#This Row],[Churn]]="Yes",1,0)</f>
        <v>0</v>
      </c>
    </row>
    <row r="519" spans="1:12" x14ac:dyDescent="0.35">
      <c r="A519" t="s">
        <v>541</v>
      </c>
      <c r="B519" t="s">
        <v>17</v>
      </c>
      <c r="C519">
        <v>54</v>
      </c>
      <c r="D519">
        <v>72</v>
      </c>
      <c r="E519" t="s">
        <v>12</v>
      </c>
      <c r="F519" t="s">
        <v>13</v>
      </c>
      <c r="G519" t="s">
        <v>23</v>
      </c>
      <c r="H519">
        <v>138.55000000000001</v>
      </c>
      <c r="I519">
        <v>10069.129999999999</v>
      </c>
      <c r="J519" t="s">
        <v>15</v>
      </c>
      <c r="K519" t="str">
        <f t="shared" si="8"/>
        <v>49+ Months</v>
      </c>
      <c r="L519">
        <f>IF(Table13[[#This Row],[Churn]]="Yes",1,0)</f>
        <v>0</v>
      </c>
    </row>
    <row r="520" spans="1:12" x14ac:dyDescent="0.35">
      <c r="A520" t="s">
        <v>542</v>
      </c>
      <c r="B520" t="s">
        <v>17</v>
      </c>
      <c r="C520">
        <v>38</v>
      </c>
      <c r="D520">
        <v>24</v>
      </c>
      <c r="E520" t="s">
        <v>12</v>
      </c>
      <c r="F520" t="s">
        <v>33</v>
      </c>
      <c r="G520" t="s">
        <v>14</v>
      </c>
      <c r="H520">
        <v>27.92</v>
      </c>
      <c r="I520">
        <v>698.82</v>
      </c>
      <c r="J520" t="s">
        <v>15</v>
      </c>
      <c r="K520" t="str">
        <f t="shared" si="8"/>
        <v>13-24 Months</v>
      </c>
      <c r="L520">
        <f>IF(Table13[[#This Row],[Churn]]="Yes",1,0)</f>
        <v>0</v>
      </c>
    </row>
    <row r="521" spans="1:12" x14ac:dyDescent="0.35">
      <c r="A521" t="s">
        <v>543</v>
      </c>
      <c r="B521" t="s">
        <v>17</v>
      </c>
      <c r="C521">
        <v>43</v>
      </c>
      <c r="D521">
        <v>49</v>
      </c>
      <c r="E521" t="s">
        <v>21</v>
      </c>
      <c r="F521" t="s">
        <v>33</v>
      </c>
      <c r="G521" t="s">
        <v>14</v>
      </c>
      <c r="H521">
        <v>110.22</v>
      </c>
      <c r="I521">
        <v>5340.97</v>
      </c>
      <c r="J521" t="s">
        <v>15</v>
      </c>
      <c r="K521" t="str">
        <f t="shared" si="8"/>
        <v>49+ Months</v>
      </c>
      <c r="L521">
        <f>IF(Table13[[#This Row],[Churn]]="Yes",1,0)</f>
        <v>0</v>
      </c>
    </row>
    <row r="522" spans="1:12" x14ac:dyDescent="0.35">
      <c r="A522" t="s">
        <v>544</v>
      </c>
      <c r="B522" t="s">
        <v>17</v>
      </c>
      <c r="C522">
        <v>63</v>
      </c>
      <c r="D522">
        <v>26</v>
      </c>
      <c r="E522" t="s">
        <v>21</v>
      </c>
      <c r="F522" t="s">
        <v>29</v>
      </c>
      <c r="G522" t="s">
        <v>23</v>
      </c>
      <c r="H522">
        <v>43.76</v>
      </c>
      <c r="I522">
        <v>1030.1500000000001</v>
      </c>
      <c r="J522" t="s">
        <v>15</v>
      </c>
      <c r="K522" t="str">
        <f t="shared" si="8"/>
        <v>25-48 Months</v>
      </c>
      <c r="L522">
        <f>IF(Table13[[#This Row],[Churn]]="Yes",1,0)</f>
        <v>0</v>
      </c>
    </row>
    <row r="523" spans="1:12" x14ac:dyDescent="0.35">
      <c r="A523" t="s">
        <v>545</v>
      </c>
      <c r="B523" t="s">
        <v>11</v>
      </c>
      <c r="C523">
        <v>53</v>
      </c>
      <c r="D523">
        <v>37</v>
      </c>
      <c r="E523" t="s">
        <v>18</v>
      </c>
      <c r="F523" t="s">
        <v>29</v>
      </c>
      <c r="G523" t="s">
        <v>23</v>
      </c>
      <c r="H523">
        <v>61.48</v>
      </c>
      <c r="I523">
        <v>2251.6799999999998</v>
      </c>
      <c r="J523" t="s">
        <v>15</v>
      </c>
      <c r="K523" t="str">
        <f t="shared" si="8"/>
        <v>25-48 Months</v>
      </c>
      <c r="L523">
        <f>IF(Table13[[#This Row],[Churn]]="Yes",1,0)</f>
        <v>0</v>
      </c>
    </row>
    <row r="524" spans="1:12" x14ac:dyDescent="0.35">
      <c r="A524" t="s">
        <v>546</v>
      </c>
      <c r="B524" t="s">
        <v>17</v>
      </c>
      <c r="C524">
        <v>40</v>
      </c>
      <c r="D524">
        <v>68</v>
      </c>
      <c r="E524" t="s">
        <v>12</v>
      </c>
      <c r="F524" t="s">
        <v>29</v>
      </c>
      <c r="G524" t="s">
        <v>14</v>
      </c>
      <c r="H524">
        <v>74.02</v>
      </c>
      <c r="I524">
        <v>4828.45</v>
      </c>
      <c r="J524" t="s">
        <v>27</v>
      </c>
      <c r="K524" t="str">
        <f t="shared" si="8"/>
        <v>49+ Months</v>
      </c>
      <c r="L524">
        <f>IF(Table13[[#This Row],[Churn]]="Yes",1,0)</f>
        <v>1</v>
      </c>
    </row>
    <row r="525" spans="1:12" x14ac:dyDescent="0.35">
      <c r="A525" t="s">
        <v>547</v>
      </c>
      <c r="B525" t="s">
        <v>11</v>
      </c>
      <c r="C525">
        <v>18</v>
      </c>
      <c r="D525">
        <v>50</v>
      </c>
      <c r="E525" t="s">
        <v>18</v>
      </c>
      <c r="F525" t="s">
        <v>22</v>
      </c>
      <c r="G525" t="s">
        <v>19</v>
      </c>
      <c r="H525">
        <v>138.04</v>
      </c>
      <c r="I525">
        <v>7495.09</v>
      </c>
      <c r="J525" t="s">
        <v>15</v>
      </c>
      <c r="K525" t="str">
        <f t="shared" si="8"/>
        <v>49+ Months</v>
      </c>
      <c r="L525">
        <f>IF(Table13[[#This Row],[Churn]]="Yes",1,0)</f>
        <v>0</v>
      </c>
    </row>
    <row r="526" spans="1:12" x14ac:dyDescent="0.35">
      <c r="A526" t="s">
        <v>548</v>
      </c>
      <c r="B526" t="s">
        <v>17</v>
      </c>
      <c r="C526">
        <v>68</v>
      </c>
      <c r="D526">
        <v>24</v>
      </c>
      <c r="E526" t="s">
        <v>12</v>
      </c>
      <c r="F526" t="s">
        <v>22</v>
      </c>
      <c r="G526" t="s">
        <v>23</v>
      </c>
      <c r="H526">
        <v>51.54</v>
      </c>
      <c r="I526">
        <v>1144.0899999999999</v>
      </c>
      <c r="J526" t="s">
        <v>15</v>
      </c>
      <c r="K526" t="str">
        <f t="shared" si="8"/>
        <v>13-24 Months</v>
      </c>
      <c r="L526">
        <f>IF(Table13[[#This Row],[Churn]]="Yes",1,0)</f>
        <v>0</v>
      </c>
    </row>
    <row r="527" spans="1:12" x14ac:dyDescent="0.35">
      <c r="A527" t="s">
        <v>549</v>
      </c>
      <c r="B527" t="s">
        <v>11</v>
      </c>
      <c r="C527">
        <v>57</v>
      </c>
      <c r="D527">
        <v>19</v>
      </c>
      <c r="E527" t="s">
        <v>12</v>
      </c>
      <c r="F527" t="s">
        <v>22</v>
      </c>
      <c r="G527" t="s">
        <v>23</v>
      </c>
      <c r="H527">
        <v>31.87</v>
      </c>
      <c r="I527">
        <v>624</v>
      </c>
      <c r="J527" t="s">
        <v>15</v>
      </c>
      <c r="K527" t="str">
        <f t="shared" si="8"/>
        <v>13-24 Months</v>
      </c>
      <c r="L527">
        <f>IF(Table13[[#This Row],[Churn]]="Yes",1,0)</f>
        <v>0</v>
      </c>
    </row>
    <row r="528" spans="1:12" x14ac:dyDescent="0.35">
      <c r="A528" t="s">
        <v>550</v>
      </c>
      <c r="B528" t="s">
        <v>11</v>
      </c>
      <c r="C528">
        <v>32</v>
      </c>
      <c r="D528">
        <v>60</v>
      </c>
      <c r="E528" t="s">
        <v>21</v>
      </c>
      <c r="F528" t="s">
        <v>33</v>
      </c>
      <c r="G528" t="s">
        <v>14</v>
      </c>
      <c r="H528">
        <v>61.43</v>
      </c>
      <c r="I528">
        <v>3356.08</v>
      </c>
      <c r="J528" t="s">
        <v>15</v>
      </c>
      <c r="K528" t="str">
        <f t="shared" si="8"/>
        <v>49+ Months</v>
      </c>
      <c r="L528">
        <f>IF(Table13[[#This Row],[Churn]]="Yes",1,0)</f>
        <v>0</v>
      </c>
    </row>
    <row r="529" spans="1:12" x14ac:dyDescent="0.35">
      <c r="A529" t="s">
        <v>551</v>
      </c>
      <c r="B529" t="s">
        <v>17</v>
      </c>
      <c r="C529">
        <v>38</v>
      </c>
      <c r="D529">
        <v>39</v>
      </c>
      <c r="E529" t="s">
        <v>12</v>
      </c>
      <c r="F529" t="s">
        <v>22</v>
      </c>
      <c r="G529" t="s">
        <v>14</v>
      </c>
      <c r="H529">
        <v>33.61</v>
      </c>
      <c r="I529">
        <v>1296.68</v>
      </c>
      <c r="J529" t="s">
        <v>15</v>
      </c>
      <c r="K529" t="str">
        <f t="shared" si="8"/>
        <v>25-48 Months</v>
      </c>
      <c r="L529">
        <f>IF(Table13[[#This Row],[Churn]]="Yes",1,0)</f>
        <v>0</v>
      </c>
    </row>
    <row r="530" spans="1:12" x14ac:dyDescent="0.35">
      <c r="A530" t="s">
        <v>552</v>
      </c>
      <c r="B530" t="s">
        <v>17</v>
      </c>
      <c r="C530">
        <v>64</v>
      </c>
      <c r="D530">
        <v>18</v>
      </c>
      <c r="E530" t="s">
        <v>12</v>
      </c>
      <c r="F530" t="s">
        <v>29</v>
      </c>
      <c r="G530" t="s">
        <v>23</v>
      </c>
      <c r="H530">
        <v>36.72</v>
      </c>
      <c r="I530">
        <v>668.1</v>
      </c>
      <c r="J530" t="s">
        <v>15</v>
      </c>
      <c r="K530" t="str">
        <f t="shared" si="8"/>
        <v>13-24 Months</v>
      </c>
      <c r="L530">
        <f>IF(Table13[[#This Row],[Churn]]="Yes",1,0)</f>
        <v>0</v>
      </c>
    </row>
    <row r="531" spans="1:12" x14ac:dyDescent="0.35">
      <c r="A531" t="s">
        <v>553</v>
      </c>
      <c r="B531" t="s">
        <v>17</v>
      </c>
      <c r="C531">
        <v>26</v>
      </c>
      <c r="D531">
        <v>19</v>
      </c>
      <c r="E531" t="s">
        <v>12</v>
      </c>
      <c r="F531" t="s">
        <v>29</v>
      </c>
      <c r="G531" t="s">
        <v>19</v>
      </c>
      <c r="H531">
        <v>94.6</v>
      </c>
      <c r="I531">
        <v>1724.77</v>
      </c>
      <c r="J531" t="s">
        <v>27</v>
      </c>
      <c r="K531" t="str">
        <f t="shared" si="8"/>
        <v>13-24 Months</v>
      </c>
      <c r="L531">
        <f>IF(Table13[[#This Row],[Churn]]="Yes",1,0)</f>
        <v>1</v>
      </c>
    </row>
    <row r="532" spans="1:12" x14ac:dyDescent="0.35">
      <c r="A532" t="s">
        <v>554</v>
      </c>
      <c r="B532" t="s">
        <v>11</v>
      </c>
      <c r="C532">
        <v>70</v>
      </c>
      <c r="D532">
        <v>36</v>
      </c>
      <c r="E532" t="s">
        <v>12</v>
      </c>
      <c r="F532" t="s">
        <v>13</v>
      </c>
      <c r="G532" t="s">
        <v>23</v>
      </c>
      <c r="H532">
        <v>27.92</v>
      </c>
      <c r="I532">
        <v>996.09</v>
      </c>
      <c r="J532" t="s">
        <v>15</v>
      </c>
      <c r="K532" t="str">
        <f t="shared" si="8"/>
        <v>25-48 Months</v>
      </c>
      <c r="L532">
        <f>IF(Table13[[#This Row],[Churn]]="Yes",1,0)</f>
        <v>0</v>
      </c>
    </row>
    <row r="533" spans="1:12" x14ac:dyDescent="0.35">
      <c r="A533" t="s">
        <v>555</v>
      </c>
      <c r="B533" t="s">
        <v>17</v>
      </c>
      <c r="C533">
        <v>26</v>
      </c>
      <c r="D533">
        <v>55</v>
      </c>
      <c r="E533" t="s">
        <v>12</v>
      </c>
      <c r="F533" t="s">
        <v>13</v>
      </c>
      <c r="G533" t="s">
        <v>19</v>
      </c>
      <c r="H533">
        <v>24.02</v>
      </c>
      <c r="I533">
        <v>1232.2</v>
      </c>
      <c r="J533" t="s">
        <v>27</v>
      </c>
      <c r="K533" t="str">
        <f t="shared" si="8"/>
        <v>49+ Months</v>
      </c>
      <c r="L533">
        <f>IF(Table13[[#This Row],[Churn]]="Yes",1,0)</f>
        <v>1</v>
      </c>
    </row>
    <row r="534" spans="1:12" x14ac:dyDescent="0.35">
      <c r="A534" t="s">
        <v>556</v>
      </c>
      <c r="B534" t="s">
        <v>11</v>
      </c>
      <c r="C534">
        <v>27</v>
      </c>
      <c r="D534">
        <v>69</v>
      </c>
      <c r="E534" t="s">
        <v>18</v>
      </c>
      <c r="F534" t="s">
        <v>22</v>
      </c>
      <c r="G534" t="s">
        <v>19</v>
      </c>
      <c r="H534">
        <v>112.87</v>
      </c>
      <c r="I534">
        <v>7482.93</v>
      </c>
      <c r="J534" t="s">
        <v>27</v>
      </c>
      <c r="K534" t="str">
        <f t="shared" si="8"/>
        <v>49+ Months</v>
      </c>
      <c r="L534">
        <f>IF(Table13[[#This Row],[Churn]]="Yes",1,0)</f>
        <v>1</v>
      </c>
    </row>
    <row r="535" spans="1:12" x14ac:dyDescent="0.35">
      <c r="A535" t="s">
        <v>557</v>
      </c>
      <c r="B535" t="s">
        <v>11</v>
      </c>
      <c r="C535">
        <v>69</v>
      </c>
      <c r="D535">
        <v>47</v>
      </c>
      <c r="E535" t="s">
        <v>12</v>
      </c>
      <c r="F535" t="s">
        <v>33</v>
      </c>
      <c r="G535" t="s">
        <v>23</v>
      </c>
      <c r="H535">
        <v>67.010000000000005</v>
      </c>
      <c r="I535">
        <v>3225.75</v>
      </c>
      <c r="J535" t="s">
        <v>15</v>
      </c>
      <c r="K535" t="str">
        <f t="shared" si="8"/>
        <v>25-48 Months</v>
      </c>
      <c r="L535">
        <f>IF(Table13[[#This Row],[Churn]]="Yes",1,0)</f>
        <v>0</v>
      </c>
    </row>
    <row r="536" spans="1:12" x14ac:dyDescent="0.35">
      <c r="A536" t="s">
        <v>558</v>
      </c>
      <c r="B536" t="s">
        <v>11</v>
      </c>
      <c r="C536">
        <v>70</v>
      </c>
      <c r="D536">
        <v>49</v>
      </c>
      <c r="E536" t="s">
        <v>21</v>
      </c>
      <c r="F536" t="s">
        <v>29</v>
      </c>
      <c r="G536" t="s">
        <v>23</v>
      </c>
      <c r="H536">
        <v>36.299999999999997</v>
      </c>
      <c r="I536">
        <v>1708.19</v>
      </c>
      <c r="J536" t="s">
        <v>15</v>
      </c>
      <c r="K536" t="str">
        <f t="shared" si="8"/>
        <v>49+ Months</v>
      </c>
      <c r="L536">
        <f>IF(Table13[[#This Row],[Churn]]="Yes",1,0)</f>
        <v>0</v>
      </c>
    </row>
    <row r="537" spans="1:12" x14ac:dyDescent="0.35">
      <c r="A537" t="s">
        <v>559</v>
      </c>
      <c r="B537" t="s">
        <v>17</v>
      </c>
      <c r="C537">
        <v>43</v>
      </c>
      <c r="D537">
        <v>33</v>
      </c>
      <c r="E537" t="s">
        <v>21</v>
      </c>
      <c r="F537" t="s">
        <v>13</v>
      </c>
      <c r="G537" t="s">
        <v>14</v>
      </c>
      <c r="H537">
        <v>52.97</v>
      </c>
      <c r="I537">
        <v>1887.76</v>
      </c>
      <c r="J537" t="s">
        <v>15</v>
      </c>
      <c r="K537" t="str">
        <f t="shared" si="8"/>
        <v>25-48 Months</v>
      </c>
      <c r="L537">
        <f>IF(Table13[[#This Row],[Churn]]="Yes",1,0)</f>
        <v>0</v>
      </c>
    </row>
    <row r="538" spans="1:12" x14ac:dyDescent="0.35">
      <c r="A538" t="s">
        <v>560</v>
      </c>
      <c r="B538" t="s">
        <v>17</v>
      </c>
      <c r="C538">
        <v>58</v>
      </c>
      <c r="D538">
        <v>21</v>
      </c>
      <c r="E538" t="s">
        <v>18</v>
      </c>
      <c r="F538" t="s">
        <v>22</v>
      </c>
      <c r="G538" t="s">
        <v>23</v>
      </c>
      <c r="H538">
        <v>103.47</v>
      </c>
      <c r="I538">
        <v>2228.67</v>
      </c>
      <c r="J538" t="s">
        <v>15</v>
      </c>
      <c r="K538" t="str">
        <f t="shared" si="8"/>
        <v>13-24 Months</v>
      </c>
      <c r="L538">
        <f>IF(Table13[[#This Row],[Churn]]="Yes",1,0)</f>
        <v>0</v>
      </c>
    </row>
    <row r="539" spans="1:12" x14ac:dyDescent="0.35">
      <c r="A539" t="s">
        <v>561</v>
      </c>
      <c r="B539" t="s">
        <v>11</v>
      </c>
      <c r="C539">
        <v>52</v>
      </c>
      <c r="D539">
        <v>22</v>
      </c>
      <c r="E539" t="s">
        <v>12</v>
      </c>
      <c r="F539" t="s">
        <v>13</v>
      </c>
      <c r="G539" t="s">
        <v>23</v>
      </c>
      <c r="H539">
        <v>55.82</v>
      </c>
      <c r="I539">
        <v>1212.97</v>
      </c>
      <c r="J539" t="s">
        <v>15</v>
      </c>
      <c r="K539" t="str">
        <f t="shared" si="8"/>
        <v>13-24 Months</v>
      </c>
      <c r="L539">
        <f>IF(Table13[[#This Row],[Churn]]="Yes",1,0)</f>
        <v>0</v>
      </c>
    </row>
    <row r="540" spans="1:12" x14ac:dyDescent="0.35">
      <c r="A540" t="s">
        <v>562</v>
      </c>
      <c r="B540" t="s">
        <v>11</v>
      </c>
      <c r="C540">
        <v>69</v>
      </c>
      <c r="D540">
        <v>48</v>
      </c>
      <c r="E540" t="s">
        <v>18</v>
      </c>
      <c r="F540" t="s">
        <v>29</v>
      </c>
      <c r="G540" t="s">
        <v>23</v>
      </c>
      <c r="H540">
        <v>84.29</v>
      </c>
      <c r="I540">
        <v>3672.69</v>
      </c>
      <c r="J540" t="s">
        <v>15</v>
      </c>
      <c r="K540" t="str">
        <f t="shared" si="8"/>
        <v>25-48 Months</v>
      </c>
      <c r="L540">
        <f>IF(Table13[[#This Row],[Churn]]="Yes",1,0)</f>
        <v>0</v>
      </c>
    </row>
    <row r="541" spans="1:12" x14ac:dyDescent="0.35">
      <c r="A541" t="s">
        <v>563</v>
      </c>
      <c r="B541" t="s">
        <v>17</v>
      </c>
      <c r="C541">
        <v>42</v>
      </c>
      <c r="D541">
        <v>37</v>
      </c>
      <c r="E541" t="s">
        <v>12</v>
      </c>
      <c r="F541" t="s">
        <v>13</v>
      </c>
      <c r="G541" t="s">
        <v>14</v>
      </c>
      <c r="H541">
        <v>35.82</v>
      </c>
      <c r="I541">
        <v>1325.22</v>
      </c>
      <c r="J541" t="s">
        <v>15</v>
      </c>
      <c r="K541" t="str">
        <f t="shared" si="8"/>
        <v>25-48 Months</v>
      </c>
      <c r="L541">
        <f>IF(Table13[[#This Row],[Churn]]="Yes",1,0)</f>
        <v>0</v>
      </c>
    </row>
    <row r="542" spans="1:12" x14ac:dyDescent="0.35">
      <c r="A542" t="s">
        <v>564</v>
      </c>
      <c r="B542" t="s">
        <v>11</v>
      </c>
      <c r="C542">
        <v>43</v>
      </c>
      <c r="D542">
        <v>15</v>
      </c>
      <c r="E542" t="s">
        <v>21</v>
      </c>
      <c r="F542" t="s">
        <v>29</v>
      </c>
      <c r="G542" t="s">
        <v>14</v>
      </c>
      <c r="H542">
        <v>96.45</v>
      </c>
      <c r="I542">
        <v>1523.36</v>
      </c>
      <c r="J542" t="s">
        <v>15</v>
      </c>
      <c r="K542" t="str">
        <f t="shared" si="8"/>
        <v>13-24 Months</v>
      </c>
      <c r="L542">
        <f>IF(Table13[[#This Row],[Churn]]="Yes",1,0)</f>
        <v>0</v>
      </c>
    </row>
    <row r="543" spans="1:12" x14ac:dyDescent="0.35">
      <c r="A543" t="s">
        <v>565</v>
      </c>
      <c r="B543" t="s">
        <v>17</v>
      </c>
      <c r="C543">
        <v>28</v>
      </c>
      <c r="D543">
        <v>35</v>
      </c>
      <c r="E543" t="s">
        <v>21</v>
      </c>
      <c r="F543" t="s">
        <v>33</v>
      </c>
      <c r="G543" t="s">
        <v>19</v>
      </c>
      <c r="H543">
        <v>61.09</v>
      </c>
      <c r="I543">
        <v>2037.9</v>
      </c>
      <c r="J543" t="s">
        <v>15</v>
      </c>
      <c r="K543" t="str">
        <f t="shared" si="8"/>
        <v>25-48 Months</v>
      </c>
      <c r="L543">
        <f>IF(Table13[[#This Row],[Churn]]="Yes",1,0)</f>
        <v>0</v>
      </c>
    </row>
    <row r="544" spans="1:12" x14ac:dyDescent="0.35">
      <c r="A544" t="s">
        <v>566</v>
      </c>
      <c r="B544" t="s">
        <v>11</v>
      </c>
      <c r="C544">
        <v>55</v>
      </c>
      <c r="D544">
        <v>71</v>
      </c>
      <c r="E544" t="s">
        <v>18</v>
      </c>
      <c r="F544" t="s">
        <v>29</v>
      </c>
      <c r="G544" t="s">
        <v>23</v>
      </c>
      <c r="H544">
        <v>101.51</v>
      </c>
      <c r="I544">
        <v>7649.41</v>
      </c>
      <c r="J544" t="s">
        <v>15</v>
      </c>
      <c r="K544" t="str">
        <f t="shared" si="8"/>
        <v>49+ Months</v>
      </c>
      <c r="L544">
        <f>IF(Table13[[#This Row],[Churn]]="Yes",1,0)</f>
        <v>0</v>
      </c>
    </row>
    <row r="545" spans="1:12" x14ac:dyDescent="0.35">
      <c r="A545" t="s">
        <v>567</v>
      </c>
      <c r="B545" t="s">
        <v>17</v>
      </c>
      <c r="C545">
        <v>19</v>
      </c>
      <c r="D545">
        <v>32</v>
      </c>
      <c r="E545" t="s">
        <v>12</v>
      </c>
      <c r="F545" t="s">
        <v>13</v>
      </c>
      <c r="G545" t="s">
        <v>19</v>
      </c>
      <c r="H545">
        <v>125.09</v>
      </c>
      <c r="I545">
        <v>3804.18</v>
      </c>
      <c r="J545" t="s">
        <v>15</v>
      </c>
      <c r="K545" t="str">
        <f t="shared" si="8"/>
        <v>25-48 Months</v>
      </c>
      <c r="L545">
        <f>IF(Table13[[#This Row],[Churn]]="Yes",1,0)</f>
        <v>0</v>
      </c>
    </row>
    <row r="546" spans="1:12" x14ac:dyDescent="0.35">
      <c r="A546" t="s">
        <v>568</v>
      </c>
      <c r="B546" t="s">
        <v>11</v>
      </c>
      <c r="C546">
        <v>24</v>
      </c>
      <c r="D546">
        <v>11</v>
      </c>
      <c r="E546" t="s">
        <v>21</v>
      </c>
      <c r="F546" t="s">
        <v>13</v>
      </c>
      <c r="G546" t="s">
        <v>19</v>
      </c>
      <c r="H546">
        <v>99.51</v>
      </c>
      <c r="I546">
        <v>1165.49</v>
      </c>
      <c r="J546" t="s">
        <v>15</v>
      </c>
      <c r="K546" t="str">
        <f t="shared" si="8"/>
        <v>0-12 Months</v>
      </c>
      <c r="L546">
        <f>IF(Table13[[#This Row],[Churn]]="Yes",1,0)</f>
        <v>0</v>
      </c>
    </row>
    <row r="547" spans="1:12" x14ac:dyDescent="0.35">
      <c r="A547" t="s">
        <v>569</v>
      </c>
      <c r="B547" t="s">
        <v>17</v>
      </c>
      <c r="C547">
        <v>35</v>
      </c>
      <c r="D547">
        <v>10</v>
      </c>
      <c r="E547" t="s">
        <v>12</v>
      </c>
      <c r="F547" t="s">
        <v>33</v>
      </c>
      <c r="G547" t="s">
        <v>14</v>
      </c>
      <c r="H547">
        <v>58.45</v>
      </c>
      <c r="I547">
        <v>536.02</v>
      </c>
      <c r="J547" t="s">
        <v>15</v>
      </c>
      <c r="K547" t="str">
        <f t="shared" si="8"/>
        <v>0-12 Months</v>
      </c>
      <c r="L547">
        <f>IF(Table13[[#This Row],[Churn]]="Yes",1,0)</f>
        <v>0</v>
      </c>
    </row>
    <row r="548" spans="1:12" x14ac:dyDescent="0.35">
      <c r="A548" t="s">
        <v>570</v>
      </c>
      <c r="B548" t="s">
        <v>11</v>
      </c>
      <c r="C548">
        <v>44</v>
      </c>
      <c r="D548">
        <v>57</v>
      </c>
      <c r="E548" t="s">
        <v>21</v>
      </c>
      <c r="F548" t="s">
        <v>29</v>
      </c>
      <c r="G548" t="s">
        <v>14</v>
      </c>
      <c r="H548">
        <v>53.25</v>
      </c>
      <c r="I548">
        <v>3257.54</v>
      </c>
      <c r="J548" t="s">
        <v>27</v>
      </c>
      <c r="K548" t="str">
        <f t="shared" si="8"/>
        <v>49+ Months</v>
      </c>
      <c r="L548">
        <f>IF(Table13[[#This Row],[Churn]]="Yes",1,0)</f>
        <v>1</v>
      </c>
    </row>
    <row r="549" spans="1:12" x14ac:dyDescent="0.35">
      <c r="A549" t="s">
        <v>571</v>
      </c>
      <c r="B549" t="s">
        <v>17</v>
      </c>
      <c r="C549">
        <v>51</v>
      </c>
      <c r="D549">
        <v>25</v>
      </c>
      <c r="E549" t="s">
        <v>18</v>
      </c>
      <c r="F549" t="s">
        <v>29</v>
      </c>
      <c r="G549" t="s">
        <v>23</v>
      </c>
      <c r="H549">
        <v>62.56</v>
      </c>
      <c r="I549">
        <v>1563.75</v>
      </c>
      <c r="J549" t="s">
        <v>15</v>
      </c>
      <c r="K549" t="str">
        <f t="shared" si="8"/>
        <v>25-48 Months</v>
      </c>
      <c r="L549">
        <f>IF(Table13[[#This Row],[Churn]]="Yes",1,0)</f>
        <v>0</v>
      </c>
    </row>
    <row r="550" spans="1:12" x14ac:dyDescent="0.35">
      <c r="A550" t="s">
        <v>572</v>
      </c>
      <c r="B550" t="s">
        <v>17</v>
      </c>
      <c r="C550">
        <v>44</v>
      </c>
      <c r="D550">
        <v>2</v>
      </c>
      <c r="E550" t="s">
        <v>12</v>
      </c>
      <c r="F550" t="s">
        <v>29</v>
      </c>
      <c r="G550" t="s">
        <v>14</v>
      </c>
      <c r="H550">
        <v>41.4</v>
      </c>
      <c r="I550">
        <v>79.430000000000007</v>
      </c>
      <c r="J550" t="s">
        <v>15</v>
      </c>
      <c r="K550" t="str">
        <f t="shared" si="8"/>
        <v>0-12 Months</v>
      </c>
      <c r="L550">
        <f>IF(Table13[[#This Row],[Churn]]="Yes",1,0)</f>
        <v>0</v>
      </c>
    </row>
    <row r="551" spans="1:12" x14ac:dyDescent="0.35">
      <c r="A551" t="s">
        <v>573</v>
      </c>
      <c r="B551" t="s">
        <v>11</v>
      </c>
      <c r="C551">
        <v>34</v>
      </c>
      <c r="D551">
        <v>64</v>
      </c>
      <c r="E551" t="s">
        <v>18</v>
      </c>
      <c r="F551" t="s">
        <v>29</v>
      </c>
      <c r="G551" t="s">
        <v>14</v>
      </c>
      <c r="H551">
        <v>43.55</v>
      </c>
      <c r="I551">
        <v>2656.26</v>
      </c>
      <c r="J551" t="s">
        <v>15</v>
      </c>
      <c r="K551" t="str">
        <f t="shared" si="8"/>
        <v>49+ Months</v>
      </c>
      <c r="L551">
        <f>IF(Table13[[#This Row],[Churn]]="Yes",1,0)</f>
        <v>0</v>
      </c>
    </row>
    <row r="552" spans="1:12" x14ac:dyDescent="0.35">
      <c r="A552" t="s">
        <v>574</v>
      </c>
      <c r="B552" t="s">
        <v>11</v>
      </c>
      <c r="C552">
        <v>60</v>
      </c>
      <c r="D552">
        <v>35</v>
      </c>
      <c r="E552" t="s">
        <v>12</v>
      </c>
      <c r="F552" t="s">
        <v>29</v>
      </c>
      <c r="G552" t="s">
        <v>23</v>
      </c>
      <c r="H552">
        <v>122.79</v>
      </c>
      <c r="I552">
        <v>4239.21</v>
      </c>
      <c r="J552" t="s">
        <v>27</v>
      </c>
      <c r="K552" t="str">
        <f t="shared" si="8"/>
        <v>25-48 Months</v>
      </c>
      <c r="L552">
        <f>IF(Table13[[#This Row],[Churn]]="Yes",1,0)</f>
        <v>1</v>
      </c>
    </row>
    <row r="553" spans="1:12" x14ac:dyDescent="0.35">
      <c r="A553" t="s">
        <v>575</v>
      </c>
      <c r="B553" t="s">
        <v>17</v>
      </c>
      <c r="C553">
        <v>61</v>
      </c>
      <c r="D553">
        <v>7</v>
      </c>
      <c r="E553" t="s">
        <v>12</v>
      </c>
      <c r="F553" t="s">
        <v>22</v>
      </c>
      <c r="G553" t="s">
        <v>23</v>
      </c>
      <c r="H553">
        <v>70.02</v>
      </c>
      <c r="I553">
        <v>539.05999999999995</v>
      </c>
      <c r="J553" t="s">
        <v>27</v>
      </c>
      <c r="K553" t="str">
        <f t="shared" si="8"/>
        <v>0-12 Months</v>
      </c>
      <c r="L553">
        <f>IF(Table13[[#This Row],[Churn]]="Yes",1,0)</f>
        <v>1</v>
      </c>
    </row>
    <row r="554" spans="1:12" x14ac:dyDescent="0.35">
      <c r="A554" t="s">
        <v>576</v>
      </c>
      <c r="B554" t="s">
        <v>11</v>
      </c>
      <c r="C554">
        <v>68</v>
      </c>
      <c r="D554">
        <v>18</v>
      </c>
      <c r="E554" t="s">
        <v>12</v>
      </c>
      <c r="F554" t="s">
        <v>29</v>
      </c>
      <c r="G554" t="s">
        <v>23</v>
      </c>
      <c r="H554">
        <v>76.680000000000007</v>
      </c>
      <c r="I554">
        <v>1303.04</v>
      </c>
      <c r="J554" t="s">
        <v>27</v>
      </c>
      <c r="K554" t="str">
        <f t="shared" si="8"/>
        <v>13-24 Months</v>
      </c>
      <c r="L554">
        <f>IF(Table13[[#This Row],[Churn]]="Yes",1,0)</f>
        <v>1</v>
      </c>
    </row>
    <row r="555" spans="1:12" x14ac:dyDescent="0.35">
      <c r="A555" t="s">
        <v>577</v>
      </c>
      <c r="B555" t="s">
        <v>17</v>
      </c>
      <c r="C555">
        <v>41</v>
      </c>
      <c r="D555">
        <v>67</v>
      </c>
      <c r="E555" t="s">
        <v>12</v>
      </c>
      <c r="F555" t="s">
        <v>29</v>
      </c>
      <c r="G555" t="s">
        <v>14</v>
      </c>
      <c r="H555">
        <v>97.23</v>
      </c>
      <c r="I555">
        <v>5997.45</v>
      </c>
      <c r="J555" t="s">
        <v>15</v>
      </c>
      <c r="K555" t="str">
        <f t="shared" si="8"/>
        <v>49+ Months</v>
      </c>
      <c r="L555">
        <f>IF(Table13[[#This Row],[Churn]]="Yes",1,0)</f>
        <v>0</v>
      </c>
    </row>
    <row r="556" spans="1:12" x14ac:dyDescent="0.35">
      <c r="A556" t="s">
        <v>578</v>
      </c>
      <c r="B556" t="s">
        <v>11</v>
      </c>
      <c r="C556">
        <v>42</v>
      </c>
      <c r="D556">
        <v>42</v>
      </c>
      <c r="E556" t="s">
        <v>21</v>
      </c>
      <c r="F556" t="s">
        <v>33</v>
      </c>
      <c r="G556" t="s">
        <v>14</v>
      </c>
      <c r="H556">
        <v>96.65</v>
      </c>
      <c r="I556">
        <v>4128.34</v>
      </c>
      <c r="J556" t="s">
        <v>15</v>
      </c>
      <c r="K556" t="str">
        <f t="shared" si="8"/>
        <v>25-48 Months</v>
      </c>
      <c r="L556">
        <f>IF(Table13[[#This Row],[Churn]]="Yes",1,0)</f>
        <v>0</v>
      </c>
    </row>
    <row r="557" spans="1:12" x14ac:dyDescent="0.35">
      <c r="A557" t="s">
        <v>579</v>
      </c>
      <c r="B557" t="s">
        <v>17</v>
      </c>
      <c r="C557">
        <v>24</v>
      </c>
      <c r="D557">
        <v>39</v>
      </c>
      <c r="E557" t="s">
        <v>12</v>
      </c>
      <c r="F557" t="s">
        <v>13</v>
      </c>
      <c r="G557" t="s">
        <v>19</v>
      </c>
      <c r="H557">
        <v>28.76</v>
      </c>
      <c r="I557">
        <v>1119.07</v>
      </c>
      <c r="J557" t="s">
        <v>15</v>
      </c>
      <c r="K557" t="str">
        <f t="shared" si="8"/>
        <v>25-48 Months</v>
      </c>
      <c r="L557">
        <f>IF(Table13[[#This Row],[Churn]]="Yes",1,0)</f>
        <v>0</v>
      </c>
    </row>
    <row r="558" spans="1:12" x14ac:dyDescent="0.35">
      <c r="A558" t="s">
        <v>580</v>
      </c>
      <c r="B558" t="s">
        <v>17</v>
      </c>
      <c r="C558">
        <v>69</v>
      </c>
      <c r="D558">
        <v>41</v>
      </c>
      <c r="E558" t="s">
        <v>12</v>
      </c>
      <c r="F558" t="s">
        <v>13</v>
      </c>
      <c r="G558" t="s">
        <v>23</v>
      </c>
      <c r="H558">
        <v>128.1</v>
      </c>
      <c r="I558">
        <v>5277.52</v>
      </c>
      <c r="J558" t="s">
        <v>27</v>
      </c>
      <c r="K558" t="str">
        <f t="shared" si="8"/>
        <v>25-48 Months</v>
      </c>
      <c r="L558">
        <f>IF(Table13[[#This Row],[Churn]]="Yes",1,0)</f>
        <v>1</v>
      </c>
    </row>
    <row r="559" spans="1:12" x14ac:dyDescent="0.35">
      <c r="A559" t="s">
        <v>581</v>
      </c>
      <c r="B559" t="s">
        <v>17</v>
      </c>
      <c r="C559">
        <v>23</v>
      </c>
      <c r="D559">
        <v>24</v>
      </c>
      <c r="E559" t="s">
        <v>18</v>
      </c>
      <c r="F559" t="s">
        <v>29</v>
      </c>
      <c r="G559" t="s">
        <v>19</v>
      </c>
      <c r="H559">
        <v>43.05</v>
      </c>
      <c r="I559">
        <v>1067.7</v>
      </c>
      <c r="J559" t="s">
        <v>15</v>
      </c>
      <c r="K559" t="str">
        <f t="shared" si="8"/>
        <v>13-24 Months</v>
      </c>
      <c r="L559">
        <f>IF(Table13[[#This Row],[Churn]]="Yes",1,0)</f>
        <v>0</v>
      </c>
    </row>
    <row r="560" spans="1:12" x14ac:dyDescent="0.35">
      <c r="A560" t="s">
        <v>582</v>
      </c>
      <c r="B560" t="s">
        <v>17</v>
      </c>
      <c r="C560">
        <v>70</v>
      </c>
      <c r="D560">
        <v>60</v>
      </c>
      <c r="E560" t="s">
        <v>18</v>
      </c>
      <c r="F560" t="s">
        <v>33</v>
      </c>
      <c r="G560" t="s">
        <v>23</v>
      </c>
      <c r="H560">
        <v>114</v>
      </c>
      <c r="I560">
        <v>6521.45</v>
      </c>
      <c r="J560" t="s">
        <v>15</v>
      </c>
      <c r="K560" t="str">
        <f t="shared" si="8"/>
        <v>49+ Months</v>
      </c>
      <c r="L560">
        <f>IF(Table13[[#This Row],[Churn]]="Yes",1,0)</f>
        <v>0</v>
      </c>
    </row>
    <row r="561" spans="1:12" x14ac:dyDescent="0.35">
      <c r="A561" t="s">
        <v>583</v>
      </c>
      <c r="B561" t="s">
        <v>17</v>
      </c>
      <c r="C561">
        <v>41</v>
      </c>
      <c r="D561">
        <v>46</v>
      </c>
      <c r="E561" t="s">
        <v>18</v>
      </c>
      <c r="F561" t="s">
        <v>29</v>
      </c>
      <c r="G561" t="s">
        <v>14</v>
      </c>
      <c r="H561">
        <v>120.45</v>
      </c>
      <c r="I561">
        <v>5995.77</v>
      </c>
      <c r="J561" t="s">
        <v>15</v>
      </c>
      <c r="K561" t="str">
        <f t="shared" si="8"/>
        <v>25-48 Months</v>
      </c>
      <c r="L561">
        <f>IF(Table13[[#This Row],[Churn]]="Yes",1,0)</f>
        <v>0</v>
      </c>
    </row>
    <row r="562" spans="1:12" x14ac:dyDescent="0.35">
      <c r="A562" t="s">
        <v>584</v>
      </c>
      <c r="B562" t="s">
        <v>17</v>
      </c>
      <c r="C562">
        <v>50</v>
      </c>
      <c r="D562">
        <v>19</v>
      </c>
      <c r="E562" t="s">
        <v>18</v>
      </c>
      <c r="F562" t="s">
        <v>33</v>
      </c>
      <c r="G562" t="s">
        <v>23</v>
      </c>
      <c r="H562">
        <v>112.94</v>
      </c>
      <c r="I562">
        <v>2118.25</v>
      </c>
      <c r="J562" t="s">
        <v>15</v>
      </c>
      <c r="K562" t="str">
        <f t="shared" si="8"/>
        <v>13-24 Months</v>
      </c>
      <c r="L562">
        <f>IF(Table13[[#This Row],[Churn]]="Yes",1,0)</f>
        <v>0</v>
      </c>
    </row>
    <row r="563" spans="1:12" x14ac:dyDescent="0.35">
      <c r="A563" t="s">
        <v>585</v>
      </c>
      <c r="B563" t="s">
        <v>11</v>
      </c>
      <c r="C563">
        <v>66</v>
      </c>
      <c r="D563">
        <v>68</v>
      </c>
      <c r="E563" t="s">
        <v>21</v>
      </c>
      <c r="F563" t="s">
        <v>22</v>
      </c>
      <c r="G563" t="s">
        <v>23</v>
      </c>
      <c r="H563">
        <v>95.27</v>
      </c>
      <c r="I563">
        <v>5997.78</v>
      </c>
      <c r="J563" t="s">
        <v>15</v>
      </c>
      <c r="K563" t="str">
        <f t="shared" si="8"/>
        <v>49+ Months</v>
      </c>
      <c r="L563">
        <f>IF(Table13[[#This Row],[Churn]]="Yes",1,0)</f>
        <v>0</v>
      </c>
    </row>
    <row r="564" spans="1:12" x14ac:dyDescent="0.35">
      <c r="A564" t="s">
        <v>586</v>
      </c>
      <c r="B564" t="s">
        <v>11</v>
      </c>
      <c r="C564">
        <v>46</v>
      </c>
      <c r="D564">
        <v>42</v>
      </c>
      <c r="E564" t="s">
        <v>12</v>
      </c>
      <c r="F564" t="s">
        <v>29</v>
      </c>
      <c r="G564" t="s">
        <v>14</v>
      </c>
      <c r="H564">
        <v>21.9</v>
      </c>
      <c r="I564">
        <v>964.37</v>
      </c>
      <c r="J564" t="s">
        <v>15</v>
      </c>
      <c r="K564" t="str">
        <f t="shared" si="8"/>
        <v>25-48 Months</v>
      </c>
      <c r="L564">
        <f>IF(Table13[[#This Row],[Churn]]="Yes",1,0)</f>
        <v>0</v>
      </c>
    </row>
    <row r="565" spans="1:12" x14ac:dyDescent="0.35">
      <c r="A565" t="s">
        <v>587</v>
      </c>
      <c r="B565" t="s">
        <v>11</v>
      </c>
      <c r="C565">
        <v>60</v>
      </c>
      <c r="D565">
        <v>32</v>
      </c>
      <c r="E565" t="s">
        <v>12</v>
      </c>
      <c r="F565" t="s">
        <v>33</v>
      </c>
      <c r="G565" t="s">
        <v>23</v>
      </c>
      <c r="H565">
        <v>66.849999999999994</v>
      </c>
      <c r="I565">
        <v>2200.4299999999998</v>
      </c>
      <c r="J565" t="s">
        <v>15</v>
      </c>
      <c r="K565" t="str">
        <f t="shared" si="8"/>
        <v>25-48 Months</v>
      </c>
      <c r="L565">
        <f>IF(Table13[[#This Row],[Churn]]="Yes",1,0)</f>
        <v>0</v>
      </c>
    </row>
    <row r="566" spans="1:12" x14ac:dyDescent="0.35">
      <c r="A566" t="s">
        <v>588</v>
      </c>
      <c r="B566" t="s">
        <v>17</v>
      </c>
      <c r="C566">
        <v>39</v>
      </c>
      <c r="D566">
        <v>39</v>
      </c>
      <c r="E566" t="s">
        <v>21</v>
      </c>
      <c r="F566" t="s">
        <v>29</v>
      </c>
      <c r="G566" t="s">
        <v>14</v>
      </c>
      <c r="H566">
        <v>98.63</v>
      </c>
      <c r="I566">
        <v>3704.82</v>
      </c>
      <c r="J566" t="s">
        <v>15</v>
      </c>
      <c r="K566" t="str">
        <f t="shared" si="8"/>
        <v>25-48 Months</v>
      </c>
      <c r="L566">
        <f>IF(Table13[[#This Row],[Churn]]="Yes",1,0)</f>
        <v>0</v>
      </c>
    </row>
    <row r="567" spans="1:12" x14ac:dyDescent="0.35">
      <c r="A567" t="s">
        <v>589</v>
      </c>
      <c r="B567" t="s">
        <v>17</v>
      </c>
      <c r="C567">
        <v>43</v>
      </c>
      <c r="D567">
        <v>36</v>
      </c>
      <c r="E567" t="s">
        <v>12</v>
      </c>
      <c r="F567" t="s">
        <v>29</v>
      </c>
      <c r="G567" t="s">
        <v>14</v>
      </c>
      <c r="H567">
        <v>70.37</v>
      </c>
      <c r="I567">
        <v>2594.89</v>
      </c>
      <c r="J567" t="s">
        <v>15</v>
      </c>
      <c r="K567" t="str">
        <f t="shared" si="8"/>
        <v>25-48 Months</v>
      </c>
      <c r="L567">
        <f>IF(Table13[[#This Row],[Churn]]="Yes",1,0)</f>
        <v>0</v>
      </c>
    </row>
    <row r="568" spans="1:12" x14ac:dyDescent="0.35">
      <c r="A568" t="s">
        <v>590</v>
      </c>
      <c r="B568" t="s">
        <v>17</v>
      </c>
      <c r="C568">
        <v>45</v>
      </c>
      <c r="D568">
        <v>36</v>
      </c>
      <c r="E568" t="s">
        <v>21</v>
      </c>
      <c r="F568" t="s">
        <v>33</v>
      </c>
      <c r="G568" t="s">
        <v>14</v>
      </c>
      <c r="H568">
        <v>132.25</v>
      </c>
      <c r="I568">
        <v>4494.25</v>
      </c>
      <c r="J568" t="s">
        <v>15</v>
      </c>
      <c r="K568" t="str">
        <f t="shared" si="8"/>
        <v>25-48 Months</v>
      </c>
      <c r="L568">
        <f>IF(Table13[[#This Row],[Churn]]="Yes",1,0)</f>
        <v>0</v>
      </c>
    </row>
    <row r="569" spans="1:12" x14ac:dyDescent="0.35">
      <c r="A569" t="s">
        <v>591</v>
      </c>
      <c r="B569" t="s">
        <v>17</v>
      </c>
      <c r="C569">
        <v>67</v>
      </c>
      <c r="D569">
        <v>3</v>
      </c>
      <c r="E569" t="s">
        <v>12</v>
      </c>
      <c r="F569" t="s">
        <v>22</v>
      </c>
      <c r="G569" t="s">
        <v>23</v>
      </c>
      <c r="H569">
        <v>60.14</v>
      </c>
      <c r="I569">
        <v>178.43</v>
      </c>
      <c r="J569" t="s">
        <v>15</v>
      </c>
      <c r="K569" t="str">
        <f t="shared" si="8"/>
        <v>0-12 Months</v>
      </c>
      <c r="L569">
        <f>IF(Table13[[#This Row],[Churn]]="Yes",1,0)</f>
        <v>0</v>
      </c>
    </row>
    <row r="570" spans="1:12" x14ac:dyDescent="0.35">
      <c r="A570" t="s">
        <v>592</v>
      </c>
      <c r="B570" t="s">
        <v>11</v>
      </c>
      <c r="C570">
        <v>38</v>
      </c>
      <c r="D570">
        <v>8</v>
      </c>
      <c r="E570" t="s">
        <v>12</v>
      </c>
      <c r="F570" t="s">
        <v>22</v>
      </c>
      <c r="G570" t="s">
        <v>14</v>
      </c>
      <c r="H570">
        <v>58.16</v>
      </c>
      <c r="I570">
        <v>502.45</v>
      </c>
      <c r="J570" t="s">
        <v>15</v>
      </c>
      <c r="K570" t="str">
        <f t="shared" si="8"/>
        <v>0-12 Months</v>
      </c>
      <c r="L570">
        <f>IF(Table13[[#This Row],[Churn]]="Yes",1,0)</f>
        <v>0</v>
      </c>
    </row>
    <row r="571" spans="1:12" x14ac:dyDescent="0.35">
      <c r="A571" t="s">
        <v>593</v>
      </c>
      <c r="B571" t="s">
        <v>11</v>
      </c>
      <c r="C571">
        <v>66</v>
      </c>
      <c r="D571">
        <v>70</v>
      </c>
      <c r="E571" t="s">
        <v>12</v>
      </c>
      <c r="F571" t="s">
        <v>29</v>
      </c>
      <c r="G571" t="s">
        <v>23</v>
      </c>
      <c r="H571">
        <v>54.58</v>
      </c>
      <c r="I571">
        <v>3540.58</v>
      </c>
      <c r="J571" t="s">
        <v>27</v>
      </c>
      <c r="K571" t="str">
        <f t="shared" si="8"/>
        <v>49+ Months</v>
      </c>
      <c r="L571">
        <f>IF(Table13[[#This Row],[Churn]]="Yes",1,0)</f>
        <v>1</v>
      </c>
    </row>
    <row r="572" spans="1:12" x14ac:dyDescent="0.35">
      <c r="A572" t="s">
        <v>594</v>
      </c>
      <c r="B572" t="s">
        <v>17</v>
      </c>
      <c r="C572">
        <v>24</v>
      </c>
      <c r="D572">
        <v>41</v>
      </c>
      <c r="E572" t="s">
        <v>21</v>
      </c>
      <c r="F572" t="s">
        <v>13</v>
      </c>
      <c r="G572" t="s">
        <v>19</v>
      </c>
      <c r="H572">
        <v>63.26</v>
      </c>
      <c r="I572">
        <v>2534.89</v>
      </c>
      <c r="J572" t="s">
        <v>15</v>
      </c>
      <c r="K572" t="str">
        <f t="shared" si="8"/>
        <v>25-48 Months</v>
      </c>
      <c r="L572">
        <f>IF(Table13[[#This Row],[Churn]]="Yes",1,0)</f>
        <v>0</v>
      </c>
    </row>
    <row r="573" spans="1:12" x14ac:dyDescent="0.35">
      <c r="A573" t="s">
        <v>595</v>
      </c>
      <c r="B573" t="s">
        <v>11</v>
      </c>
      <c r="C573">
        <v>34</v>
      </c>
      <c r="D573">
        <v>68</v>
      </c>
      <c r="E573" t="s">
        <v>21</v>
      </c>
      <c r="F573" t="s">
        <v>22</v>
      </c>
      <c r="G573" t="s">
        <v>14</v>
      </c>
      <c r="H573">
        <v>92.46</v>
      </c>
      <c r="I573">
        <v>6691.1</v>
      </c>
      <c r="J573" t="s">
        <v>15</v>
      </c>
      <c r="K573" t="str">
        <f t="shared" si="8"/>
        <v>49+ Months</v>
      </c>
      <c r="L573">
        <f>IF(Table13[[#This Row],[Churn]]="Yes",1,0)</f>
        <v>0</v>
      </c>
    </row>
    <row r="574" spans="1:12" x14ac:dyDescent="0.35">
      <c r="A574" t="s">
        <v>596</v>
      </c>
      <c r="B574" t="s">
        <v>11</v>
      </c>
      <c r="C574">
        <v>37</v>
      </c>
      <c r="D574">
        <v>13</v>
      </c>
      <c r="E574" t="s">
        <v>21</v>
      </c>
      <c r="F574" t="s">
        <v>29</v>
      </c>
      <c r="G574" t="s">
        <v>14</v>
      </c>
      <c r="H574">
        <v>111.91</v>
      </c>
      <c r="I574">
        <v>1591.44</v>
      </c>
      <c r="J574" t="s">
        <v>15</v>
      </c>
      <c r="K574" t="str">
        <f t="shared" si="8"/>
        <v>13-24 Months</v>
      </c>
      <c r="L574">
        <f>IF(Table13[[#This Row],[Churn]]="Yes",1,0)</f>
        <v>0</v>
      </c>
    </row>
    <row r="575" spans="1:12" x14ac:dyDescent="0.35">
      <c r="A575" t="s">
        <v>597</v>
      </c>
      <c r="B575" t="s">
        <v>17</v>
      </c>
      <c r="C575">
        <v>58</v>
      </c>
      <c r="D575">
        <v>49</v>
      </c>
      <c r="E575" t="s">
        <v>12</v>
      </c>
      <c r="F575" t="s">
        <v>29</v>
      </c>
      <c r="G575" t="s">
        <v>23</v>
      </c>
      <c r="H575">
        <v>106.13</v>
      </c>
      <c r="I575">
        <v>5152.45</v>
      </c>
      <c r="J575" t="s">
        <v>27</v>
      </c>
      <c r="K575" t="str">
        <f t="shared" si="8"/>
        <v>49+ Months</v>
      </c>
      <c r="L575">
        <f>IF(Table13[[#This Row],[Churn]]="Yes",1,0)</f>
        <v>1</v>
      </c>
    </row>
    <row r="576" spans="1:12" x14ac:dyDescent="0.35">
      <c r="A576" t="s">
        <v>598</v>
      </c>
      <c r="B576" t="s">
        <v>11</v>
      </c>
      <c r="C576">
        <v>66</v>
      </c>
      <c r="D576">
        <v>60</v>
      </c>
      <c r="E576" t="s">
        <v>12</v>
      </c>
      <c r="F576" t="s">
        <v>29</v>
      </c>
      <c r="G576" t="s">
        <v>23</v>
      </c>
      <c r="H576">
        <v>125</v>
      </c>
      <c r="I576">
        <v>7510.5</v>
      </c>
      <c r="J576" t="s">
        <v>27</v>
      </c>
      <c r="K576" t="str">
        <f t="shared" si="8"/>
        <v>49+ Months</v>
      </c>
      <c r="L576">
        <f>IF(Table13[[#This Row],[Churn]]="Yes",1,0)</f>
        <v>1</v>
      </c>
    </row>
    <row r="577" spans="1:12" x14ac:dyDescent="0.35">
      <c r="A577" t="s">
        <v>599</v>
      </c>
      <c r="B577" t="s">
        <v>17</v>
      </c>
      <c r="C577">
        <v>37</v>
      </c>
      <c r="D577">
        <v>2</v>
      </c>
      <c r="E577" t="s">
        <v>18</v>
      </c>
      <c r="F577" t="s">
        <v>29</v>
      </c>
      <c r="G577" t="s">
        <v>14</v>
      </c>
      <c r="H577">
        <v>135.16999999999999</v>
      </c>
      <c r="I577">
        <v>274.24</v>
      </c>
      <c r="J577" t="s">
        <v>15</v>
      </c>
      <c r="K577" t="str">
        <f t="shared" si="8"/>
        <v>0-12 Months</v>
      </c>
      <c r="L577">
        <f>IF(Table13[[#This Row],[Churn]]="Yes",1,0)</f>
        <v>0</v>
      </c>
    </row>
    <row r="578" spans="1:12" x14ac:dyDescent="0.35">
      <c r="A578" t="s">
        <v>600</v>
      </c>
      <c r="B578" t="s">
        <v>11</v>
      </c>
      <c r="C578">
        <v>39</v>
      </c>
      <c r="D578">
        <v>60</v>
      </c>
      <c r="E578" t="s">
        <v>21</v>
      </c>
      <c r="F578" t="s">
        <v>33</v>
      </c>
      <c r="G578" t="s">
        <v>14</v>
      </c>
      <c r="H578">
        <v>126.09</v>
      </c>
      <c r="I578">
        <v>8219.58</v>
      </c>
      <c r="J578" t="s">
        <v>27</v>
      </c>
      <c r="K578" t="str">
        <f t="shared" ref="K578:K641" si="9">IF(D578&lt;=12,"0-12 Months",IF(D578&lt;=24,"13-24 Months",IF(D578&lt;=48,"25-48 Months","49+ Months")))</f>
        <v>49+ Months</v>
      </c>
      <c r="L578">
        <f>IF(Table13[[#This Row],[Churn]]="Yes",1,0)</f>
        <v>1</v>
      </c>
    </row>
    <row r="579" spans="1:12" x14ac:dyDescent="0.35">
      <c r="A579" t="s">
        <v>601</v>
      </c>
      <c r="B579" t="s">
        <v>17</v>
      </c>
      <c r="C579">
        <v>45</v>
      </c>
      <c r="D579">
        <v>5</v>
      </c>
      <c r="E579" t="s">
        <v>12</v>
      </c>
      <c r="F579" t="s">
        <v>13</v>
      </c>
      <c r="G579" t="s">
        <v>14</v>
      </c>
      <c r="H579">
        <v>22.46</v>
      </c>
      <c r="I579">
        <v>120.35</v>
      </c>
      <c r="J579" t="s">
        <v>27</v>
      </c>
      <c r="K579" t="str">
        <f t="shared" si="9"/>
        <v>0-12 Months</v>
      </c>
      <c r="L579">
        <f>IF(Table13[[#This Row],[Churn]]="Yes",1,0)</f>
        <v>1</v>
      </c>
    </row>
    <row r="580" spans="1:12" x14ac:dyDescent="0.35">
      <c r="A580" t="s">
        <v>602</v>
      </c>
      <c r="B580" t="s">
        <v>17</v>
      </c>
      <c r="C580">
        <v>57</v>
      </c>
      <c r="D580">
        <v>44</v>
      </c>
      <c r="E580" t="s">
        <v>18</v>
      </c>
      <c r="F580" t="s">
        <v>33</v>
      </c>
      <c r="G580" t="s">
        <v>23</v>
      </c>
      <c r="H580">
        <v>115.67</v>
      </c>
      <c r="I580">
        <v>4754.1899999999996</v>
      </c>
      <c r="J580" t="s">
        <v>15</v>
      </c>
      <c r="K580" t="str">
        <f t="shared" si="9"/>
        <v>25-48 Months</v>
      </c>
      <c r="L580">
        <f>IF(Table13[[#This Row],[Churn]]="Yes",1,0)</f>
        <v>0</v>
      </c>
    </row>
    <row r="581" spans="1:12" x14ac:dyDescent="0.35">
      <c r="A581" t="s">
        <v>603</v>
      </c>
      <c r="B581" t="s">
        <v>17</v>
      </c>
      <c r="C581">
        <v>66</v>
      </c>
      <c r="D581">
        <v>27</v>
      </c>
      <c r="E581" t="s">
        <v>12</v>
      </c>
      <c r="F581" t="s">
        <v>13</v>
      </c>
      <c r="G581" t="s">
        <v>23</v>
      </c>
      <c r="H581">
        <v>47.09</v>
      </c>
      <c r="I581">
        <v>1255.3499999999999</v>
      </c>
      <c r="J581" t="s">
        <v>15</v>
      </c>
      <c r="K581" t="str">
        <f t="shared" si="9"/>
        <v>25-48 Months</v>
      </c>
      <c r="L581">
        <f>IF(Table13[[#This Row],[Churn]]="Yes",1,0)</f>
        <v>0</v>
      </c>
    </row>
    <row r="582" spans="1:12" x14ac:dyDescent="0.35">
      <c r="A582" t="s">
        <v>604</v>
      </c>
      <c r="B582" t="s">
        <v>17</v>
      </c>
      <c r="C582">
        <v>24</v>
      </c>
      <c r="D582">
        <v>32</v>
      </c>
      <c r="E582" t="s">
        <v>12</v>
      </c>
      <c r="F582" t="s">
        <v>22</v>
      </c>
      <c r="G582" t="s">
        <v>19</v>
      </c>
      <c r="H582">
        <v>83.07</v>
      </c>
      <c r="I582">
        <v>1184.3699999999999</v>
      </c>
      <c r="J582" t="s">
        <v>15</v>
      </c>
      <c r="K582" t="str">
        <f t="shared" si="9"/>
        <v>25-48 Months</v>
      </c>
      <c r="L582">
        <f>IF(Table13[[#This Row],[Churn]]="Yes",1,0)</f>
        <v>0</v>
      </c>
    </row>
    <row r="583" spans="1:12" x14ac:dyDescent="0.35">
      <c r="A583" t="s">
        <v>605</v>
      </c>
      <c r="B583" t="s">
        <v>11</v>
      </c>
      <c r="C583">
        <v>18</v>
      </c>
      <c r="D583">
        <v>21</v>
      </c>
      <c r="E583" t="s">
        <v>12</v>
      </c>
      <c r="F583" t="s">
        <v>29</v>
      </c>
      <c r="G583" t="s">
        <v>19</v>
      </c>
      <c r="H583">
        <v>103</v>
      </c>
      <c r="I583">
        <v>2288.06</v>
      </c>
      <c r="J583" t="s">
        <v>15</v>
      </c>
      <c r="K583" t="str">
        <f t="shared" si="9"/>
        <v>13-24 Months</v>
      </c>
      <c r="L583">
        <f>IF(Table13[[#This Row],[Churn]]="Yes",1,0)</f>
        <v>0</v>
      </c>
    </row>
    <row r="584" spans="1:12" x14ac:dyDescent="0.35">
      <c r="A584" t="s">
        <v>606</v>
      </c>
      <c r="B584" t="s">
        <v>17</v>
      </c>
      <c r="C584">
        <v>49</v>
      </c>
      <c r="D584">
        <v>8</v>
      </c>
      <c r="E584" t="s">
        <v>21</v>
      </c>
      <c r="F584" t="s">
        <v>13</v>
      </c>
      <c r="G584" t="s">
        <v>14</v>
      </c>
      <c r="H584">
        <v>61.57</v>
      </c>
      <c r="I584">
        <v>502.7</v>
      </c>
      <c r="J584" t="s">
        <v>15</v>
      </c>
      <c r="K584" t="str">
        <f t="shared" si="9"/>
        <v>0-12 Months</v>
      </c>
      <c r="L584">
        <f>IF(Table13[[#This Row],[Churn]]="Yes",1,0)</f>
        <v>0</v>
      </c>
    </row>
    <row r="585" spans="1:12" x14ac:dyDescent="0.35">
      <c r="A585" t="s">
        <v>607</v>
      </c>
      <c r="B585" t="s">
        <v>17</v>
      </c>
      <c r="C585">
        <v>30</v>
      </c>
      <c r="D585">
        <v>72</v>
      </c>
      <c r="E585" t="s">
        <v>21</v>
      </c>
      <c r="F585" t="s">
        <v>29</v>
      </c>
      <c r="G585" t="s">
        <v>14</v>
      </c>
      <c r="H585">
        <v>27.43</v>
      </c>
      <c r="I585">
        <v>2035.88</v>
      </c>
      <c r="J585" t="s">
        <v>15</v>
      </c>
      <c r="K585" t="str">
        <f t="shared" si="9"/>
        <v>49+ Months</v>
      </c>
      <c r="L585">
        <f>IF(Table13[[#This Row],[Churn]]="Yes",1,0)</f>
        <v>0</v>
      </c>
    </row>
    <row r="586" spans="1:12" x14ac:dyDescent="0.35">
      <c r="A586" t="s">
        <v>608</v>
      </c>
      <c r="B586" t="s">
        <v>17</v>
      </c>
      <c r="C586">
        <v>47</v>
      </c>
      <c r="D586">
        <v>50</v>
      </c>
      <c r="E586" t="s">
        <v>12</v>
      </c>
      <c r="F586" t="s">
        <v>29</v>
      </c>
      <c r="G586" t="s">
        <v>14</v>
      </c>
      <c r="H586">
        <v>37.89</v>
      </c>
      <c r="I586">
        <v>2083.27</v>
      </c>
      <c r="J586" t="s">
        <v>15</v>
      </c>
      <c r="K586" t="str">
        <f t="shared" si="9"/>
        <v>49+ Months</v>
      </c>
      <c r="L586">
        <f>IF(Table13[[#This Row],[Churn]]="Yes",1,0)</f>
        <v>0</v>
      </c>
    </row>
    <row r="587" spans="1:12" x14ac:dyDescent="0.35">
      <c r="A587" t="s">
        <v>609</v>
      </c>
      <c r="B587" t="s">
        <v>11</v>
      </c>
      <c r="C587">
        <v>40</v>
      </c>
      <c r="D587">
        <v>67</v>
      </c>
      <c r="E587" t="s">
        <v>18</v>
      </c>
      <c r="F587" t="s">
        <v>13</v>
      </c>
      <c r="G587" t="s">
        <v>14</v>
      </c>
      <c r="H587">
        <v>20.12</v>
      </c>
      <c r="I587">
        <v>1233.45</v>
      </c>
      <c r="J587" t="s">
        <v>15</v>
      </c>
      <c r="K587" t="str">
        <f t="shared" si="9"/>
        <v>49+ Months</v>
      </c>
      <c r="L587">
        <f>IF(Table13[[#This Row],[Churn]]="Yes",1,0)</f>
        <v>0</v>
      </c>
    </row>
    <row r="588" spans="1:12" x14ac:dyDescent="0.35">
      <c r="A588" t="s">
        <v>610</v>
      </c>
      <c r="B588" t="s">
        <v>17</v>
      </c>
      <c r="C588">
        <v>68</v>
      </c>
      <c r="D588">
        <v>44</v>
      </c>
      <c r="E588" t="s">
        <v>12</v>
      </c>
      <c r="F588" t="s">
        <v>33</v>
      </c>
      <c r="G588" t="s">
        <v>23</v>
      </c>
      <c r="H588">
        <v>137.41999999999999</v>
      </c>
      <c r="I588">
        <v>5711.52</v>
      </c>
      <c r="J588" t="s">
        <v>15</v>
      </c>
      <c r="K588" t="str">
        <f t="shared" si="9"/>
        <v>25-48 Months</v>
      </c>
      <c r="L588">
        <f>IF(Table13[[#This Row],[Churn]]="Yes",1,0)</f>
        <v>0</v>
      </c>
    </row>
    <row r="589" spans="1:12" x14ac:dyDescent="0.35">
      <c r="A589" t="s">
        <v>611</v>
      </c>
      <c r="B589" t="s">
        <v>11</v>
      </c>
      <c r="C589">
        <v>36</v>
      </c>
      <c r="D589">
        <v>58</v>
      </c>
      <c r="E589" t="s">
        <v>12</v>
      </c>
      <c r="F589" t="s">
        <v>22</v>
      </c>
      <c r="G589" t="s">
        <v>14</v>
      </c>
      <c r="H589">
        <v>23.2</v>
      </c>
      <c r="I589">
        <v>1320.81</v>
      </c>
      <c r="J589" t="s">
        <v>15</v>
      </c>
      <c r="K589" t="str">
        <f t="shared" si="9"/>
        <v>49+ Months</v>
      </c>
      <c r="L589">
        <f>IF(Table13[[#This Row],[Churn]]="Yes",1,0)</f>
        <v>0</v>
      </c>
    </row>
    <row r="590" spans="1:12" x14ac:dyDescent="0.35">
      <c r="A590" t="s">
        <v>612</v>
      </c>
      <c r="B590" t="s">
        <v>17</v>
      </c>
      <c r="C590">
        <v>49</v>
      </c>
      <c r="D590">
        <v>3</v>
      </c>
      <c r="E590" t="s">
        <v>12</v>
      </c>
      <c r="F590" t="s">
        <v>29</v>
      </c>
      <c r="G590" t="s">
        <v>14</v>
      </c>
      <c r="H590">
        <v>47.23</v>
      </c>
      <c r="I590">
        <v>137.38</v>
      </c>
      <c r="J590" t="s">
        <v>15</v>
      </c>
      <c r="K590" t="str">
        <f t="shared" si="9"/>
        <v>0-12 Months</v>
      </c>
      <c r="L590">
        <f>IF(Table13[[#This Row],[Churn]]="Yes",1,0)</f>
        <v>0</v>
      </c>
    </row>
    <row r="591" spans="1:12" x14ac:dyDescent="0.35">
      <c r="A591" t="s">
        <v>613</v>
      </c>
      <c r="B591" t="s">
        <v>11</v>
      </c>
      <c r="C591">
        <v>47</v>
      </c>
      <c r="D591">
        <v>70</v>
      </c>
      <c r="E591" t="s">
        <v>12</v>
      </c>
      <c r="F591" t="s">
        <v>29</v>
      </c>
      <c r="G591" t="s">
        <v>14</v>
      </c>
      <c r="H591">
        <v>74.11</v>
      </c>
      <c r="I591">
        <v>4691.3900000000003</v>
      </c>
      <c r="J591" t="s">
        <v>15</v>
      </c>
      <c r="K591" t="str">
        <f t="shared" si="9"/>
        <v>49+ Months</v>
      </c>
      <c r="L591">
        <f>IF(Table13[[#This Row],[Churn]]="Yes",1,0)</f>
        <v>0</v>
      </c>
    </row>
    <row r="592" spans="1:12" x14ac:dyDescent="0.35">
      <c r="A592" t="s">
        <v>614</v>
      </c>
      <c r="B592" t="s">
        <v>11</v>
      </c>
      <c r="C592">
        <v>46</v>
      </c>
      <c r="D592">
        <v>2</v>
      </c>
      <c r="E592" t="s">
        <v>12</v>
      </c>
      <c r="F592" t="s">
        <v>29</v>
      </c>
      <c r="G592" t="s">
        <v>14</v>
      </c>
      <c r="H592">
        <v>66.349999999999994</v>
      </c>
      <c r="I592">
        <v>121.87</v>
      </c>
      <c r="J592" t="s">
        <v>27</v>
      </c>
      <c r="K592" t="str">
        <f t="shared" si="9"/>
        <v>0-12 Months</v>
      </c>
      <c r="L592">
        <f>IF(Table13[[#This Row],[Churn]]="Yes",1,0)</f>
        <v>1</v>
      </c>
    </row>
    <row r="593" spans="1:12" x14ac:dyDescent="0.35">
      <c r="A593" t="s">
        <v>615</v>
      </c>
      <c r="B593" t="s">
        <v>17</v>
      </c>
      <c r="C593">
        <v>66</v>
      </c>
      <c r="D593">
        <v>44</v>
      </c>
      <c r="E593" t="s">
        <v>21</v>
      </c>
      <c r="F593" t="s">
        <v>13</v>
      </c>
      <c r="G593" t="s">
        <v>23</v>
      </c>
      <c r="H593">
        <v>138.52000000000001</v>
      </c>
      <c r="I593">
        <v>6315.46</v>
      </c>
      <c r="J593" t="s">
        <v>27</v>
      </c>
      <c r="K593" t="str">
        <f t="shared" si="9"/>
        <v>25-48 Months</v>
      </c>
      <c r="L593">
        <f>IF(Table13[[#This Row],[Churn]]="Yes",1,0)</f>
        <v>1</v>
      </c>
    </row>
    <row r="594" spans="1:12" x14ac:dyDescent="0.35">
      <c r="A594" t="s">
        <v>616</v>
      </c>
      <c r="B594" t="s">
        <v>11</v>
      </c>
      <c r="C594">
        <v>62</v>
      </c>
      <c r="D594">
        <v>2</v>
      </c>
      <c r="E594" t="s">
        <v>18</v>
      </c>
      <c r="F594" t="s">
        <v>22</v>
      </c>
      <c r="G594" t="s">
        <v>23</v>
      </c>
      <c r="H594">
        <v>25.24</v>
      </c>
      <c r="I594">
        <v>54.31</v>
      </c>
      <c r="J594" t="s">
        <v>15</v>
      </c>
      <c r="K594" t="str">
        <f t="shared" si="9"/>
        <v>0-12 Months</v>
      </c>
      <c r="L594">
        <f>IF(Table13[[#This Row],[Churn]]="Yes",1,0)</f>
        <v>0</v>
      </c>
    </row>
    <row r="595" spans="1:12" x14ac:dyDescent="0.35">
      <c r="A595" t="s">
        <v>617</v>
      </c>
      <c r="B595" t="s">
        <v>17</v>
      </c>
      <c r="C595">
        <v>46</v>
      </c>
      <c r="D595">
        <v>35</v>
      </c>
      <c r="E595" t="s">
        <v>12</v>
      </c>
      <c r="F595" t="s">
        <v>33</v>
      </c>
      <c r="G595" t="s">
        <v>14</v>
      </c>
      <c r="H595">
        <v>86.59</v>
      </c>
      <c r="I595">
        <v>3039.27</v>
      </c>
      <c r="J595" t="s">
        <v>15</v>
      </c>
      <c r="K595" t="str">
        <f t="shared" si="9"/>
        <v>25-48 Months</v>
      </c>
      <c r="L595">
        <f>IF(Table13[[#This Row],[Churn]]="Yes",1,0)</f>
        <v>0</v>
      </c>
    </row>
    <row r="596" spans="1:12" x14ac:dyDescent="0.35">
      <c r="A596" t="s">
        <v>618</v>
      </c>
      <c r="B596" t="s">
        <v>17</v>
      </c>
      <c r="C596">
        <v>47</v>
      </c>
      <c r="D596">
        <v>30</v>
      </c>
      <c r="E596" t="s">
        <v>12</v>
      </c>
      <c r="F596" t="s">
        <v>29</v>
      </c>
      <c r="G596" t="s">
        <v>14</v>
      </c>
      <c r="H596">
        <v>108.46</v>
      </c>
      <c r="I596">
        <v>3279.3</v>
      </c>
      <c r="J596" t="s">
        <v>15</v>
      </c>
      <c r="K596" t="str">
        <f t="shared" si="9"/>
        <v>25-48 Months</v>
      </c>
      <c r="L596">
        <f>IF(Table13[[#This Row],[Churn]]="Yes",1,0)</f>
        <v>0</v>
      </c>
    </row>
    <row r="597" spans="1:12" x14ac:dyDescent="0.35">
      <c r="A597" t="s">
        <v>619</v>
      </c>
      <c r="B597" t="s">
        <v>17</v>
      </c>
      <c r="C597">
        <v>33</v>
      </c>
      <c r="D597">
        <v>8</v>
      </c>
      <c r="E597" t="s">
        <v>12</v>
      </c>
      <c r="F597" t="s">
        <v>13</v>
      </c>
      <c r="G597" t="s">
        <v>14</v>
      </c>
      <c r="H597">
        <v>141.12</v>
      </c>
      <c r="I597">
        <v>1073.6600000000001</v>
      </c>
      <c r="J597" t="s">
        <v>27</v>
      </c>
      <c r="K597" t="str">
        <f t="shared" si="9"/>
        <v>0-12 Months</v>
      </c>
      <c r="L597">
        <f>IF(Table13[[#This Row],[Churn]]="Yes",1,0)</f>
        <v>1</v>
      </c>
    </row>
    <row r="598" spans="1:12" x14ac:dyDescent="0.35">
      <c r="A598" t="s">
        <v>620</v>
      </c>
      <c r="B598" t="s">
        <v>11</v>
      </c>
      <c r="C598">
        <v>57</v>
      </c>
      <c r="D598">
        <v>22</v>
      </c>
      <c r="E598" t="s">
        <v>12</v>
      </c>
      <c r="F598" t="s">
        <v>13</v>
      </c>
      <c r="G598" t="s">
        <v>23</v>
      </c>
      <c r="H598">
        <v>100.65</v>
      </c>
      <c r="I598">
        <v>2332.9299999999998</v>
      </c>
      <c r="J598" t="s">
        <v>15</v>
      </c>
      <c r="K598" t="str">
        <f t="shared" si="9"/>
        <v>13-24 Months</v>
      </c>
      <c r="L598">
        <f>IF(Table13[[#This Row],[Churn]]="Yes",1,0)</f>
        <v>0</v>
      </c>
    </row>
    <row r="599" spans="1:12" x14ac:dyDescent="0.35">
      <c r="A599" t="s">
        <v>621</v>
      </c>
      <c r="B599" t="s">
        <v>11</v>
      </c>
      <c r="C599">
        <v>36</v>
      </c>
      <c r="D599">
        <v>44</v>
      </c>
      <c r="E599" t="s">
        <v>12</v>
      </c>
      <c r="F599" t="s">
        <v>22</v>
      </c>
      <c r="G599" t="s">
        <v>14</v>
      </c>
      <c r="H599">
        <v>124.49</v>
      </c>
      <c r="I599">
        <v>5753.4</v>
      </c>
      <c r="J599" t="s">
        <v>15</v>
      </c>
      <c r="K599" t="str">
        <f t="shared" si="9"/>
        <v>25-48 Months</v>
      </c>
      <c r="L599">
        <f>IF(Table13[[#This Row],[Churn]]="Yes",1,0)</f>
        <v>0</v>
      </c>
    </row>
    <row r="600" spans="1:12" x14ac:dyDescent="0.35">
      <c r="A600" t="s">
        <v>622</v>
      </c>
      <c r="B600" t="s">
        <v>17</v>
      </c>
      <c r="C600">
        <v>35</v>
      </c>
      <c r="D600">
        <v>58</v>
      </c>
      <c r="E600" t="s">
        <v>21</v>
      </c>
      <c r="F600" t="s">
        <v>13</v>
      </c>
      <c r="G600" t="s">
        <v>14</v>
      </c>
      <c r="H600">
        <v>30.88</v>
      </c>
      <c r="I600">
        <v>1822.69</v>
      </c>
      <c r="J600" t="s">
        <v>15</v>
      </c>
      <c r="K600" t="str">
        <f t="shared" si="9"/>
        <v>49+ Months</v>
      </c>
      <c r="L600">
        <f>IF(Table13[[#This Row],[Churn]]="Yes",1,0)</f>
        <v>0</v>
      </c>
    </row>
    <row r="601" spans="1:12" x14ac:dyDescent="0.35">
      <c r="A601" t="s">
        <v>623</v>
      </c>
      <c r="B601" t="s">
        <v>17</v>
      </c>
      <c r="C601">
        <v>18</v>
      </c>
      <c r="D601">
        <v>36</v>
      </c>
      <c r="E601" t="s">
        <v>12</v>
      </c>
      <c r="F601" t="s">
        <v>22</v>
      </c>
      <c r="G601" t="s">
        <v>19</v>
      </c>
      <c r="H601">
        <v>70.17</v>
      </c>
      <c r="I601">
        <v>2380.9499999999998</v>
      </c>
      <c r="J601" t="s">
        <v>15</v>
      </c>
      <c r="K601" t="str">
        <f t="shared" si="9"/>
        <v>25-48 Months</v>
      </c>
      <c r="L601">
        <f>IF(Table13[[#This Row],[Churn]]="Yes",1,0)</f>
        <v>0</v>
      </c>
    </row>
    <row r="602" spans="1:12" x14ac:dyDescent="0.35">
      <c r="A602" t="s">
        <v>624</v>
      </c>
      <c r="B602" t="s">
        <v>11</v>
      </c>
      <c r="C602">
        <v>31</v>
      </c>
      <c r="D602">
        <v>69</v>
      </c>
      <c r="E602" t="s">
        <v>21</v>
      </c>
      <c r="F602" t="s">
        <v>22</v>
      </c>
      <c r="G602" t="s">
        <v>14</v>
      </c>
      <c r="H602">
        <v>68.61</v>
      </c>
      <c r="I602">
        <v>4352.54</v>
      </c>
      <c r="J602" t="s">
        <v>15</v>
      </c>
      <c r="K602" t="str">
        <f t="shared" si="9"/>
        <v>49+ Months</v>
      </c>
      <c r="L602">
        <f>IF(Table13[[#This Row],[Churn]]="Yes",1,0)</f>
        <v>0</v>
      </c>
    </row>
    <row r="603" spans="1:12" x14ac:dyDescent="0.35">
      <c r="A603" t="s">
        <v>625</v>
      </c>
      <c r="B603" t="s">
        <v>17</v>
      </c>
      <c r="C603">
        <v>68</v>
      </c>
      <c r="D603">
        <v>31</v>
      </c>
      <c r="E603" t="s">
        <v>18</v>
      </c>
      <c r="F603" t="s">
        <v>29</v>
      </c>
      <c r="G603" t="s">
        <v>23</v>
      </c>
      <c r="H603">
        <v>135.22</v>
      </c>
      <c r="I603">
        <v>3826.49</v>
      </c>
      <c r="J603" t="s">
        <v>15</v>
      </c>
      <c r="K603" t="str">
        <f t="shared" si="9"/>
        <v>25-48 Months</v>
      </c>
      <c r="L603">
        <f>IF(Table13[[#This Row],[Churn]]="Yes",1,0)</f>
        <v>0</v>
      </c>
    </row>
    <row r="604" spans="1:12" x14ac:dyDescent="0.35">
      <c r="A604" t="s">
        <v>626</v>
      </c>
      <c r="B604" t="s">
        <v>17</v>
      </c>
      <c r="C604">
        <v>64</v>
      </c>
      <c r="D604">
        <v>47</v>
      </c>
      <c r="E604" t="s">
        <v>12</v>
      </c>
      <c r="F604" t="s">
        <v>22</v>
      </c>
      <c r="G604" t="s">
        <v>23</v>
      </c>
      <c r="H604">
        <v>39.68</v>
      </c>
      <c r="I604">
        <v>1899.53</v>
      </c>
      <c r="J604" t="s">
        <v>15</v>
      </c>
      <c r="K604" t="str">
        <f t="shared" si="9"/>
        <v>25-48 Months</v>
      </c>
      <c r="L604">
        <f>IF(Table13[[#This Row],[Churn]]="Yes",1,0)</f>
        <v>0</v>
      </c>
    </row>
    <row r="605" spans="1:12" x14ac:dyDescent="0.35">
      <c r="A605" t="s">
        <v>627</v>
      </c>
      <c r="B605" t="s">
        <v>17</v>
      </c>
      <c r="C605">
        <v>67</v>
      </c>
      <c r="D605">
        <v>55</v>
      </c>
      <c r="E605" t="s">
        <v>18</v>
      </c>
      <c r="F605" t="s">
        <v>29</v>
      </c>
      <c r="G605" t="s">
        <v>23</v>
      </c>
      <c r="H605">
        <v>39.75</v>
      </c>
      <c r="I605">
        <v>2328.37</v>
      </c>
      <c r="J605" t="s">
        <v>15</v>
      </c>
      <c r="K605" t="str">
        <f t="shared" si="9"/>
        <v>49+ Months</v>
      </c>
      <c r="L605">
        <f>IF(Table13[[#This Row],[Churn]]="Yes",1,0)</f>
        <v>0</v>
      </c>
    </row>
    <row r="606" spans="1:12" x14ac:dyDescent="0.35">
      <c r="A606" t="s">
        <v>628</v>
      </c>
      <c r="B606" t="s">
        <v>11</v>
      </c>
      <c r="C606">
        <v>19</v>
      </c>
      <c r="D606">
        <v>62</v>
      </c>
      <c r="E606" t="s">
        <v>21</v>
      </c>
      <c r="F606" t="s">
        <v>22</v>
      </c>
      <c r="G606" t="s">
        <v>19</v>
      </c>
      <c r="H606">
        <v>62.71</v>
      </c>
      <c r="I606">
        <v>4166.66</v>
      </c>
      <c r="J606" t="s">
        <v>15</v>
      </c>
      <c r="K606" t="str">
        <f t="shared" si="9"/>
        <v>49+ Months</v>
      </c>
      <c r="L606">
        <f>IF(Table13[[#This Row],[Churn]]="Yes",1,0)</f>
        <v>0</v>
      </c>
    </row>
    <row r="607" spans="1:12" x14ac:dyDescent="0.35">
      <c r="A607" t="s">
        <v>629</v>
      </c>
      <c r="B607" t="s">
        <v>11</v>
      </c>
      <c r="C607">
        <v>45</v>
      </c>
      <c r="D607">
        <v>30</v>
      </c>
      <c r="E607" t="s">
        <v>21</v>
      </c>
      <c r="F607" t="s">
        <v>13</v>
      </c>
      <c r="G607" t="s">
        <v>14</v>
      </c>
      <c r="H607">
        <v>27.08</v>
      </c>
      <c r="I607">
        <v>806.49</v>
      </c>
      <c r="J607" t="s">
        <v>15</v>
      </c>
      <c r="K607" t="str">
        <f t="shared" si="9"/>
        <v>25-48 Months</v>
      </c>
      <c r="L607">
        <f>IF(Table13[[#This Row],[Churn]]="Yes",1,0)</f>
        <v>0</v>
      </c>
    </row>
    <row r="608" spans="1:12" x14ac:dyDescent="0.35">
      <c r="A608" t="s">
        <v>630</v>
      </c>
      <c r="B608" t="s">
        <v>11</v>
      </c>
      <c r="C608">
        <v>66</v>
      </c>
      <c r="D608">
        <v>55</v>
      </c>
      <c r="E608" t="s">
        <v>12</v>
      </c>
      <c r="F608" t="s">
        <v>13</v>
      </c>
      <c r="G608" t="s">
        <v>23</v>
      </c>
      <c r="H608">
        <v>43.72</v>
      </c>
      <c r="I608">
        <v>2541.31</v>
      </c>
      <c r="J608" t="s">
        <v>15</v>
      </c>
      <c r="K608" t="str">
        <f t="shared" si="9"/>
        <v>49+ Months</v>
      </c>
      <c r="L608">
        <f>IF(Table13[[#This Row],[Churn]]="Yes",1,0)</f>
        <v>0</v>
      </c>
    </row>
    <row r="609" spans="1:12" x14ac:dyDescent="0.35">
      <c r="A609" t="s">
        <v>631</v>
      </c>
      <c r="B609" t="s">
        <v>17</v>
      </c>
      <c r="C609">
        <v>67</v>
      </c>
      <c r="D609">
        <v>16</v>
      </c>
      <c r="E609" t="s">
        <v>12</v>
      </c>
      <c r="F609" t="s">
        <v>33</v>
      </c>
      <c r="G609" t="s">
        <v>23</v>
      </c>
      <c r="H609">
        <v>145.47999999999999</v>
      </c>
      <c r="I609">
        <v>2535.7199999999998</v>
      </c>
      <c r="J609" t="s">
        <v>27</v>
      </c>
      <c r="K609" t="str">
        <f t="shared" si="9"/>
        <v>13-24 Months</v>
      </c>
      <c r="L609">
        <f>IF(Table13[[#This Row],[Churn]]="Yes",1,0)</f>
        <v>1</v>
      </c>
    </row>
    <row r="610" spans="1:12" x14ac:dyDescent="0.35">
      <c r="A610" t="s">
        <v>632</v>
      </c>
      <c r="B610" t="s">
        <v>17</v>
      </c>
      <c r="C610">
        <v>47</v>
      </c>
      <c r="D610">
        <v>12</v>
      </c>
      <c r="E610" t="s">
        <v>12</v>
      </c>
      <c r="F610" t="s">
        <v>33</v>
      </c>
      <c r="G610" t="s">
        <v>14</v>
      </c>
      <c r="H610">
        <v>75.66</v>
      </c>
      <c r="I610">
        <v>867.09</v>
      </c>
      <c r="J610" t="s">
        <v>27</v>
      </c>
      <c r="K610" t="str">
        <f t="shared" si="9"/>
        <v>0-12 Months</v>
      </c>
      <c r="L610">
        <f>IF(Table13[[#This Row],[Churn]]="Yes",1,0)</f>
        <v>1</v>
      </c>
    </row>
    <row r="611" spans="1:12" x14ac:dyDescent="0.35">
      <c r="A611" t="s">
        <v>633</v>
      </c>
      <c r="B611" t="s">
        <v>17</v>
      </c>
      <c r="C611">
        <v>55</v>
      </c>
      <c r="D611">
        <v>17</v>
      </c>
      <c r="E611" t="s">
        <v>12</v>
      </c>
      <c r="F611" t="s">
        <v>33</v>
      </c>
      <c r="G611" t="s">
        <v>23</v>
      </c>
      <c r="H611">
        <v>102.16</v>
      </c>
      <c r="I611">
        <v>1701.28</v>
      </c>
      <c r="J611" t="s">
        <v>27</v>
      </c>
      <c r="K611" t="str">
        <f t="shared" si="9"/>
        <v>13-24 Months</v>
      </c>
      <c r="L611">
        <f>IF(Table13[[#This Row],[Churn]]="Yes",1,0)</f>
        <v>1</v>
      </c>
    </row>
    <row r="612" spans="1:12" x14ac:dyDescent="0.35">
      <c r="A612" t="s">
        <v>634</v>
      </c>
      <c r="B612" t="s">
        <v>11</v>
      </c>
      <c r="C612">
        <v>68</v>
      </c>
      <c r="D612">
        <v>16</v>
      </c>
      <c r="E612" t="s">
        <v>12</v>
      </c>
      <c r="F612" t="s">
        <v>13</v>
      </c>
      <c r="G612" t="s">
        <v>23</v>
      </c>
      <c r="H612">
        <v>114.39</v>
      </c>
      <c r="I612">
        <v>1988.18</v>
      </c>
      <c r="J612" t="s">
        <v>15</v>
      </c>
      <c r="K612" t="str">
        <f t="shared" si="9"/>
        <v>13-24 Months</v>
      </c>
      <c r="L612">
        <f>IF(Table13[[#This Row],[Churn]]="Yes",1,0)</f>
        <v>0</v>
      </c>
    </row>
    <row r="613" spans="1:12" x14ac:dyDescent="0.35">
      <c r="A613" t="s">
        <v>635</v>
      </c>
      <c r="B613" t="s">
        <v>17</v>
      </c>
      <c r="C613">
        <v>21</v>
      </c>
      <c r="D613">
        <v>12</v>
      </c>
      <c r="E613" t="s">
        <v>21</v>
      </c>
      <c r="F613" t="s">
        <v>22</v>
      </c>
      <c r="G613" t="s">
        <v>19</v>
      </c>
      <c r="H613">
        <v>67.7</v>
      </c>
      <c r="I613">
        <v>786.12</v>
      </c>
      <c r="J613" t="s">
        <v>15</v>
      </c>
      <c r="K613" t="str">
        <f t="shared" si="9"/>
        <v>0-12 Months</v>
      </c>
      <c r="L613">
        <f>IF(Table13[[#This Row],[Churn]]="Yes",1,0)</f>
        <v>0</v>
      </c>
    </row>
    <row r="614" spans="1:12" x14ac:dyDescent="0.35">
      <c r="A614" t="s">
        <v>636</v>
      </c>
      <c r="B614" t="s">
        <v>17</v>
      </c>
      <c r="C614">
        <v>18</v>
      </c>
      <c r="D614">
        <v>8</v>
      </c>
      <c r="E614" t="s">
        <v>12</v>
      </c>
      <c r="F614" t="s">
        <v>13</v>
      </c>
      <c r="G614" t="s">
        <v>19</v>
      </c>
      <c r="H614">
        <v>39.14</v>
      </c>
      <c r="I614">
        <v>339.04</v>
      </c>
      <c r="J614" t="s">
        <v>15</v>
      </c>
      <c r="K614" t="str">
        <f t="shared" si="9"/>
        <v>0-12 Months</v>
      </c>
      <c r="L614">
        <f>IF(Table13[[#This Row],[Churn]]="Yes",1,0)</f>
        <v>0</v>
      </c>
    </row>
    <row r="615" spans="1:12" x14ac:dyDescent="0.35">
      <c r="A615" t="s">
        <v>637</v>
      </c>
      <c r="B615" t="s">
        <v>17</v>
      </c>
      <c r="C615">
        <v>25</v>
      </c>
      <c r="D615">
        <v>3</v>
      </c>
      <c r="E615" t="s">
        <v>18</v>
      </c>
      <c r="F615" t="s">
        <v>33</v>
      </c>
      <c r="G615" t="s">
        <v>19</v>
      </c>
      <c r="H615">
        <v>46.86</v>
      </c>
      <c r="I615">
        <v>154.11000000000001</v>
      </c>
      <c r="J615" t="s">
        <v>15</v>
      </c>
      <c r="K615" t="str">
        <f t="shared" si="9"/>
        <v>0-12 Months</v>
      </c>
      <c r="L615">
        <f>IF(Table13[[#This Row],[Churn]]="Yes",1,0)</f>
        <v>0</v>
      </c>
    </row>
    <row r="616" spans="1:12" x14ac:dyDescent="0.35">
      <c r="A616" t="s">
        <v>638</v>
      </c>
      <c r="B616" t="s">
        <v>17</v>
      </c>
      <c r="C616">
        <v>46</v>
      </c>
      <c r="D616">
        <v>16</v>
      </c>
      <c r="E616" t="s">
        <v>21</v>
      </c>
      <c r="F616" t="s">
        <v>13</v>
      </c>
      <c r="G616" t="s">
        <v>14</v>
      </c>
      <c r="H616">
        <v>60.72</v>
      </c>
      <c r="I616">
        <v>1002.96</v>
      </c>
      <c r="J616" t="s">
        <v>15</v>
      </c>
      <c r="K616" t="str">
        <f t="shared" si="9"/>
        <v>13-24 Months</v>
      </c>
      <c r="L616">
        <f>IF(Table13[[#This Row],[Churn]]="Yes",1,0)</f>
        <v>0</v>
      </c>
    </row>
    <row r="617" spans="1:12" x14ac:dyDescent="0.35">
      <c r="A617" t="s">
        <v>639</v>
      </c>
      <c r="B617" t="s">
        <v>11</v>
      </c>
      <c r="C617">
        <v>56</v>
      </c>
      <c r="D617">
        <v>30</v>
      </c>
      <c r="E617" t="s">
        <v>12</v>
      </c>
      <c r="F617" t="s">
        <v>33</v>
      </c>
      <c r="G617" t="s">
        <v>23</v>
      </c>
      <c r="H617">
        <v>102.69</v>
      </c>
      <c r="I617">
        <v>3275.95</v>
      </c>
      <c r="J617" t="s">
        <v>27</v>
      </c>
      <c r="K617" t="str">
        <f t="shared" si="9"/>
        <v>25-48 Months</v>
      </c>
      <c r="L617">
        <f>IF(Table13[[#This Row],[Churn]]="Yes",1,0)</f>
        <v>1</v>
      </c>
    </row>
    <row r="618" spans="1:12" x14ac:dyDescent="0.35">
      <c r="A618" t="s">
        <v>640</v>
      </c>
      <c r="B618" t="s">
        <v>11</v>
      </c>
      <c r="C618">
        <v>20</v>
      </c>
      <c r="D618">
        <v>23</v>
      </c>
      <c r="E618" t="s">
        <v>12</v>
      </c>
      <c r="F618" t="s">
        <v>33</v>
      </c>
      <c r="G618" t="s">
        <v>19</v>
      </c>
      <c r="H618">
        <v>71.78</v>
      </c>
      <c r="I618">
        <v>1733.34</v>
      </c>
      <c r="J618" t="s">
        <v>15</v>
      </c>
      <c r="K618" t="str">
        <f t="shared" si="9"/>
        <v>13-24 Months</v>
      </c>
      <c r="L618">
        <f>IF(Table13[[#This Row],[Churn]]="Yes",1,0)</f>
        <v>0</v>
      </c>
    </row>
    <row r="619" spans="1:12" x14ac:dyDescent="0.35">
      <c r="A619" t="s">
        <v>641</v>
      </c>
      <c r="B619" t="s">
        <v>17</v>
      </c>
      <c r="C619">
        <v>49</v>
      </c>
      <c r="D619">
        <v>5</v>
      </c>
      <c r="E619" t="s">
        <v>18</v>
      </c>
      <c r="F619" t="s">
        <v>22</v>
      </c>
      <c r="G619" t="s">
        <v>14</v>
      </c>
      <c r="H619">
        <v>20.89</v>
      </c>
      <c r="I619">
        <v>108.62</v>
      </c>
      <c r="J619" t="s">
        <v>15</v>
      </c>
      <c r="K619" t="str">
        <f t="shared" si="9"/>
        <v>0-12 Months</v>
      </c>
      <c r="L619">
        <f>IF(Table13[[#This Row],[Churn]]="Yes",1,0)</f>
        <v>0</v>
      </c>
    </row>
    <row r="620" spans="1:12" x14ac:dyDescent="0.35">
      <c r="A620" t="s">
        <v>642</v>
      </c>
      <c r="B620" t="s">
        <v>11</v>
      </c>
      <c r="C620">
        <v>27</v>
      </c>
      <c r="D620">
        <v>65</v>
      </c>
      <c r="E620" t="s">
        <v>18</v>
      </c>
      <c r="F620" t="s">
        <v>29</v>
      </c>
      <c r="G620" t="s">
        <v>19</v>
      </c>
      <c r="H620">
        <v>88.04</v>
      </c>
      <c r="I620">
        <v>5501.63</v>
      </c>
      <c r="J620" t="s">
        <v>15</v>
      </c>
      <c r="K620" t="str">
        <f t="shared" si="9"/>
        <v>49+ Months</v>
      </c>
      <c r="L620">
        <f>IF(Table13[[#This Row],[Churn]]="Yes",1,0)</f>
        <v>0</v>
      </c>
    </row>
    <row r="621" spans="1:12" x14ac:dyDescent="0.35">
      <c r="A621" t="s">
        <v>643</v>
      </c>
      <c r="B621" t="s">
        <v>11</v>
      </c>
      <c r="C621">
        <v>27</v>
      </c>
      <c r="D621">
        <v>30</v>
      </c>
      <c r="E621" t="s">
        <v>21</v>
      </c>
      <c r="F621" t="s">
        <v>29</v>
      </c>
      <c r="G621" t="s">
        <v>19</v>
      </c>
      <c r="H621">
        <v>139.80000000000001</v>
      </c>
      <c r="I621">
        <v>3822.49</v>
      </c>
      <c r="J621" t="s">
        <v>15</v>
      </c>
      <c r="K621" t="str">
        <f t="shared" si="9"/>
        <v>25-48 Months</v>
      </c>
      <c r="L621">
        <f>IF(Table13[[#This Row],[Churn]]="Yes",1,0)</f>
        <v>0</v>
      </c>
    </row>
    <row r="622" spans="1:12" x14ac:dyDescent="0.35">
      <c r="A622" t="s">
        <v>644</v>
      </c>
      <c r="B622" t="s">
        <v>17</v>
      </c>
      <c r="C622">
        <v>36</v>
      </c>
      <c r="D622">
        <v>21</v>
      </c>
      <c r="E622" t="s">
        <v>12</v>
      </c>
      <c r="F622" t="s">
        <v>33</v>
      </c>
      <c r="G622" t="s">
        <v>14</v>
      </c>
      <c r="H622">
        <v>125.57</v>
      </c>
      <c r="I622">
        <v>2554.1999999999998</v>
      </c>
      <c r="J622" t="s">
        <v>15</v>
      </c>
      <c r="K622" t="str">
        <f t="shared" si="9"/>
        <v>13-24 Months</v>
      </c>
      <c r="L622">
        <f>IF(Table13[[#This Row],[Churn]]="Yes",1,0)</f>
        <v>0</v>
      </c>
    </row>
    <row r="623" spans="1:12" x14ac:dyDescent="0.35">
      <c r="A623" t="s">
        <v>645</v>
      </c>
      <c r="B623" t="s">
        <v>17</v>
      </c>
      <c r="C623">
        <v>63</v>
      </c>
      <c r="D623">
        <v>70</v>
      </c>
      <c r="E623" t="s">
        <v>12</v>
      </c>
      <c r="F623" t="s">
        <v>29</v>
      </c>
      <c r="G623" t="s">
        <v>23</v>
      </c>
      <c r="H623">
        <v>127.28</v>
      </c>
      <c r="I623">
        <v>9207.07</v>
      </c>
      <c r="J623" t="s">
        <v>27</v>
      </c>
      <c r="K623" t="str">
        <f t="shared" si="9"/>
        <v>49+ Months</v>
      </c>
      <c r="L623">
        <f>IF(Table13[[#This Row],[Churn]]="Yes",1,0)</f>
        <v>1</v>
      </c>
    </row>
    <row r="624" spans="1:12" x14ac:dyDescent="0.35">
      <c r="A624" t="s">
        <v>646</v>
      </c>
      <c r="B624" t="s">
        <v>11</v>
      </c>
      <c r="C624">
        <v>51</v>
      </c>
      <c r="D624">
        <v>22</v>
      </c>
      <c r="E624" t="s">
        <v>12</v>
      </c>
      <c r="F624" t="s">
        <v>33</v>
      </c>
      <c r="G624" t="s">
        <v>23</v>
      </c>
      <c r="H624">
        <v>123.36</v>
      </c>
      <c r="I624">
        <v>2498.1799999999998</v>
      </c>
      <c r="J624" t="s">
        <v>15</v>
      </c>
      <c r="K624" t="str">
        <f t="shared" si="9"/>
        <v>13-24 Months</v>
      </c>
      <c r="L624">
        <f>IF(Table13[[#This Row],[Churn]]="Yes",1,0)</f>
        <v>0</v>
      </c>
    </row>
    <row r="625" spans="1:12" x14ac:dyDescent="0.35">
      <c r="A625" t="s">
        <v>647</v>
      </c>
      <c r="B625" t="s">
        <v>17</v>
      </c>
      <c r="C625">
        <v>50</v>
      </c>
      <c r="D625">
        <v>72</v>
      </c>
      <c r="E625" t="s">
        <v>12</v>
      </c>
      <c r="F625" t="s">
        <v>13</v>
      </c>
      <c r="G625" t="s">
        <v>23</v>
      </c>
      <c r="H625">
        <v>62.09</v>
      </c>
      <c r="I625">
        <v>4034.09</v>
      </c>
      <c r="J625" t="s">
        <v>15</v>
      </c>
      <c r="K625" t="str">
        <f t="shared" si="9"/>
        <v>49+ Months</v>
      </c>
      <c r="L625">
        <f>IF(Table13[[#This Row],[Churn]]="Yes",1,0)</f>
        <v>0</v>
      </c>
    </row>
    <row r="626" spans="1:12" x14ac:dyDescent="0.35">
      <c r="A626" t="s">
        <v>648</v>
      </c>
      <c r="B626" t="s">
        <v>11</v>
      </c>
      <c r="C626">
        <v>40</v>
      </c>
      <c r="D626">
        <v>32</v>
      </c>
      <c r="E626" t="s">
        <v>21</v>
      </c>
      <c r="F626" t="s">
        <v>13</v>
      </c>
      <c r="G626" t="s">
        <v>14</v>
      </c>
      <c r="H626">
        <v>119.48</v>
      </c>
      <c r="I626">
        <v>3547.84</v>
      </c>
      <c r="J626" t="s">
        <v>15</v>
      </c>
      <c r="K626" t="str">
        <f t="shared" si="9"/>
        <v>25-48 Months</v>
      </c>
      <c r="L626">
        <f>IF(Table13[[#This Row],[Churn]]="Yes",1,0)</f>
        <v>0</v>
      </c>
    </row>
    <row r="627" spans="1:12" x14ac:dyDescent="0.35">
      <c r="A627" t="s">
        <v>649</v>
      </c>
      <c r="B627" t="s">
        <v>17</v>
      </c>
      <c r="C627">
        <v>45</v>
      </c>
      <c r="D627">
        <v>33</v>
      </c>
      <c r="E627" t="s">
        <v>21</v>
      </c>
      <c r="F627" t="s">
        <v>33</v>
      </c>
      <c r="G627" t="s">
        <v>14</v>
      </c>
      <c r="H627">
        <v>38.61</v>
      </c>
      <c r="I627">
        <v>1329.11</v>
      </c>
      <c r="J627" t="s">
        <v>15</v>
      </c>
      <c r="K627" t="str">
        <f t="shared" si="9"/>
        <v>25-48 Months</v>
      </c>
      <c r="L627">
        <f>IF(Table13[[#This Row],[Churn]]="Yes",1,0)</f>
        <v>0</v>
      </c>
    </row>
    <row r="628" spans="1:12" x14ac:dyDescent="0.35">
      <c r="A628" t="s">
        <v>650</v>
      </c>
      <c r="B628" t="s">
        <v>11</v>
      </c>
      <c r="C628">
        <v>49</v>
      </c>
      <c r="D628">
        <v>16</v>
      </c>
      <c r="E628" t="s">
        <v>21</v>
      </c>
      <c r="F628" t="s">
        <v>22</v>
      </c>
      <c r="G628" t="s">
        <v>14</v>
      </c>
      <c r="H628">
        <v>105.5</v>
      </c>
      <c r="I628">
        <v>1847.62</v>
      </c>
      <c r="J628" t="s">
        <v>15</v>
      </c>
      <c r="K628" t="str">
        <f t="shared" si="9"/>
        <v>13-24 Months</v>
      </c>
      <c r="L628">
        <f>IF(Table13[[#This Row],[Churn]]="Yes",1,0)</f>
        <v>0</v>
      </c>
    </row>
    <row r="629" spans="1:12" x14ac:dyDescent="0.35">
      <c r="A629" t="s">
        <v>651</v>
      </c>
      <c r="B629" t="s">
        <v>17</v>
      </c>
      <c r="C629">
        <v>67</v>
      </c>
      <c r="D629">
        <v>38</v>
      </c>
      <c r="E629" t="s">
        <v>18</v>
      </c>
      <c r="F629" t="s">
        <v>13</v>
      </c>
      <c r="G629" t="s">
        <v>23</v>
      </c>
      <c r="H629">
        <v>103.4</v>
      </c>
      <c r="I629">
        <v>4308.8100000000004</v>
      </c>
      <c r="J629" t="s">
        <v>15</v>
      </c>
      <c r="K629" t="str">
        <f t="shared" si="9"/>
        <v>25-48 Months</v>
      </c>
      <c r="L629">
        <f>IF(Table13[[#This Row],[Churn]]="Yes",1,0)</f>
        <v>0</v>
      </c>
    </row>
    <row r="630" spans="1:12" x14ac:dyDescent="0.35">
      <c r="A630" t="s">
        <v>652</v>
      </c>
      <c r="B630" t="s">
        <v>11</v>
      </c>
      <c r="C630">
        <v>24</v>
      </c>
      <c r="D630">
        <v>14</v>
      </c>
      <c r="E630" t="s">
        <v>21</v>
      </c>
      <c r="F630" t="s">
        <v>13</v>
      </c>
      <c r="G630" t="s">
        <v>19</v>
      </c>
      <c r="H630">
        <v>23.32</v>
      </c>
      <c r="I630">
        <v>326.08999999999997</v>
      </c>
      <c r="J630" t="s">
        <v>15</v>
      </c>
      <c r="K630" t="str">
        <f t="shared" si="9"/>
        <v>13-24 Months</v>
      </c>
      <c r="L630">
        <f>IF(Table13[[#This Row],[Churn]]="Yes",1,0)</f>
        <v>0</v>
      </c>
    </row>
    <row r="631" spans="1:12" x14ac:dyDescent="0.35">
      <c r="A631" t="s">
        <v>653</v>
      </c>
      <c r="B631" t="s">
        <v>11</v>
      </c>
      <c r="C631">
        <v>46</v>
      </c>
      <c r="D631">
        <v>36</v>
      </c>
      <c r="E631" t="s">
        <v>12</v>
      </c>
      <c r="F631" t="s">
        <v>13</v>
      </c>
      <c r="G631" t="s">
        <v>14</v>
      </c>
      <c r="H631">
        <v>122.44</v>
      </c>
      <c r="I631">
        <v>4733.45</v>
      </c>
      <c r="J631" t="s">
        <v>27</v>
      </c>
      <c r="K631" t="str">
        <f t="shared" si="9"/>
        <v>25-48 Months</v>
      </c>
      <c r="L631">
        <f>IF(Table13[[#This Row],[Churn]]="Yes",1,0)</f>
        <v>1</v>
      </c>
    </row>
    <row r="632" spans="1:12" x14ac:dyDescent="0.35">
      <c r="A632" t="s">
        <v>654</v>
      </c>
      <c r="B632" t="s">
        <v>11</v>
      </c>
      <c r="C632">
        <v>25</v>
      </c>
      <c r="D632">
        <v>23</v>
      </c>
      <c r="E632" t="s">
        <v>12</v>
      </c>
      <c r="F632" t="s">
        <v>22</v>
      </c>
      <c r="G632" t="s">
        <v>19</v>
      </c>
      <c r="H632">
        <v>137.41999999999999</v>
      </c>
      <c r="I632">
        <v>3310.37</v>
      </c>
      <c r="J632" t="s">
        <v>15</v>
      </c>
      <c r="K632" t="str">
        <f t="shared" si="9"/>
        <v>13-24 Months</v>
      </c>
      <c r="L632">
        <f>IF(Table13[[#This Row],[Churn]]="Yes",1,0)</f>
        <v>0</v>
      </c>
    </row>
    <row r="633" spans="1:12" x14ac:dyDescent="0.35">
      <c r="A633" t="s">
        <v>655</v>
      </c>
      <c r="B633" t="s">
        <v>17</v>
      </c>
      <c r="C633">
        <v>18</v>
      </c>
      <c r="D633">
        <v>66</v>
      </c>
      <c r="E633" t="s">
        <v>18</v>
      </c>
      <c r="F633" t="s">
        <v>29</v>
      </c>
      <c r="G633" t="s">
        <v>19</v>
      </c>
      <c r="H633">
        <v>54.76</v>
      </c>
      <c r="I633">
        <v>3614.91</v>
      </c>
      <c r="J633" t="s">
        <v>27</v>
      </c>
      <c r="K633" t="str">
        <f t="shared" si="9"/>
        <v>49+ Months</v>
      </c>
      <c r="L633">
        <f>IF(Table13[[#This Row],[Churn]]="Yes",1,0)</f>
        <v>1</v>
      </c>
    </row>
    <row r="634" spans="1:12" x14ac:dyDescent="0.35">
      <c r="A634" t="s">
        <v>656</v>
      </c>
      <c r="B634" t="s">
        <v>11</v>
      </c>
      <c r="C634">
        <v>20</v>
      </c>
      <c r="D634">
        <v>2</v>
      </c>
      <c r="E634" t="s">
        <v>12</v>
      </c>
      <c r="F634" t="s">
        <v>33</v>
      </c>
      <c r="G634" t="s">
        <v>19</v>
      </c>
      <c r="H634">
        <v>125.61</v>
      </c>
      <c r="I634">
        <v>254.88</v>
      </c>
      <c r="J634" t="s">
        <v>15</v>
      </c>
      <c r="K634" t="str">
        <f t="shared" si="9"/>
        <v>0-12 Months</v>
      </c>
      <c r="L634">
        <f>IF(Table13[[#This Row],[Churn]]="Yes",1,0)</f>
        <v>0</v>
      </c>
    </row>
    <row r="635" spans="1:12" x14ac:dyDescent="0.35">
      <c r="A635" t="s">
        <v>657</v>
      </c>
      <c r="B635" t="s">
        <v>11</v>
      </c>
      <c r="C635">
        <v>41</v>
      </c>
      <c r="D635">
        <v>65</v>
      </c>
      <c r="E635" t="s">
        <v>18</v>
      </c>
      <c r="F635" t="s">
        <v>33</v>
      </c>
      <c r="G635" t="s">
        <v>14</v>
      </c>
      <c r="H635">
        <v>30.71</v>
      </c>
      <c r="I635">
        <v>1851.32</v>
      </c>
      <c r="J635" t="s">
        <v>15</v>
      </c>
      <c r="K635" t="str">
        <f t="shared" si="9"/>
        <v>49+ Months</v>
      </c>
      <c r="L635">
        <f>IF(Table13[[#This Row],[Churn]]="Yes",1,0)</f>
        <v>0</v>
      </c>
    </row>
    <row r="636" spans="1:12" x14ac:dyDescent="0.35">
      <c r="A636" t="s">
        <v>658</v>
      </c>
      <c r="B636" t="s">
        <v>17</v>
      </c>
      <c r="C636">
        <v>40</v>
      </c>
      <c r="D636">
        <v>67</v>
      </c>
      <c r="E636" t="s">
        <v>18</v>
      </c>
      <c r="F636" t="s">
        <v>29</v>
      </c>
      <c r="G636" t="s">
        <v>14</v>
      </c>
      <c r="H636">
        <v>98</v>
      </c>
      <c r="I636">
        <v>7140.74</v>
      </c>
      <c r="J636" t="s">
        <v>15</v>
      </c>
      <c r="K636" t="str">
        <f t="shared" si="9"/>
        <v>49+ Months</v>
      </c>
      <c r="L636">
        <f>IF(Table13[[#This Row],[Churn]]="Yes",1,0)</f>
        <v>0</v>
      </c>
    </row>
    <row r="637" spans="1:12" x14ac:dyDescent="0.35">
      <c r="A637" t="s">
        <v>659</v>
      </c>
      <c r="B637" t="s">
        <v>17</v>
      </c>
      <c r="C637">
        <v>25</v>
      </c>
      <c r="D637">
        <v>52</v>
      </c>
      <c r="E637" t="s">
        <v>12</v>
      </c>
      <c r="F637" t="s">
        <v>22</v>
      </c>
      <c r="G637" t="s">
        <v>19</v>
      </c>
      <c r="H637">
        <v>83.13</v>
      </c>
      <c r="I637">
        <v>4194.75</v>
      </c>
      <c r="J637" t="s">
        <v>15</v>
      </c>
      <c r="K637" t="str">
        <f t="shared" si="9"/>
        <v>49+ Months</v>
      </c>
      <c r="L637">
        <f>IF(Table13[[#This Row],[Churn]]="Yes",1,0)</f>
        <v>0</v>
      </c>
    </row>
    <row r="638" spans="1:12" x14ac:dyDescent="0.35">
      <c r="A638" t="s">
        <v>660</v>
      </c>
      <c r="B638" t="s">
        <v>11</v>
      </c>
      <c r="C638">
        <v>64</v>
      </c>
      <c r="D638">
        <v>62</v>
      </c>
      <c r="E638" t="s">
        <v>21</v>
      </c>
      <c r="F638" t="s">
        <v>13</v>
      </c>
      <c r="G638" t="s">
        <v>23</v>
      </c>
      <c r="H638">
        <v>90.97</v>
      </c>
      <c r="I638">
        <v>5579.39</v>
      </c>
      <c r="J638" t="s">
        <v>15</v>
      </c>
      <c r="K638" t="str">
        <f t="shared" si="9"/>
        <v>49+ Months</v>
      </c>
      <c r="L638">
        <f>IF(Table13[[#This Row],[Churn]]="Yes",1,0)</f>
        <v>0</v>
      </c>
    </row>
    <row r="639" spans="1:12" x14ac:dyDescent="0.35">
      <c r="A639" t="s">
        <v>661</v>
      </c>
      <c r="B639" t="s">
        <v>11</v>
      </c>
      <c r="C639">
        <v>54</v>
      </c>
      <c r="D639">
        <v>23</v>
      </c>
      <c r="E639" t="s">
        <v>18</v>
      </c>
      <c r="F639" t="s">
        <v>29</v>
      </c>
      <c r="G639" t="s">
        <v>23</v>
      </c>
      <c r="H639">
        <v>140.41</v>
      </c>
      <c r="I639">
        <v>3340.3</v>
      </c>
      <c r="J639" t="s">
        <v>27</v>
      </c>
      <c r="K639" t="str">
        <f t="shared" si="9"/>
        <v>13-24 Months</v>
      </c>
      <c r="L639">
        <f>IF(Table13[[#This Row],[Churn]]="Yes",1,0)</f>
        <v>1</v>
      </c>
    </row>
    <row r="640" spans="1:12" x14ac:dyDescent="0.35">
      <c r="A640" t="s">
        <v>662</v>
      </c>
      <c r="B640" t="s">
        <v>17</v>
      </c>
      <c r="C640">
        <v>20</v>
      </c>
      <c r="D640">
        <v>26</v>
      </c>
      <c r="E640" t="s">
        <v>21</v>
      </c>
      <c r="F640" t="s">
        <v>33</v>
      </c>
      <c r="G640" t="s">
        <v>19</v>
      </c>
      <c r="H640">
        <v>133.27000000000001</v>
      </c>
      <c r="I640">
        <v>3349.91</v>
      </c>
      <c r="J640" t="s">
        <v>15</v>
      </c>
      <c r="K640" t="str">
        <f t="shared" si="9"/>
        <v>25-48 Months</v>
      </c>
      <c r="L640">
        <f>IF(Table13[[#This Row],[Churn]]="Yes",1,0)</f>
        <v>0</v>
      </c>
    </row>
    <row r="641" spans="1:12" x14ac:dyDescent="0.35">
      <c r="A641" t="s">
        <v>663</v>
      </c>
      <c r="B641" t="s">
        <v>17</v>
      </c>
      <c r="C641">
        <v>68</v>
      </c>
      <c r="D641">
        <v>68</v>
      </c>
      <c r="E641" t="s">
        <v>18</v>
      </c>
      <c r="F641" t="s">
        <v>29</v>
      </c>
      <c r="G641" t="s">
        <v>23</v>
      </c>
      <c r="H641">
        <v>122.06</v>
      </c>
      <c r="I641">
        <v>7892.15</v>
      </c>
      <c r="J641" t="s">
        <v>15</v>
      </c>
      <c r="K641" t="str">
        <f t="shared" si="9"/>
        <v>49+ Months</v>
      </c>
      <c r="L641">
        <f>IF(Table13[[#This Row],[Churn]]="Yes",1,0)</f>
        <v>0</v>
      </c>
    </row>
    <row r="642" spans="1:12" x14ac:dyDescent="0.35">
      <c r="A642" t="s">
        <v>664</v>
      </c>
      <c r="B642" t="s">
        <v>17</v>
      </c>
      <c r="C642">
        <v>50</v>
      </c>
      <c r="D642">
        <v>55</v>
      </c>
      <c r="E642" t="s">
        <v>18</v>
      </c>
      <c r="F642" t="s">
        <v>29</v>
      </c>
      <c r="G642" t="s">
        <v>23</v>
      </c>
      <c r="H642">
        <v>55.58</v>
      </c>
      <c r="I642">
        <v>3137.02</v>
      </c>
      <c r="J642" t="s">
        <v>15</v>
      </c>
      <c r="K642" t="str">
        <f t="shared" ref="K642:K705" si="10">IF(D642&lt;=12,"0-12 Months",IF(D642&lt;=24,"13-24 Months",IF(D642&lt;=48,"25-48 Months","49+ Months")))</f>
        <v>49+ Months</v>
      </c>
      <c r="L642">
        <f>IF(Table13[[#This Row],[Churn]]="Yes",1,0)</f>
        <v>0</v>
      </c>
    </row>
    <row r="643" spans="1:12" x14ac:dyDescent="0.35">
      <c r="A643" t="s">
        <v>665</v>
      </c>
      <c r="B643" t="s">
        <v>17</v>
      </c>
      <c r="C643">
        <v>45</v>
      </c>
      <c r="D643">
        <v>6</v>
      </c>
      <c r="E643" t="s">
        <v>12</v>
      </c>
      <c r="F643" t="s">
        <v>13</v>
      </c>
      <c r="G643" t="s">
        <v>14</v>
      </c>
      <c r="H643">
        <v>138.54</v>
      </c>
      <c r="I643">
        <v>752.27</v>
      </c>
      <c r="J643" t="s">
        <v>15</v>
      </c>
      <c r="K643" t="str">
        <f t="shared" si="10"/>
        <v>0-12 Months</v>
      </c>
      <c r="L643">
        <f>IF(Table13[[#This Row],[Churn]]="Yes",1,0)</f>
        <v>0</v>
      </c>
    </row>
    <row r="644" spans="1:12" x14ac:dyDescent="0.35">
      <c r="A644" t="s">
        <v>666</v>
      </c>
      <c r="B644" t="s">
        <v>17</v>
      </c>
      <c r="C644">
        <v>64</v>
      </c>
      <c r="D644">
        <v>35</v>
      </c>
      <c r="E644" t="s">
        <v>12</v>
      </c>
      <c r="F644" t="s">
        <v>13</v>
      </c>
      <c r="G644" t="s">
        <v>23</v>
      </c>
      <c r="H644">
        <v>32.68</v>
      </c>
      <c r="I644">
        <v>1194.29</v>
      </c>
      <c r="J644" t="s">
        <v>15</v>
      </c>
      <c r="K644" t="str">
        <f t="shared" si="10"/>
        <v>25-48 Months</v>
      </c>
      <c r="L644">
        <f>IF(Table13[[#This Row],[Churn]]="Yes",1,0)</f>
        <v>0</v>
      </c>
    </row>
    <row r="645" spans="1:12" x14ac:dyDescent="0.35">
      <c r="A645" t="s">
        <v>667</v>
      </c>
      <c r="B645" t="s">
        <v>11</v>
      </c>
      <c r="C645">
        <v>25</v>
      </c>
      <c r="D645">
        <v>22</v>
      </c>
      <c r="E645" t="s">
        <v>18</v>
      </c>
      <c r="F645" t="s">
        <v>13</v>
      </c>
      <c r="G645" t="s">
        <v>19</v>
      </c>
      <c r="H645">
        <v>130.93</v>
      </c>
      <c r="I645">
        <v>2888.54</v>
      </c>
      <c r="J645" t="s">
        <v>15</v>
      </c>
      <c r="K645" t="str">
        <f t="shared" si="10"/>
        <v>13-24 Months</v>
      </c>
      <c r="L645">
        <f>IF(Table13[[#This Row],[Churn]]="Yes",1,0)</f>
        <v>0</v>
      </c>
    </row>
    <row r="646" spans="1:12" x14ac:dyDescent="0.35">
      <c r="A646" t="s">
        <v>668</v>
      </c>
      <c r="B646" t="s">
        <v>17</v>
      </c>
      <c r="C646">
        <v>51</v>
      </c>
      <c r="D646">
        <v>43</v>
      </c>
      <c r="E646" t="s">
        <v>21</v>
      </c>
      <c r="F646" t="s">
        <v>22</v>
      </c>
      <c r="G646" t="s">
        <v>23</v>
      </c>
      <c r="H646">
        <v>62.66</v>
      </c>
      <c r="I646">
        <v>2751.37</v>
      </c>
      <c r="J646" t="s">
        <v>15</v>
      </c>
      <c r="K646" t="str">
        <f t="shared" si="10"/>
        <v>25-48 Months</v>
      </c>
      <c r="L646">
        <f>IF(Table13[[#This Row],[Churn]]="Yes",1,0)</f>
        <v>0</v>
      </c>
    </row>
    <row r="647" spans="1:12" x14ac:dyDescent="0.35">
      <c r="A647" t="s">
        <v>669</v>
      </c>
      <c r="B647" t="s">
        <v>11</v>
      </c>
      <c r="C647">
        <v>52</v>
      </c>
      <c r="D647">
        <v>15</v>
      </c>
      <c r="E647" t="s">
        <v>12</v>
      </c>
      <c r="F647" t="s">
        <v>22</v>
      </c>
      <c r="G647" t="s">
        <v>23</v>
      </c>
      <c r="H647">
        <v>26.99</v>
      </c>
      <c r="I647">
        <v>415.53</v>
      </c>
      <c r="J647" t="s">
        <v>27</v>
      </c>
      <c r="K647" t="str">
        <f t="shared" si="10"/>
        <v>13-24 Months</v>
      </c>
      <c r="L647">
        <f>IF(Table13[[#This Row],[Churn]]="Yes",1,0)</f>
        <v>1</v>
      </c>
    </row>
    <row r="648" spans="1:12" x14ac:dyDescent="0.35">
      <c r="A648" t="s">
        <v>670</v>
      </c>
      <c r="B648" t="s">
        <v>11</v>
      </c>
      <c r="C648">
        <v>49</v>
      </c>
      <c r="D648">
        <v>60</v>
      </c>
      <c r="E648" t="s">
        <v>12</v>
      </c>
      <c r="F648" t="s">
        <v>22</v>
      </c>
      <c r="G648" t="s">
        <v>14</v>
      </c>
      <c r="H648">
        <v>107.02</v>
      </c>
      <c r="I648">
        <v>6455.94</v>
      </c>
      <c r="J648" t="s">
        <v>15</v>
      </c>
      <c r="K648" t="str">
        <f t="shared" si="10"/>
        <v>49+ Months</v>
      </c>
      <c r="L648">
        <f>IF(Table13[[#This Row],[Churn]]="Yes",1,0)</f>
        <v>0</v>
      </c>
    </row>
    <row r="649" spans="1:12" x14ac:dyDescent="0.35">
      <c r="A649" t="s">
        <v>671</v>
      </c>
      <c r="B649" t="s">
        <v>11</v>
      </c>
      <c r="C649">
        <v>41</v>
      </c>
      <c r="D649">
        <v>12</v>
      </c>
      <c r="E649" t="s">
        <v>21</v>
      </c>
      <c r="F649" t="s">
        <v>29</v>
      </c>
      <c r="G649" t="s">
        <v>14</v>
      </c>
      <c r="H649">
        <v>50.07</v>
      </c>
      <c r="I649">
        <v>610.76</v>
      </c>
      <c r="J649" t="s">
        <v>15</v>
      </c>
      <c r="K649" t="str">
        <f t="shared" si="10"/>
        <v>0-12 Months</v>
      </c>
      <c r="L649">
        <f>IF(Table13[[#This Row],[Churn]]="Yes",1,0)</f>
        <v>0</v>
      </c>
    </row>
    <row r="650" spans="1:12" x14ac:dyDescent="0.35">
      <c r="A650" t="s">
        <v>672</v>
      </c>
      <c r="B650" t="s">
        <v>17</v>
      </c>
      <c r="C650">
        <v>31</v>
      </c>
      <c r="D650">
        <v>49</v>
      </c>
      <c r="E650" t="s">
        <v>18</v>
      </c>
      <c r="F650" t="s">
        <v>13</v>
      </c>
      <c r="G650" t="s">
        <v>14</v>
      </c>
      <c r="H650">
        <v>51.66</v>
      </c>
      <c r="I650">
        <v>2624.39</v>
      </c>
      <c r="J650" t="s">
        <v>15</v>
      </c>
      <c r="K650" t="str">
        <f t="shared" si="10"/>
        <v>49+ Months</v>
      </c>
      <c r="L650">
        <f>IF(Table13[[#This Row],[Churn]]="Yes",1,0)</f>
        <v>0</v>
      </c>
    </row>
    <row r="651" spans="1:12" x14ac:dyDescent="0.35">
      <c r="A651" t="s">
        <v>673</v>
      </c>
      <c r="B651" t="s">
        <v>11</v>
      </c>
      <c r="C651">
        <v>49</v>
      </c>
      <c r="D651">
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/v>
      </c>
      <c r="J651" t="s">
        <v>15</v>
      </c>
      <c r="K651" t="str">
        <f t="shared" si="10"/>
        <v>25-48 Months</v>
      </c>
      <c r="L651">
        <f>IF(Table13[[#This Row],[Churn]]="Yes",1,0)</f>
        <v>0</v>
      </c>
    </row>
    <row r="652" spans="1:12" x14ac:dyDescent="0.35">
      <c r="A652" t="s">
        <v>674</v>
      </c>
      <c r="B652" t="s">
        <v>11</v>
      </c>
      <c r="C652">
        <v>63</v>
      </c>
      <c r="D652">
        <v>38</v>
      </c>
      <c r="E652" t="s">
        <v>21</v>
      </c>
      <c r="F652" t="s">
        <v>29</v>
      </c>
      <c r="G652" t="s">
        <v>23</v>
      </c>
      <c r="H652">
        <v>28.28</v>
      </c>
      <c r="I652">
        <v>1123.53</v>
      </c>
      <c r="J652" t="s">
        <v>15</v>
      </c>
      <c r="K652" t="str">
        <f t="shared" si="10"/>
        <v>25-48 Months</v>
      </c>
      <c r="L652">
        <f>IF(Table13[[#This Row],[Churn]]="Yes",1,0)</f>
        <v>0</v>
      </c>
    </row>
    <row r="653" spans="1:12" x14ac:dyDescent="0.35">
      <c r="A653" t="s">
        <v>675</v>
      </c>
      <c r="B653" t="s">
        <v>17</v>
      </c>
      <c r="C653">
        <v>60</v>
      </c>
      <c r="D653">
        <v>45</v>
      </c>
      <c r="E653" t="s">
        <v>12</v>
      </c>
      <c r="F653" t="s">
        <v>13</v>
      </c>
      <c r="G653" t="s">
        <v>23</v>
      </c>
      <c r="H653">
        <v>43.03</v>
      </c>
      <c r="I653">
        <v>2079.4899999999998</v>
      </c>
      <c r="J653" t="s">
        <v>15</v>
      </c>
      <c r="K653" t="str">
        <f t="shared" si="10"/>
        <v>25-48 Months</v>
      </c>
      <c r="L653">
        <f>IF(Table13[[#This Row],[Churn]]="Yes",1,0)</f>
        <v>0</v>
      </c>
    </row>
    <row r="654" spans="1:12" x14ac:dyDescent="0.35">
      <c r="A654" t="s">
        <v>676</v>
      </c>
      <c r="B654" t="s">
        <v>11</v>
      </c>
      <c r="C654">
        <v>33</v>
      </c>
      <c r="D654">
        <v>35</v>
      </c>
      <c r="E654" t="s">
        <v>12</v>
      </c>
      <c r="F654" t="s">
        <v>29</v>
      </c>
      <c r="G654" t="s">
        <v>14</v>
      </c>
      <c r="H654">
        <v>20.67</v>
      </c>
      <c r="I654">
        <v>678.52</v>
      </c>
      <c r="J654" t="s">
        <v>15</v>
      </c>
      <c r="K654" t="str">
        <f t="shared" si="10"/>
        <v>25-48 Months</v>
      </c>
      <c r="L654">
        <f>IF(Table13[[#This Row],[Churn]]="Yes",1,0)</f>
        <v>0</v>
      </c>
    </row>
    <row r="655" spans="1:12" x14ac:dyDescent="0.35">
      <c r="A655" t="s">
        <v>677</v>
      </c>
      <c r="B655" t="s">
        <v>11</v>
      </c>
      <c r="C655">
        <v>21</v>
      </c>
      <c r="D655">
        <v>30</v>
      </c>
      <c r="E655" t="s">
        <v>18</v>
      </c>
      <c r="F655" t="s">
        <v>29</v>
      </c>
      <c r="G655" t="s">
        <v>19</v>
      </c>
      <c r="H655">
        <v>77.900000000000006</v>
      </c>
      <c r="I655">
        <v>2290.8000000000002</v>
      </c>
      <c r="J655" t="s">
        <v>27</v>
      </c>
      <c r="K655" t="str">
        <f t="shared" si="10"/>
        <v>25-48 Months</v>
      </c>
      <c r="L655">
        <f>IF(Table13[[#This Row],[Churn]]="Yes",1,0)</f>
        <v>1</v>
      </c>
    </row>
    <row r="656" spans="1:12" x14ac:dyDescent="0.35">
      <c r="A656" t="s">
        <v>678</v>
      </c>
      <c r="B656" t="s">
        <v>17</v>
      </c>
      <c r="C656">
        <v>69</v>
      </c>
      <c r="D656">
        <v>30</v>
      </c>
      <c r="E656" t="s">
        <v>12</v>
      </c>
      <c r="F656" t="s">
        <v>29</v>
      </c>
      <c r="G656" t="s">
        <v>23</v>
      </c>
      <c r="H656">
        <v>30.95</v>
      </c>
      <c r="I656">
        <v>1011.66</v>
      </c>
      <c r="J656" t="s">
        <v>15</v>
      </c>
      <c r="K656" t="str">
        <f t="shared" si="10"/>
        <v>25-48 Months</v>
      </c>
      <c r="L656">
        <f>IF(Table13[[#This Row],[Churn]]="Yes",1,0)</f>
        <v>0</v>
      </c>
    </row>
    <row r="657" spans="1:12" x14ac:dyDescent="0.35">
      <c r="A657" t="s">
        <v>679</v>
      </c>
      <c r="B657" t="s">
        <v>11</v>
      </c>
      <c r="C657">
        <v>54</v>
      </c>
      <c r="D657">
        <v>6</v>
      </c>
      <c r="E657" t="s">
        <v>12</v>
      </c>
      <c r="F657" t="s">
        <v>33</v>
      </c>
      <c r="G657" t="s">
        <v>23</v>
      </c>
      <c r="H657">
        <v>108.74</v>
      </c>
      <c r="I657">
        <v>638.95000000000005</v>
      </c>
      <c r="J657" t="s">
        <v>15</v>
      </c>
      <c r="K657" t="str">
        <f t="shared" si="10"/>
        <v>0-12 Months</v>
      </c>
      <c r="L657">
        <f>IF(Table13[[#This Row],[Churn]]="Yes",1,0)</f>
        <v>0</v>
      </c>
    </row>
    <row r="658" spans="1:12" x14ac:dyDescent="0.35">
      <c r="A658" t="s">
        <v>680</v>
      </c>
      <c r="B658" t="s">
        <v>11</v>
      </c>
      <c r="C658">
        <v>38</v>
      </c>
      <c r="D658">
        <v>67</v>
      </c>
      <c r="E658" t="s">
        <v>12</v>
      </c>
      <c r="F658" t="s">
        <v>33</v>
      </c>
      <c r="G658" t="s">
        <v>14</v>
      </c>
      <c r="H658">
        <v>50.63</v>
      </c>
      <c r="I658">
        <v>3137.71</v>
      </c>
      <c r="J658" t="s">
        <v>15</v>
      </c>
      <c r="K658" t="str">
        <f t="shared" si="10"/>
        <v>49+ Months</v>
      </c>
      <c r="L658">
        <f>IF(Table13[[#This Row],[Churn]]="Yes",1,0)</f>
        <v>0</v>
      </c>
    </row>
    <row r="659" spans="1:12" x14ac:dyDescent="0.35">
      <c r="A659" t="s">
        <v>681</v>
      </c>
      <c r="B659" t="s">
        <v>11</v>
      </c>
      <c r="C659">
        <v>31</v>
      </c>
      <c r="D659">
        <v>7</v>
      </c>
      <c r="E659" t="s">
        <v>21</v>
      </c>
      <c r="F659" t="s">
        <v>22</v>
      </c>
      <c r="G659" t="s">
        <v>14</v>
      </c>
      <c r="H659">
        <v>142.66</v>
      </c>
      <c r="I659">
        <v>1003.7</v>
      </c>
      <c r="J659" t="s">
        <v>15</v>
      </c>
      <c r="K659" t="str">
        <f t="shared" si="10"/>
        <v>0-12 Months</v>
      </c>
      <c r="L659">
        <f>IF(Table13[[#This Row],[Churn]]="Yes",1,0)</f>
        <v>0</v>
      </c>
    </row>
    <row r="660" spans="1:12" x14ac:dyDescent="0.35">
      <c r="A660" t="s">
        <v>682</v>
      </c>
      <c r="B660" t="s">
        <v>17</v>
      </c>
      <c r="C660">
        <v>48</v>
      </c>
      <c r="D660">
        <v>52</v>
      </c>
      <c r="E660" t="s">
        <v>18</v>
      </c>
      <c r="F660" t="s">
        <v>33</v>
      </c>
      <c r="G660" t="s">
        <v>14</v>
      </c>
      <c r="H660">
        <v>133.26</v>
      </c>
      <c r="I660">
        <v>6388.31</v>
      </c>
      <c r="J660" t="s">
        <v>15</v>
      </c>
      <c r="K660" t="str">
        <f t="shared" si="10"/>
        <v>49+ Months</v>
      </c>
      <c r="L660">
        <f>IF(Table13[[#This Row],[Churn]]="Yes",1,0)</f>
        <v>0</v>
      </c>
    </row>
    <row r="661" spans="1:12" x14ac:dyDescent="0.35">
      <c r="A661" t="s">
        <v>683</v>
      </c>
      <c r="B661" t="s">
        <v>17</v>
      </c>
      <c r="C661">
        <v>65</v>
      </c>
      <c r="D661">
        <v>14</v>
      </c>
      <c r="E661" t="s">
        <v>12</v>
      </c>
      <c r="F661" t="s">
        <v>22</v>
      </c>
      <c r="G661" t="s">
        <v>23</v>
      </c>
      <c r="H661">
        <v>57.63</v>
      </c>
      <c r="I661">
        <v>758.87</v>
      </c>
      <c r="J661" t="s">
        <v>27</v>
      </c>
      <c r="K661" t="str">
        <f t="shared" si="10"/>
        <v>13-24 Months</v>
      </c>
      <c r="L661">
        <f>IF(Table13[[#This Row],[Churn]]="Yes",1,0)</f>
        <v>1</v>
      </c>
    </row>
    <row r="662" spans="1:12" x14ac:dyDescent="0.35">
      <c r="A662" t="s">
        <v>684</v>
      </c>
      <c r="B662" t="s">
        <v>17</v>
      </c>
      <c r="C662">
        <v>35</v>
      </c>
      <c r="D662">
        <v>15</v>
      </c>
      <c r="E662" t="s">
        <v>12</v>
      </c>
      <c r="F662" t="s">
        <v>13</v>
      </c>
      <c r="G662" t="s">
        <v>14</v>
      </c>
      <c r="H662">
        <v>121.82</v>
      </c>
      <c r="I662">
        <v>2009.42</v>
      </c>
      <c r="J662" t="s">
        <v>15</v>
      </c>
      <c r="K662" t="str">
        <f t="shared" si="10"/>
        <v>13-24 Months</v>
      </c>
      <c r="L662">
        <f>IF(Table13[[#This Row],[Churn]]="Yes",1,0)</f>
        <v>0</v>
      </c>
    </row>
    <row r="663" spans="1:12" x14ac:dyDescent="0.35">
      <c r="A663" t="s">
        <v>685</v>
      </c>
      <c r="B663" t="s">
        <v>11</v>
      </c>
      <c r="C663">
        <v>24</v>
      </c>
      <c r="D663">
        <v>21</v>
      </c>
      <c r="E663" t="s">
        <v>21</v>
      </c>
      <c r="F663" t="s">
        <v>29</v>
      </c>
      <c r="G663" t="s">
        <v>19</v>
      </c>
      <c r="H663">
        <v>124.42</v>
      </c>
      <c r="I663">
        <v>2634.43</v>
      </c>
      <c r="J663" t="s">
        <v>15</v>
      </c>
      <c r="K663" t="str">
        <f t="shared" si="10"/>
        <v>13-24 Months</v>
      </c>
      <c r="L663">
        <f>IF(Table13[[#This Row],[Churn]]="Yes",1,0)</f>
        <v>0</v>
      </c>
    </row>
    <row r="664" spans="1:12" x14ac:dyDescent="0.35">
      <c r="A664" t="s">
        <v>686</v>
      </c>
      <c r="B664" t="s">
        <v>11</v>
      </c>
      <c r="C664">
        <v>27</v>
      </c>
      <c r="D664">
        <v>35</v>
      </c>
      <c r="E664" t="s">
        <v>18</v>
      </c>
      <c r="F664" t="s">
        <v>22</v>
      </c>
      <c r="G664" t="s">
        <v>19</v>
      </c>
      <c r="H664">
        <v>148.25</v>
      </c>
      <c r="I664">
        <v>4964.66</v>
      </c>
      <c r="J664" t="s">
        <v>27</v>
      </c>
      <c r="K664" t="str">
        <f t="shared" si="10"/>
        <v>25-48 Months</v>
      </c>
      <c r="L664">
        <f>IF(Table13[[#This Row],[Churn]]="Yes",1,0)</f>
        <v>1</v>
      </c>
    </row>
    <row r="665" spans="1:12" x14ac:dyDescent="0.35">
      <c r="A665" t="s">
        <v>687</v>
      </c>
      <c r="B665" t="s">
        <v>17</v>
      </c>
      <c r="C665">
        <v>24</v>
      </c>
      <c r="D665">
        <v>66</v>
      </c>
      <c r="E665" t="s">
        <v>12</v>
      </c>
      <c r="F665" t="s">
        <v>22</v>
      </c>
      <c r="G665" t="s">
        <v>19</v>
      </c>
      <c r="H665">
        <v>97.72</v>
      </c>
      <c r="I665">
        <v>7087.73</v>
      </c>
      <c r="J665" t="s">
        <v>15</v>
      </c>
      <c r="K665" t="str">
        <f t="shared" si="10"/>
        <v>49+ Months</v>
      </c>
      <c r="L665">
        <f>IF(Table13[[#This Row],[Churn]]="Yes",1,0)</f>
        <v>0</v>
      </c>
    </row>
    <row r="666" spans="1:12" x14ac:dyDescent="0.35">
      <c r="A666" t="s">
        <v>688</v>
      </c>
      <c r="B666" t="s">
        <v>11</v>
      </c>
      <c r="C666">
        <v>50</v>
      </c>
      <c r="D666">
        <v>2</v>
      </c>
      <c r="E666" t="s">
        <v>12</v>
      </c>
      <c r="F666" t="s">
        <v>22</v>
      </c>
      <c r="G666" t="s">
        <v>23</v>
      </c>
      <c r="H666">
        <v>30.66</v>
      </c>
      <c r="I666">
        <v>67.040000000000006</v>
      </c>
      <c r="J666" t="s">
        <v>27</v>
      </c>
      <c r="K666" t="str">
        <f t="shared" si="10"/>
        <v>0-12 Months</v>
      </c>
      <c r="L666">
        <f>IF(Table13[[#This Row],[Churn]]="Yes",1,0)</f>
        <v>1</v>
      </c>
    </row>
    <row r="667" spans="1:12" x14ac:dyDescent="0.35">
      <c r="A667" t="s">
        <v>689</v>
      </c>
      <c r="B667" t="s">
        <v>11</v>
      </c>
      <c r="C667">
        <v>40</v>
      </c>
      <c r="D667">
        <v>35</v>
      </c>
      <c r="E667" t="s">
        <v>12</v>
      </c>
      <c r="F667" t="s">
        <v>22</v>
      </c>
      <c r="G667" t="s">
        <v>14</v>
      </c>
      <c r="H667">
        <v>104.09</v>
      </c>
      <c r="I667">
        <v>3599.97</v>
      </c>
      <c r="J667" t="s">
        <v>15</v>
      </c>
      <c r="K667" t="str">
        <f t="shared" si="10"/>
        <v>25-48 Months</v>
      </c>
      <c r="L667">
        <f>IF(Table13[[#This Row],[Churn]]="Yes",1,0)</f>
        <v>0</v>
      </c>
    </row>
    <row r="668" spans="1:12" x14ac:dyDescent="0.35">
      <c r="A668" t="s">
        <v>690</v>
      </c>
      <c r="B668" t="s">
        <v>17</v>
      </c>
      <c r="C668">
        <v>38</v>
      </c>
      <c r="D668">
        <v>20</v>
      </c>
      <c r="E668" t="s">
        <v>18</v>
      </c>
      <c r="F668" t="s">
        <v>13</v>
      </c>
      <c r="G668" t="s">
        <v>14</v>
      </c>
      <c r="H668">
        <v>101.25</v>
      </c>
      <c r="I668">
        <v>1927.96</v>
      </c>
      <c r="J668" t="s">
        <v>15</v>
      </c>
      <c r="K668" t="str">
        <f t="shared" si="10"/>
        <v>13-24 Months</v>
      </c>
      <c r="L668">
        <f>IF(Table13[[#This Row],[Churn]]="Yes",1,0)</f>
        <v>0</v>
      </c>
    </row>
    <row r="669" spans="1:12" x14ac:dyDescent="0.35">
      <c r="A669" t="s">
        <v>691</v>
      </c>
      <c r="B669" t="s">
        <v>17</v>
      </c>
      <c r="C669">
        <v>36</v>
      </c>
      <c r="D669">
        <v>10</v>
      </c>
      <c r="E669" t="s">
        <v>12</v>
      </c>
      <c r="F669" t="s">
        <v>22</v>
      </c>
      <c r="G669" t="s">
        <v>14</v>
      </c>
      <c r="H669">
        <v>102.99</v>
      </c>
      <c r="I669">
        <v>1099.5999999999999</v>
      </c>
      <c r="J669" t="s">
        <v>15</v>
      </c>
      <c r="K669" t="str">
        <f t="shared" si="10"/>
        <v>0-12 Months</v>
      </c>
      <c r="L669">
        <f>IF(Table13[[#This Row],[Churn]]="Yes",1,0)</f>
        <v>0</v>
      </c>
    </row>
    <row r="670" spans="1:12" x14ac:dyDescent="0.35">
      <c r="A670" t="s">
        <v>692</v>
      </c>
      <c r="B670" t="s">
        <v>11</v>
      </c>
      <c r="C670">
        <v>65</v>
      </c>
      <c r="D670">
        <v>25</v>
      </c>
      <c r="E670" t="s">
        <v>12</v>
      </c>
      <c r="F670" t="s">
        <v>33</v>
      </c>
      <c r="G670" t="s">
        <v>23</v>
      </c>
      <c r="H670">
        <v>59.93</v>
      </c>
      <c r="I670">
        <v>1562.86</v>
      </c>
      <c r="J670" t="s">
        <v>15</v>
      </c>
      <c r="K670" t="str">
        <f t="shared" si="10"/>
        <v>25-48 Months</v>
      </c>
      <c r="L670">
        <f>IF(Table13[[#This Row],[Churn]]="Yes",1,0)</f>
        <v>0</v>
      </c>
    </row>
    <row r="671" spans="1:12" x14ac:dyDescent="0.35">
      <c r="A671" t="s">
        <v>693</v>
      </c>
      <c r="B671" t="s">
        <v>11</v>
      </c>
      <c r="C671">
        <v>36</v>
      </c>
      <c r="D671">
        <v>66</v>
      </c>
      <c r="E671" t="s">
        <v>21</v>
      </c>
      <c r="F671" t="s">
        <v>13</v>
      </c>
      <c r="G671" t="s">
        <v>14</v>
      </c>
      <c r="H671">
        <v>131.76</v>
      </c>
      <c r="I671">
        <v>9021.2900000000009</v>
      </c>
      <c r="J671" t="s">
        <v>15</v>
      </c>
      <c r="K671" t="str">
        <f t="shared" si="10"/>
        <v>49+ Months</v>
      </c>
      <c r="L671">
        <f>IF(Table13[[#This Row],[Churn]]="Yes",1,0)</f>
        <v>0</v>
      </c>
    </row>
    <row r="672" spans="1:12" x14ac:dyDescent="0.35">
      <c r="A672" t="s">
        <v>694</v>
      </c>
      <c r="B672" t="s">
        <v>11</v>
      </c>
      <c r="C672">
        <v>53</v>
      </c>
      <c r="D672">
        <v>25</v>
      </c>
      <c r="E672" t="s">
        <v>21</v>
      </c>
      <c r="F672" t="s">
        <v>22</v>
      </c>
      <c r="G672" t="s">
        <v>23</v>
      </c>
      <c r="H672">
        <v>144.72999999999999</v>
      </c>
      <c r="I672">
        <v>3902.73</v>
      </c>
      <c r="J672" t="s">
        <v>15</v>
      </c>
      <c r="K672" t="str">
        <f t="shared" si="10"/>
        <v>25-48 Months</v>
      </c>
      <c r="L672">
        <f>IF(Table13[[#This Row],[Churn]]="Yes",1,0)</f>
        <v>0</v>
      </c>
    </row>
    <row r="673" spans="1:12" x14ac:dyDescent="0.35">
      <c r="A673" t="s">
        <v>695</v>
      </c>
      <c r="B673" t="s">
        <v>17</v>
      </c>
      <c r="C673">
        <v>46</v>
      </c>
      <c r="D673">
        <v>54</v>
      </c>
      <c r="E673" t="s">
        <v>12</v>
      </c>
      <c r="F673" t="s">
        <v>13</v>
      </c>
      <c r="G673" t="s">
        <v>14</v>
      </c>
      <c r="H673">
        <v>48.3</v>
      </c>
      <c r="I673">
        <v>2707.01</v>
      </c>
      <c r="J673" t="s">
        <v>15</v>
      </c>
      <c r="K673" t="str">
        <f t="shared" si="10"/>
        <v>49+ Months</v>
      </c>
      <c r="L673">
        <f>IF(Table13[[#This Row],[Churn]]="Yes",1,0)</f>
        <v>0</v>
      </c>
    </row>
    <row r="674" spans="1:12" x14ac:dyDescent="0.35">
      <c r="A674" t="s">
        <v>696</v>
      </c>
      <c r="B674" t="s">
        <v>17</v>
      </c>
      <c r="C674">
        <v>35</v>
      </c>
      <c r="D674">
        <v>33</v>
      </c>
      <c r="E674" t="s">
        <v>18</v>
      </c>
      <c r="F674" t="s">
        <v>22</v>
      </c>
      <c r="G674" t="s">
        <v>14</v>
      </c>
      <c r="H674">
        <v>31.46</v>
      </c>
      <c r="I674">
        <v>993.29</v>
      </c>
      <c r="J674" t="s">
        <v>15</v>
      </c>
      <c r="K674" t="str">
        <f t="shared" si="10"/>
        <v>25-48 Months</v>
      </c>
      <c r="L674">
        <f>IF(Table13[[#This Row],[Churn]]="Yes",1,0)</f>
        <v>0</v>
      </c>
    </row>
    <row r="675" spans="1:12" x14ac:dyDescent="0.35">
      <c r="A675" t="s">
        <v>697</v>
      </c>
      <c r="B675" t="s">
        <v>17</v>
      </c>
      <c r="C675">
        <v>19</v>
      </c>
      <c r="D675">
        <v>36</v>
      </c>
      <c r="E675" t="s">
        <v>12</v>
      </c>
      <c r="F675" t="s">
        <v>22</v>
      </c>
      <c r="G675" t="s">
        <v>19</v>
      </c>
      <c r="H675">
        <v>45.29</v>
      </c>
      <c r="I675">
        <v>1693.66</v>
      </c>
      <c r="J675" t="s">
        <v>15</v>
      </c>
      <c r="K675" t="str">
        <f t="shared" si="10"/>
        <v>25-48 Months</v>
      </c>
      <c r="L675">
        <f>IF(Table13[[#This Row],[Churn]]="Yes",1,0)</f>
        <v>0</v>
      </c>
    </row>
    <row r="676" spans="1:12" x14ac:dyDescent="0.35">
      <c r="A676" t="s">
        <v>698</v>
      </c>
      <c r="B676" t="s">
        <v>17</v>
      </c>
      <c r="C676">
        <v>18</v>
      </c>
      <c r="D676">
        <v>14</v>
      </c>
      <c r="E676" t="s">
        <v>21</v>
      </c>
      <c r="F676" t="s">
        <v>29</v>
      </c>
      <c r="G676" t="s">
        <v>19</v>
      </c>
      <c r="H676">
        <v>126.67</v>
      </c>
      <c r="I676">
        <v>1704.51</v>
      </c>
      <c r="J676" t="s">
        <v>15</v>
      </c>
      <c r="K676" t="str">
        <f t="shared" si="10"/>
        <v>13-24 Months</v>
      </c>
      <c r="L676">
        <f>IF(Table13[[#This Row],[Churn]]="Yes",1,0)</f>
        <v>0</v>
      </c>
    </row>
    <row r="677" spans="1:12" x14ac:dyDescent="0.35">
      <c r="A677" t="s">
        <v>699</v>
      </c>
      <c r="B677" t="s">
        <v>11</v>
      </c>
      <c r="C677">
        <v>64</v>
      </c>
      <c r="D677">
        <v>65</v>
      </c>
      <c r="E677" t="s">
        <v>12</v>
      </c>
      <c r="F677" t="s">
        <v>22</v>
      </c>
      <c r="G677" t="s">
        <v>23</v>
      </c>
      <c r="H677">
        <v>107.96</v>
      </c>
      <c r="I677">
        <v>7381.24</v>
      </c>
      <c r="J677" t="s">
        <v>27</v>
      </c>
      <c r="K677" t="str">
        <f t="shared" si="10"/>
        <v>49+ Months</v>
      </c>
      <c r="L677">
        <f>IF(Table13[[#This Row],[Churn]]="Yes",1,0)</f>
        <v>1</v>
      </c>
    </row>
    <row r="678" spans="1:12" x14ac:dyDescent="0.35">
      <c r="A678" t="s">
        <v>700</v>
      </c>
      <c r="B678" t="s">
        <v>17</v>
      </c>
      <c r="C678">
        <v>22</v>
      </c>
      <c r="D678">
        <v>54</v>
      </c>
      <c r="E678" t="s">
        <v>21</v>
      </c>
      <c r="F678" t="s">
        <v>29</v>
      </c>
      <c r="G678" t="s">
        <v>19</v>
      </c>
      <c r="H678">
        <v>102.69</v>
      </c>
      <c r="I678">
        <v>5678.07</v>
      </c>
      <c r="J678" t="s">
        <v>27</v>
      </c>
      <c r="K678" t="str">
        <f t="shared" si="10"/>
        <v>49+ Months</v>
      </c>
      <c r="L678">
        <f>IF(Table13[[#This Row],[Churn]]="Yes",1,0)</f>
        <v>1</v>
      </c>
    </row>
    <row r="679" spans="1:12" x14ac:dyDescent="0.35">
      <c r="A679" t="s">
        <v>701</v>
      </c>
      <c r="B679" t="s">
        <v>17</v>
      </c>
      <c r="C679">
        <v>37</v>
      </c>
      <c r="D679">
        <v>52</v>
      </c>
      <c r="E679" t="s">
        <v>12</v>
      </c>
      <c r="F679" t="s">
        <v>22</v>
      </c>
      <c r="G679" t="s">
        <v>14</v>
      </c>
      <c r="H679">
        <v>72.23</v>
      </c>
      <c r="I679">
        <v>3438.51</v>
      </c>
      <c r="J679" t="s">
        <v>15</v>
      </c>
      <c r="K679" t="str">
        <f t="shared" si="10"/>
        <v>49+ Months</v>
      </c>
      <c r="L679">
        <f>IF(Table13[[#This Row],[Churn]]="Yes",1,0)</f>
        <v>0</v>
      </c>
    </row>
    <row r="680" spans="1:12" x14ac:dyDescent="0.35">
      <c r="A680" t="s">
        <v>702</v>
      </c>
      <c r="B680" t="s">
        <v>17</v>
      </c>
      <c r="C680">
        <v>28</v>
      </c>
      <c r="D680">
        <v>3</v>
      </c>
      <c r="E680" t="s">
        <v>18</v>
      </c>
      <c r="F680" t="s">
        <v>13</v>
      </c>
      <c r="G680" t="s">
        <v>19</v>
      </c>
      <c r="H680">
        <v>95.12</v>
      </c>
      <c r="I680">
        <v>286.08999999999997</v>
      </c>
      <c r="J680" t="s">
        <v>15</v>
      </c>
      <c r="K680" t="str">
        <f t="shared" si="10"/>
        <v>0-12 Months</v>
      </c>
      <c r="L680">
        <f>IF(Table13[[#This Row],[Churn]]="Yes",1,0)</f>
        <v>0</v>
      </c>
    </row>
    <row r="681" spans="1:12" x14ac:dyDescent="0.35">
      <c r="A681" t="s">
        <v>703</v>
      </c>
      <c r="B681" t="s">
        <v>17</v>
      </c>
      <c r="C681">
        <v>59</v>
      </c>
      <c r="D681">
        <v>41</v>
      </c>
      <c r="E681" t="s">
        <v>21</v>
      </c>
      <c r="F681" t="s">
        <v>22</v>
      </c>
      <c r="G681" t="s">
        <v>23</v>
      </c>
      <c r="H681">
        <v>60.02</v>
      </c>
      <c r="I681">
        <v>2383.6999999999998</v>
      </c>
      <c r="J681" t="s">
        <v>15</v>
      </c>
      <c r="K681" t="str">
        <f t="shared" si="10"/>
        <v>25-48 Months</v>
      </c>
      <c r="L681">
        <f>IF(Table13[[#This Row],[Churn]]="Yes",1,0)</f>
        <v>0</v>
      </c>
    </row>
    <row r="682" spans="1:12" x14ac:dyDescent="0.35">
      <c r="A682" t="s">
        <v>704</v>
      </c>
      <c r="B682" t="s">
        <v>17</v>
      </c>
      <c r="C682">
        <v>19</v>
      </c>
      <c r="D682">
        <v>6</v>
      </c>
      <c r="E682" t="s">
        <v>21</v>
      </c>
      <c r="F682" t="s">
        <v>29</v>
      </c>
      <c r="G682" t="s">
        <v>19</v>
      </c>
      <c r="H682">
        <v>82.04</v>
      </c>
      <c r="I682">
        <v>475.36</v>
      </c>
      <c r="J682" t="s">
        <v>15</v>
      </c>
      <c r="K682" t="str">
        <f t="shared" si="10"/>
        <v>0-12 Months</v>
      </c>
      <c r="L682">
        <f>IF(Table13[[#This Row],[Churn]]="Yes",1,0)</f>
        <v>0</v>
      </c>
    </row>
    <row r="683" spans="1:12" x14ac:dyDescent="0.35">
      <c r="A683" t="s">
        <v>705</v>
      </c>
      <c r="B683" t="s">
        <v>11</v>
      </c>
      <c r="C683">
        <v>20</v>
      </c>
      <c r="D683">
        <v>25</v>
      </c>
      <c r="E683" t="s">
        <v>21</v>
      </c>
      <c r="F683" t="s">
        <v>22</v>
      </c>
      <c r="G683" t="s">
        <v>19</v>
      </c>
      <c r="H683">
        <v>123.1</v>
      </c>
      <c r="I683">
        <v>3140.44</v>
      </c>
      <c r="J683" t="s">
        <v>15</v>
      </c>
      <c r="K683" t="str">
        <f t="shared" si="10"/>
        <v>25-48 Months</v>
      </c>
      <c r="L683">
        <f>IF(Table13[[#This Row],[Churn]]="Yes",1,0)</f>
        <v>0</v>
      </c>
    </row>
    <row r="684" spans="1:12" x14ac:dyDescent="0.35">
      <c r="A684" t="s">
        <v>706</v>
      </c>
      <c r="B684" t="s">
        <v>11</v>
      </c>
      <c r="C684">
        <v>40</v>
      </c>
      <c r="D684">
        <v>13</v>
      </c>
      <c r="E684" t="s">
        <v>21</v>
      </c>
      <c r="F684" t="s">
        <v>29</v>
      </c>
      <c r="G684" t="s">
        <v>14</v>
      </c>
      <c r="H684">
        <v>147.56</v>
      </c>
      <c r="I684">
        <v>1850.11</v>
      </c>
      <c r="J684" t="s">
        <v>15</v>
      </c>
      <c r="K684" t="str">
        <f t="shared" si="10"/>
        <v>13-24 Months</v>
      </c>
      <c r="L684">
        <f>IF(Table13[[#This Row],[Churn]]="Yes",1,0)</f>
        <v>0</v>
      </c>
    </row>
    <row r="685" spans="1:12" x14ac:dyDescent="0.35">
      <c r="A685" t="s">
        <v>707</v>
      </c>
      <c r="B685" t="s">
        <v>17</v>
      </c>
      <c r="C685">
        <v>29</v>
      </c>
      <c r="D685">
        <v>8</v>
      </c>
      <c r="E685" t="s">
        <v>12</v>
      </c>
      <c r="F685" t="s">
        <v>33</v>
      </c>
      <c r="G685" t="s">
        <v>19</v>
      </c>
      <c r="H685">
        <v>141.22</v>
      </c>
      <c r="I685">
        <v>1192.32</v>
      </c>
      <c r="J685" t="s">
        <v>27</v>
      </c>
      <c r="K685" t="str">
        <f t="shared" si="10"/>
        <v>0-12 Months</v>
      </c>
      <c r="L685">
        <f>IF(Table13[[#This Row],[Churn]]="Yes",1,0)</f>
        <v>1</v>
      </c>
    </row>
    <row r="686" spans="1:12" x14ac:dyDescent="0.35">
      <c r="A686" t="s">
        <v>708</v>
      </c>
      <c r="B686" t="s">
        <v>11</v>
      </c>
      <c r="C686">
        <v>37</v>
      </c>
      <c r="D686">
        <v>21</v>
      </c>
      <c r="E686" t="s">
        <v>12</v>
      </c>
      <c r="F686" t="s">
        <v>33</v>
      </c>
      <c r="G686" t="s">
        <v>14</v>
      </c>
      <c r="H686">
        <v>141.4</v>
      </c>
      <c r="I686">
        <v>2714.5</v>
      </c>
      <c r="J686" t="s">
        <v>27</v>
      </c>
      <c r="K686" t="str">
        <f t="shared" si="10"/>
        <v>13-24 Months</v>
      </c>
      <c r="L686">
        <f>IF(Table13[[#This Row],[Churn]]="Yes",1,0)</f>
        <v>1</v>
      </c>
    </row>
    <row r="687" spans="1:12" x14ac:dyDescent="0.35">
      <c r="A687" t="s">
        <v>709</v>
      </c>
      <c r="B687" t="s">
        <v>17</v>
      </c>
      <c r="C687">
        <v>22</v>
      </c>
      <c r="D687">
        <v>68</v>
      </c>
      <c r="E687" t="s">
        <v>18</v>
      </c>
      <c r="F687" t="s">
        <v>33</v>
      </c>
      <c r="G687" t="s">
        <v>19</v>
      </c>
      <c r="H687">
        <v>72.290000000000006</v>
      </c>
      <c r="I687">
        <v>5073.3999999999996</v>
      </c>
      <c r="J687" t="s">
        <v>15</v>
      </c>
      <c r="K687" t="str">
        <f t="shared" si="10"/>
        <v>49+ Months</v>
      </c>
      <c r="L687">
        <f>IF(Table13[[#This Row],[Churn]]="Yes",1,0)</f>
        <v>0</v>
      </c>
    </row>
    <row r="688" spans="1:12" x14ac:dyDescent="0.35">
      <c r="A688" t="s">
        <v>710</v>
      </c>
      <c r="B688" t="s">
        <v>17</v>
      </c>
      <c r="C688">
        <v>54</v>
      </c>
      <c r="D688">
        <v>25</v>
      </c>
      <c r="E688" t="s">
        <v>12</v>
      </c>
      <c r="F688" t="s">
        <v>22</v>
      </c>
      <c r="G688" t="s">
        <v>23</v>
      </c>
      <c r="H688">
        <v>80.94</v>
      </c>
      <c r="I688">
        <v>2148.63</v>
      </c>
      <c r="J688" t="s">
        <v>15</v>
      </c>
      <c r="K688" t="str">
        <f t="shared" si="10"/>
        <v>25-48 Months</v>
      </c>
      <c r="L688">
        <f>IF(Table13[[#This Row],[Churn]]="Yes",1,0)</f>
        <v>0</v>
      </c>
    </row>
    <row r="689" spans="1:12" x14ac:dyDescent="0.35">
      <c r="A689" t="s">
        <v>711</v>
      </c>
      <c r="B689" t="s">
        <v>11</v>
      </c>
      <c r="C689">
        <v>55</v>
      </c>
      <c r="D689">
        <v>68</v>
      </c>
      <c r="E689" t="s">
        <v>21</v>
      </c>
      <c r="F689" t="s">
        <v>22</v>
      </c>
      <c r="G689" t="s">
        <v>23</v>
      </c>
      <c r="H689">
        <v>111.73</v>
      </c>
      <c r="I689">
        <v>7860.26</v>
      </c>
      <c r="J689" t="s">
        <v>15</v>
      </c>
      <c r="K689" t="str">
        <f t="shared" si="10"/>
        <v>49+ Months</v>
      </c>
      <c r="L689">
        <f>IF(Table13[[#This Row],[Churn]]="Yes",1,0)</f>
        <v>0</v>
      </c>
    </row>
    <row r="690" spans="1:12" x14ac:dyDescent="0.35">
      <c r="A690" t="s">
        <v>712</v>
      </c>
      <c r="B690" t="s">
        <v>11</v>
      </c>
      <c r="C690">
        <v>47</v>
      </c>
      <c r="D690">
        <v>45</v>
      </c>
      <c r="E690" t="s">
        <v>18</v>
      </c>
      <c r="F690" t="s">
        <v>29</v>
      </c>
      <c r="G690" t="s">
        <v>14</v>
      </c>
      <c r="H690">
        <v>139.88</v>
      </c>
      <c r="I690">
        <v>6291.11</v>
      </c>
      <c r="J690" t="s">
        <v>15</v>
      </c>
      <c r="K690" t="str">
        <f t="shared" si="10"/>
        <v>25-48 Months</v>
      </c>
      <c r="L690">
        <f>IF(Table13[[#This Row],[Churn]]="Yes",1,0)</f>
        <v>0</v>
      </c>
    </row>
    <row r="691" spans="1:12" x14ac:dyDescent="0.35">
      <c r="A691" t="s">
        <v>713</v>
      </c>
      <c r="B691" t="s">
        <v>17</v>
      </c>
      <c r="C691">
        <v>26</v>
      </c>
      <c r="D691">
        <v>60</v>
      </c>
      <c r="E691" t="s">
        <v>12</v>
      </c>
      <c r="F691" t="s">
        <v>29</v>
      </c>
      <c r="G691" t="s">
        <v>19</v>
      </c>
      <c r="H691">
        <v>38.46</v>
      </c>
      <c r="I691">
        <v>2515.4299999999998</v>
      </c>
      <c r="J691" t="s">
        <v>15</v>
      </c>
      <c r="K691" t="str">
        <f t="shared" si="10"/>
        <v>49+ Months</v>
      </c>
      <c r="L691">
        <f>IF(Table13[[#This Row],[Churn]]="Yes",1,0)</f>
        <v>0</v>
      </c>
    </row>
    <row r="692" spans="1:12" x14ac:dyDescent="0.35">
      <c r="A692" t="s">
        <v>714</v>
      </c>
      <c r="B692" t="s">
        <v>17</v>
      </c>
      <c r="C692">
        <v>51</v>
      </c>
      <c r="D692">
        <v>12</v>
      </c>
      <c r="E692" t="s">
        <v>21</v>
      </c>
      <c r="F692" t="s">
        <v>13</v>
      </c>
      <c r="G692" t="s">
        <v>23</v>
      </c>
      <c r="H692">
        <v>59.55</v>
      </c>
      <c r="I692">
        <v>686.01</v>
      </c>
      <c r="J692" t="s">
        <v>15</v>
      </c>
      <c r="K692" t="str">
        <f t="shared" si="10"/>
        <v>0-12 Months</v>
      </c>
      <c r="L692">
        <f>IF(Table13[[#This Row],[Churn]]="Yes",1,0)</f>
        <v>0</v>
      </c>
    </row>
    <row r="693" spans="1:12" x14ac:dyDescent="0.35">
      <c r="A693" t="s">
        <v>715</v>
      </c>
      <c r="B693" t="s">
        <v>17</v>
      </c>
      <c r="C693">
        <v>70</v>
      </c>
      <c r="D693">
        <v>32</v>
      </c>
      <c r="E693" t="s">
        <v>12</v>
      </c>
      <c r="F693" t="s">
        <v>22</v>
      </c>
      <c r="G693" t="s">
        <v>23</v>
      </c>
      <c r="H693">
        <v>38.1</v>
      </c>
      <c r="I693">
        <v>1101.95</v>
      </c>
      <c r="J693" t="s">
        <v>27</v>
      </c>
      <c r="K693" t="str">
        <f t="shared" si="10"/>
        <v>25-48 Months</v>
      </c>
      <c r="L693">
        <f>IF(Table13[[#This Row],[Churn]]="Yes",1,0)</f>
        <v>1</v>
      </c>
    </row>
    <row r="694" spans="1:12" x14ac:dyDescent="0.35">
      <c r="A694" t="s">
        <v>716</v>
      </c>
      <c r="B694" t="s">
        <v>11</v>
      </c>
      <c r="C694">
        <v>61</v>
      </c>
      <c r="D694">
        <v>13</v>
      </c>
      <c r="E694" t="s">
        <v>21</v>
      </c>
      <c r="F694" t="s">
        <v>33</v>
      </c>
      <c r="G694" t="s">
        <v>23</v>
      </c>
      <c r="H694">
        <v>99.56</v>
      </c>
      <c r="I694">
        <v>1276.68</v>
      </c>
      <c r="J694" t="s">
        <v>15</v>
      </c>
      <c r="K694" t="str">
        <f t="shared" si="10"/>
        <v>13-24 Months</v>
      </c>
      <c r="L694">
        <f>IF(Table13[[#This Row],[Churn]]="Yes",1,0)</f>
        <v>0</v>
      </c>
    </row>
    <row r="695" spans="1:12" x14ac:dyDescent="0.35">
      <c r="A695" t="s">
        <v>717</v>
      </c>
      <c r="B695" t="s">
        <v>17</v>
      </c>
      <c r="C695">
        <v>52</v>
      </c>
      <c r="D695">
        <v>31</v>
      </c>
      <c r="E695" t="s">
        <v>12</v>
      </c>
      <c r="F695" t="s">
        <v>29</v>
      </c>
      <c r="G695" t="s">
        <v>23</v>
      </c>
      <c r="H695">
        <v>59.82</v>
      </c>
      <c r="I695">
        <v>1681.22</v>
      </c>
      <c r="J695" t="s">
        <v>15</v>
      </c>
      <c r="K695" t="str">
        <f t="shared" si="10"/>
        <v>25-48 Months</v>
      </c>
      <c r="L695">
        <f>IF(Table13[[#This Row],[Churn]]="Yes",1,0)</f>
        <v>0</v>
      </c>
    </row>
    <row r="696" spans="1:12" x14ac:dyDescent="0.35">
      <c r="A696" t="s">
        <v>718</v>
      </c>
      <c r="B696" t="s">
        <v>17</v>
      </c>
      <c r="C696">
        <v>69</v>
      </c>
      <c r="D696">
        <v>20</v>
      </c>
      <c r="E696" t="s">
        <v>12</v>
      </c>
      <c r="F696" t="s">
        <v>33</v>
      </c>
      <c r="G696" t="s">
        <v>23</v>
      </c>
      <c r="H696">
        <v>62.39</v>
      </c>
      <c r="I696">
        <v>1361.08</v>
      </c>
      <c r="J696" t="s">
        <v>15</v>
      </c>
      <c r="K696" t="str">
        <f t="shared" si="10"/>
        <v>13-24 Months</v>
      </c>
      <c r="L696">
        <f>IF(Table13[[#This Row],[Churn]]="Yes",1,0)</f>
        <v>0</v>
      </c>
    </row>
    <row r="697" spans="1:12" x14ac:dyDescent="0.35">
      <c r="A697" t="s">
        <v>719</v>
      </c>
      <c r="B697" t="s">
        <v>17</v>
      </c>
      <c r="C697">
        <v>39</v>
      </c>
      <c r="D697">
        <v>18</v>
      </c>
      <c r="E697" t="s">
        <v>21</v>
      </c>
      <c r="F697" t="s">
        <v>22</v>
      </c>
      <c r="G697" t="s">
        <v>14</v>
      </c>
      <c r="H697">
        <v>29.22</v>
      </c>
      <c r="I697">
        <v>495.45</v>
      </c>
      <c r="J697" t="s">
        <v>15</v>
      </c>
      <c r="K697" t="str">
        <f t="shared" si="10"/>
        <v>13-24 Months</v>
      </c>
      <c r="L697">
        <f>IF(Table13[[#This Row],[Churn]]="Yes",1,0)</f>
        <v>0</v>
      </c>
    </row>
    <row r="698" spans="1:12" x14ac:dyDescent="0.35">
      <c r="A698" t="s">
        <v>720</v>
      </c>
      <c r="B698" t="s">
        <v>11</v>
      </c>
      <c r="C698">
        <v>61</v>
      </c>
      <c r="D698">
        <v>60</v>
      </c>
      <c r="E698" t="s">
        <v>18</v>
      </c>
      <c r="F698" t="s">
        <v>22</v>
      </c>
      <c r="G698" t="s">
        <v>23</v>
      </c>
      <c r="H698">
        <v>65.47</v>
      </c>
      <c r="I698">
        <v>4155.1899999999996</v>
      </c>
      <c r="J698" t="s">
        <v>15</v>
      </c>
      <c r="K698" t="str">
        <f t="shared" si="10"/>
        <v>49+ Months</v>
      </c>
      <c r="L698">
        <f>IF(Table13[[#This Row],[Churn]]="Yes",1,0)</f>
        <v>0</v>
      </c>
    </row>
    <row r="699" spans="1:12" x14ac:dyDescent="0.35">
      <c r="A699" t="s">
        <v>721</v>
      </c>
      <c r="B699" t="s">
        <v>17</v>
      </c>
      <c r="C699">
        <v>41</v>
      </c>
      <c r="D699">
        <v>63</v>
      </c>
      <c r="E699" t="s">
        <v>21</v>
      </c>
      <c r="F699" t="s">
        <v>29</v>
      </c>
      <c r="G699" t="s">
        <v>14</v>
      </c>
      <c r="H699">
        <v>132.12</v>
      </c>
      <c r="I699">
        <v>8780.64</v>
      </c>
      <c r="J699" t="s">
        <v>27</v>
      </c>
      <c r="K699" t="str">
        <f t="shared" si="10"/>
        <v>49+ Months</v>
      </c>
      <c r="L699">
        <f>IF(Table13[[#This Row],[Churn]]="Yes",1,0)</f>
        <v>1</v>
      </c>
    </row>
    <row r="700" spans="1:12" x14ac:dyDescent="0.35">
      <c r="A700" t="s">
        <v>722</v>
      </c>
      <c r="B700" t="s">
        <v>17</v>
      </c>
      <c r="C700">
        <v>34</v>
      </c>
      <c r="D700">
        <v>6</v>
      </c>
      <c r="E700" t="s">
        <v>12</v>
      </c>
      <c r="F700" t="s">
        <v>29</v>
      </c>
      <c r="G700" t="s">
        <v>14</v>
      </c>
      <c r="H700">
        <v>50.3</v>
      </c>
      <c r="I700">
        <v>284.76</v>
      </c>
      <c r="J700" t="s">
        <v>27</v>
      </c>
      <c r="K700" t="str">
        <f t="shared" si="10"/>
        <v>0-12 Months</v>
      </c>
      <c r="L700">
        <f>IF(Table13[[#This Row],[Churn]]="Yes",1,0)</f>
        <v>1</v>
      </c>
    </row>
    <row r="701" spans="1:12" x14ac:dyDescent="0.35">
      <c r="A701" t="s">
        <v>723</v>
      </c>
      <c r="B701" t="s">
        <v>11</v>
      </c>
      <c r="C701">
        <v>27</v>
      </c>
      <c r="D701">
        <v>32</v>
      </c>
      <c r="E701" t="s">
        <v>12</v>
      </c>
      <c r="F701" t="s">
        <v>13</v>
      </c>
      <c r="G701" t="s">
        <v>19</v>
      </c>
      <c r="H701">
        <v>110.37</v>
      </c>
      <c r="I701">
        <v>3617.47</v>
      </c>
      <c r="J701" t="s">
        <v>15</v>
      </c>
      <c r="K701" t="str">
        <f t="shared" si="10"/>
        <v>25-48 Months</v>
      </c>
      <c r="L701">
        <f>IF(Table13[[#This Row],[Churn]]="Yes",1,0)</f>
        <v>0</v>
      </c>
    </row>
    <row r="702" spans="1:12" x14ac:dyDescent="0.35">
      <c r="A702" t="s">
        <v>724</v>
      </c>
      <c r="B702" t="s">
        <v>17</v>
      </c>
      <c r="C702">
        <v>47</v>
      </c>
      <c r="D702">
        <v>43</v>
      </c>
      <c r="E702" t="s">
        <v>21</v>
      </c>
      <c r="F702" t="s">
        <v>22</v>
      </c>
      <c r="G702" t="s">
        <v>14</v>
      </c>
      <c r="H702">
        <v>101.85</v>
      </c>
      <c r="I702">
        <v>3983.71</v>
      </c>
      <c r="J702" t="s">
        <v>15</v>
      </c>
      <c r="K702" t="str">
        <f t="shared" si="10"/>
        <v>25-48 Months</v>
      </c>
      <c r="L702">
        <f>IF(Table13[[#This Row],[Churn]]="Yes",1,0)</f>
        <v>0</v>
      </c>
    </row>
    <row r="703" spans="1:12" x14ac:dyDescent="0.35">
      <c r="A703" t="s">
        <v>725</v>
      </c>
      <c r="B703" t="s">
        <v>17</v>
      </c>
      <c r="C703">
        <v>63</v>
      </c>
      <c r="D703">
        <v>2</v>
      </c>
      <c r="E703" t="s">
        <v>12</v>
      </c>
      <c r="F703" t="s">
        <v>29</v>
      </c>
      <c r="G703" t="s">
        <v>23</v>
      </c>
      <c r="H703">
        <v>132.25</v>
      </c>
      <c r="I703">
        <v>263.63</v>
      </c>
      <c r="J703" t="s">
        <v>27</v>
      </c>
      <c r="K703" t="str">
        <f t="shared" si="10"/>
        <v>0-12 Months</v>
      </c>
      <c r="L703">
        <f>IF(Table13[[#This Row],[Churn]]="Yes",1,0)</f>
        <v>1</v>
      </c>
    </row>
    <row r="704" spans="1:12" x14ac:dyDescent="0.35">
      <c r="A704" t="s">
        <v>726</v>
      </c>
      <c r="B704" t="s">
        <v>11</v>
      </c>
      <c r="C704">
        <v>40</v>
      </c>
      <c r="D704">
        <v>60</v>
      </c>
      <c r="E704" t="s">
        <v>18</v>
      </c>
      <c r="F704" t="s">
        <v>13</v>
      </c>
      <c r="G704" t="s">
        <v>14</v>
      </c>
      <c r="H704">
        <v>37.200000000000003</v>
      </c>
      <c r="I704">
        <v>2015.34</v>
      </c>
      <c r="J704" t="s">
        <v>15</v>
      </c>
      <c r="K704" t="str">
        <f t="shared" si="10"/>
        <v>49+ Months</v>
      </c>
      <c r="L704">
        <f>IF(Table13[[#This Row],[Churn]]="Yes",1,0)</f>
        <v>0</v>
      </c>
    </row>
    <row r="705" spans="1:12" x14ac:dyDescent="0.35">
      <c r="A705" t="s">
        <v>727</v>
      </c>
      <c r="B705" t="s">
        <v>17</v>
      </c>
      <c r="C705">
        <v>49</v>
      </c>
      <c r="D705">
        <v>23</v>
      </c>
      <c r="E705" t="s">
        <v>18</v>
      </c>
      <c r="F705" t="s">
        <v>33</v>
      </c>
      <c r="G705" t="s">
        <v>14</v>
      </c>
      <c r="H705">
        <v>147.09</v>
      </c>
      <c r="I705">
        <v>3668.02</v>
      </c>
      <c r="J705" t="s">
        <v>15</v>
      </c>
      <c r="K705" t="str">
        <f t="shared" si="10"/>
        <v>13-24 Months</v>
      </c>
      <c r="L705">
        <f>IF(Table13[[#This Row],[Churn]]="Yes",1,0)</f>
        <v>0</v>
      </c>
    </row>
    <row r="706" spans="1:12" x14ac:dyDescent="0.35">
      <c r="A706" t="s">
        <v>728</v>
      </c>
      <c r="B706" t="s">
        <v>11</v>
      </c>
      <c r="C706">
        <v>34</v>
      </c>
      <c r="D706">
        <v>31</v>
      </c>
      <c r="E706" t="s">
        <v>21</v>
      </c>
      <c r="F706" t="s">
        <v>33</v>
      </c>
      <c r="G706" t="s">
        <v>14</v>
      </c>
      <c r="H706">
        <v>95.74</v>
      </c>
      <c r="I706">
        <v>3250.54</v>
      </c>
      <c r="J706" t="s">
        <v>15</v>
      </c>
      <c r="K706" t="str">
        <f t="shared" ref="K706:K769" si="11">IF(D706&lt;=12,"0-12 Months",IF(D706&lt;=24,"13-24 Months",IF(D706&lt;=48,"25-48 Months","49+ Months")))</f>
        <v>25-48 Months</v>
      </c>
      <c r="L706">
        <f>IF(Table13[[#This Row],[Churn]]="Yes",1,0)</f>
        <v>0</v>
      </c>
    </row>
    <row r="707" spans="1:12" x14ac:dyDescent="0.35">
      <c r="A707" t="s">
        <v>729</v>
      </c>
      <c r="B707" t="s">
        <v>11</v>
      </c>
      <c r="C707">
        <v>67</v>
      </c>
      <c r="D707">
        <v>5</v>
      </c>
      <c r="E707" t="s">
        <v>18</v>
      </c>
      <c r="F707" t="s">
        <v>33</v>
      </c>
      <c r="G707" t="s">
        <v>23</v>
      </c>
      <c r="H707">
        <v>149.41</v>
      </c>
      <c r="I707">
        <v>705.56</v>
      </c>
      <c r="J707" t="s">
        <v>27</v>
      </c>
      <c r="K707" t="str">
        <f t="shared" si="11"/>
        <v>0-12 Months</v>
      </c>
      <c r="L707">
        <f>IF(Table13[[#This Row],[Churn]]="Yes",1,0)</f>
        <v>1</v>
      </c>
    </row>
    <row r="708" spans="1:12" x14ac:dyDescent="0.35">
      <c r="A708" t="s">
        <v>730</v>
      </c>
      <c r="B708" t="s">
        <v>17</v>
      </c>
      <c r="C708">
        <v>68</v>
      </c>
      <c r="D708">
        <v>34</v>
      </c>
      <c r="E708" t="s">
        <v>12</v>
      </c>
      <c r="F708" t="s">
        <v>13</v>
      </c>
      <c r="G708" t="s">
        <v>23</v>
      </c>
      <c r="H708">
        <v>138.5</v>
      </c>
      <c r="I708">
        <v>4434.09</v>
      </c>
      <c r="J708" t="s">
        <v>15</v>
      </c>
      <c r="K708" t="str">
        <f t="shared" si="11"/>
        <v>25-48 Months</v>
      </c>
      <c r="L708">
        <f>IF(Table13[[#This Row],[Churn]]="Yes",1,0)</f>
        <v>0</v>
      </c>
    </row>
    <row r="709" spans="1:12" x14ac:dyDescent="0.35">
      <c r="A709" t="s">
        <v>731</v>
      </c>
      <c r="B709" t="s">
        <v>17</v>
      </c>
      <c r="C709">
        <v>34</v>
      </c>
      <c r="D709">
        <v>10</v>
      </c>
      <c r="E709" t="s">
        <v>21</v>
      </c>
      <c r="F709" t="s">
        <v>29</v>
      </c>
      <c r="G709" t="s">
        <v>14</v>
      </c>
      <c r="H709">
        <v>48.8</v>
      </c>
      <c r="I709">
        <v>512.76</v>
      </c>
      <c r="J709" t="s">
        <v>27</v>
      </c>
      <c r="K709" t="str">
        <f t="shared" si="11"/>
        <v>0-12 Months</v>
      </c>
      <c r="L709">
        <f>IF(Table13[[#This Row],[Churn]]="Yes",1,0)</f>
        <v>1</v>
      </c>
    </row>
    <row r="710" spans="1:12" x14ac:dyDescent="0.35">
      <c r="A710" t="s">
        <v>732</v>
      </c>
      <c r="B710" t="s">
        <v>17</v>
      </c>
      <c r="C710">
        <v>31</v>
      </c>
      <c r="D710">
        <v>2</v>
      </c>
      <c r="E710" t="s">
        <v>12</v>
      </c>
      <c r="F710" t="s">
        <v>22</v>
      </c>
      <c r="G710" t="s">
        <v>14</v>
      </c>
      <c r="H710">
        <v>27.3</v>
      </c>
      <c r="I710">
        <v>51.91</v>
      </c>
      <c r="J710" t="s">
        <v>15</v>
      </c>
      <c r="K710" t="str">
        <f t="shared" si="11"/>
        <v>0-12 Months</v>
      </c>
      <c r="L710">
        <f>IF(Table13[[#This Row],[Churn]]="Yes",1,0)</f>
        <v>0</v>
      </c>
    </row>
    <row r="711" spans="1:12" x14ac:dyDescent="0.35">
      <c r="A711" t="s">
        <v>733</v>
      </c>
      <c r="B711" t="s">
        <v>17</v>
      </c>
      <c r="C711">
        <v>26</v>
      </c>
      <c r="D711">
        <v>11</v>
      </c>
      <c r="E711" t="s">
        <v>18</v>
      </c>
      <c r="F711" t="s">
        <v>13</v>
      </c>
      <c r="G711" t="s">
        <v>19</v>
      </c>
      <c r="H711">
        <v>53.23</v>
      </c>
      <c r="I711">
        <v>631.79999999999995</v>
      </c>
      <c r="J711" t="s">
        <v>15</v>
      </c>
      <c r="K711" t="str">
        <f t="shared" si="11"/>
        <v>0-12 Months</v>
      </c>
      <c r="L711">
        <f>IF(Table13[[#This Row],[Churn]]="Yes",1,0)</f>
        <v>0</v>
      </c>
    </row>
    <row r="712" spans="1:12" x14ac:dyDescent="0.35">
      <c r="A712" t="s">
        <v>734</v>
      </c>
      <c r="B712" t="s">
        <v>11</v>
      </c>
      <c r="C712">
        <v>57</v>
      </c>
      <c r="D712">
        <v>50</v>
      </c>
      <c r="E712" t="s">
        <v>12</v>
      </c>
      <c r="F712" t="s">
        <v>29</v>
      </c>
      <c r="G712" t="s">
        <v>23</v>
      </c>
      <c r="H712">
        <v>88.58</v>
      </c>
      <c r="I712">
        <v>4494.49</v>
      </c>
      <c r="J712" t="s">
        <v>15</v>
      </c>
      <c r="K712" t="str">
        <f t="shared" si="11"/>
        <v>49+ Months</v>
      </c>
      <c r="L712">
        <f>IF(Table13[[#This Row],[Churn]]="Yes",1,0)</f>
        <v>0</v>
      </c>
    </row>
    <row r="713" spans="1:12" x14ac:dyDescent="0.35">
      <c r="A713" t="s">
        <v>735</v>
      </c>
      <c r="B713" t="s">
        <v>17</v>
      </c>
      <c r="C713">
        <v>19</v>
      </c>
      <c r="D713">
        <v>31</v>
      </c>
      <c r="E713" t="s">
        <v>21</v>
      </c>
      <c r="F713" t="s">
        <v>29</v>
      </c>
      <c r="G713" t="s">
        <v>19</v>
      </c>
      <c r="H713">
        <v>42.31</v>
      </c>
      <c r="I713">
        <v>1272.47</v>
      </c>
      <c r="J713" t="s">
        <v>15</v>
      </c>
      <c r="K713" t="str">
        <f t="shared" si="11"/>
        <v>25-48 Months</v>
      </c>
      <c r="L713">
        <f>IF(Table13[[#This Row],[Churn]]="Yes",1,0)</f>
        <v>0</v>
      </c>
    </row>
    <row r="714" spans="1:12" x14ac:dyDescent="0.35">
      <c r="A714" t="s">
        <v>736</v>
      </c>
      <c r="B714" t="s">
        <v>11</v>
      </c>
      <c r="C714">
        <v>62</v>
      </c>
      <c r="D714">
        <v>56</v>
      </c>
      <c r="E714" t="s">
        <v>18</v>
      </c>
      <c r="F714" t="s">
        <v>13</v>
      </c>
      <c r="G714" t="s">
        <v>23</v>
      </c>
      <c r="H714">
        <v>41.77</v>
      </c>
      <c r="I714">
        <v>2494.7600000000002</v>
      </c>
      <c r="J714" t="s">
        <v>15</v>
      </c>
      <c r="K714" t="str">
        <f t="shared" si="11"/>
        <v>49+ Months</v>
      </c>
      <c r="L714">
        <f>IF(Table13[[#This Row],[Churn]]="Yes",1,0)</f>
        <v>0</v>
      </c>
    </row>
    <row r="715" spans="1:12" x14ac:dyDescent="0.35">
      <c r="A715" t="s">
        <v>737</v>
      </c>
      <c r="B715" t="s">
        <v>17</v>
      </c>
      <c r="C715">
        <v>42</v>
      </c>
      <c r="D715">
        <v>9</v>
      </c>
      <c r="E715" t="s">
        <v>12</v>
      </c>
      <c r="F715" t="s">
        <v>29</v>
      </c>
      <c r="G715" t="s">
        <v>14</v>
      </c>
      <c r="H715">
        <v>80.14</v>
      </c>
      <c r="I715">
        <v>720.31</v>
      </c>
      <c r="J715" t="s">
        <v>27</v>
      </c>
      <c r="K715" t="str">
        <f t="shared" si="11"/>
        <v>0-12 Months</v>
      </c>
      <c r="L715">
        <f>IF(Table13[[#This Row],[Churn]]="Yes",1,0)</f>
        <v>1</v>
      </c>
    </row>
    <row r="716" spans="1:12" x14ac:dyDescent="0.35">
      <c r="A716" t="s">
        <v>738</v>
      </c>
      <c r="B716" t="s">
        <v>17</v>
      </c>
      <c r="C716">
        <v>56</v>
      </c>
      <c r="D716">
        <v>21</v>
      </c>
      <c r="E716" t="s">
        <v>12</v>
      </c>
      <c r="F716" t="s">
        <v>29</v>
      </c>
      <c r="G716" t="s">
        <v>23</v>
      </c>
      <c r="H716">
        <v>24.32</v>
      </c>
      <c r="I716">
        <v>552.77</v>
      </c>
      <c r="J716" t="s">
        <v>15</v>
      </c>
      <c r="K716" t="str">
        <f t="shared" si="11"/>
        <v>13-24 Months</v>
      </c>
      <c r="L716">
        <f>IF(Table13[[#This Row],[Churn]]="Yes",1,0)</f>
        <v>0</v>
      </c>
    </row>
    <row r="717" spans="1:12" x14ac:dyDescent="0.35">
      <c r="A717" t="s">
        <v>739</v>
      </c>
      <c r="B717" t="s">
        <v>17</v>
      </c>
      <c r="C717">
        <v>26</v>
      </c>
      <c r="D717">
        <v>28</v>
      </c>
      <c r="E717" t="s">
        <v>21</v>
      </c>
      <c r="F717" t="s">
        <v>29</v>
      </c>
      <c r="G717" t="s">
        <v>19</v>
      </c>
      <c r="H717">
        <v>35.85</v>
      </c>
      <c r="I717">
        <v>1089.73</v>
      </c>
      <c r="J717" t="s">
        <v>15</v>
      </c>
      <c r="K717" t="str">
        <f t="shared" si="11"/>
        <v>25-48 Months</v>
      </c>
      <c r="L717">
        <f>IF(Table13[[#This Row],[Churn]]="Yes",1,0)</f>
        <v>0</v>
      </c>
    </row>
    <row r="718" spans="1:12" x14ac:dyDescent="0.35">
      <c r="A718" t="s">
        <v>740</v>
      </c>
      <c r="B718" t="s">
        <v>11</v>
      </c>
      <c r="C718">
        <v>39</v>
      </c>
      <c r="D718">
        <v>62</v>
      </c>
      <c r="E718" t="s">
        <v>12</v>
      </c>
      <c r="F718" t="s">
        <v>29</v>
      </c>
      <c r="G718" t="s">
        <v>14</v>
      </c>
      <c r="H718">
        <v>74.06</v>
      </c>
      <c r="I718">
        <v>4284.46</v>
      </c>
      <c r="J718" t="s">
        <v>15</v>
      </c>
      <c r="K718" t="str">
        <f t="shared" si="11"/>
        <v>49+ Months</v>
      </c>
      <c r="L718">
        <f>IF(Table13[[#This Row],[Churn]]="Yes",1,0)</f>
        <v>0</v>
      </c>
    </row>
    <row r="719" spans="1:12" x14ac:dyDescent="0.35">
      <c r="A719" t="s">
        <v>741</v>
      </c>
      <c r="B719" t="s">
        <v>17</v>
      </c>
      <c r="C719">
        <v>60</v>
      </c>
      <c r="D719">
        <v>7</v>
      </c>
      <c r="E719" t="s">
        <v>12</v>
      </c>
      <c r="F719" t="s">
        <v>22</v>
      </c>
      <c r="G719" t="s">
        <v>23</v>
      </c>
      <c r="H719">
        <v>28.21</v>
      </c>
      <c r="I719">
        <v>177.81</v>
      </c>
      <c r="J719" t="s">
        <v>27</v>
      </c>
      <c r="K719" t="str">
        <f t="shared" si="11"/>
        <v>0-12 Months</v>
      </c>
      <c r="L719">
        <f>IF(Table13[[#This Row],[Churn]]="Yes",1,0)</f>
        <v>1</v>
      </c>
    </row>
    <row r="720" spans="1:12" x14ac:dyDescent="0.35">
      <c r="A720" t="s">
        <v>742</v>
      </c>
      <c r="B720" t="s">
        <v>17</v>
      </c>
      <c r="C720">
        <v>63</v>
      </c>
      <c r="D720">
        <v>16</v>
      </c>
      <c r="E720" t="s">
        <v>12</v>
      </c>
      <c r="F720" t="s">
        <v>13</v>
      </c>
      <c r="G720" t="s">
        <v>23</v>
      </c>
      <c r="H720">
        <v>71.58</v>
      </c>
      <c r="I720">
        <v>1256.1300000000001</v>
      </c>
      <c r="J720" t="s">
        <v>15</v>
      </c>
      <c r="K720" t="str">
        <f t="shared" si="11"/>
        <v>13-24 Months</v>
      </c>
      <c r="L720">
        <f>IF(Table13[[#This Row],[Churn]]="Yes",1,0)</f>
        <v>0</v>
      </c>
    </row>
    <row r="721" spans="1:12" x14ac:dyDescent="0.35">
      <c r="A721" t="s">
        <v>743</v>
      </c>
      <c r="B721" t="s">
        <v>17</v>
      </c>
      <c r="C721">
        <v>21</v>
      </c>
      <c r="D721">
        <v>4</v>
      </c>
      <c r="E721" t="s">
        <v>12</v>
      </c>
      <c r="F721" t="s">
        <v>22</v>
      </c>
      <c r="G721" t="s">
        <v>19</v>
      </c>
      <c r="H721">
        <v>81.62</v>
      </c>
      <c r="I721">
        <v>353</v>
      </c>
      <c r="J721" t="s">
        <v>27</v>
      </c>
      <c r="K721" t="str">
        <f t="shared" si="11"/>
        <v>0-12 Months</v>
      </c>
      <c r="L721">
        <f>IF(Table13[[#This Row],[Churn]]="Yes",1,0)</f>
        <v>1</v>
      </c>
    </row>
    <row r="722" spans="1:12" x14ac:dyDescent="0.35">
      <c r="A722" t="s">
        <v>744</v>
      </c>
      <c r="B722" t="s">
        <v>17</v>
      </c>
      <c r="C722">
        <v>43</v>
      </c>
      <c r="D722">
        <v>4</v>
      </c>
      <c r="E722" t="s">
        <v>18</v>
      </c>
      <c r="F722" t="s">
        <v>29</v>
      </c>
      <c r="G722" t="s">
        <v>14</v>
      </c>
      <c r="H722">
        <v>78.66</v>
      </c>
      <c r="I722">
        <v>286.67</v>
      </c>
      <c r="J722" t="s">
        <v>27</v>
      </c>
      <c r="K722" t="str">
        <f t="shared" si="11"/>
        <v>0-12 Months</v>
      </c>
      <c r="L722">
        <f>IF(Table13[[#This Row],[Churn]]="Yes",1,0)</f>
        <v>1</v>
      </c>
    </row>
    <row r="723" spans="1:12" x14ac:dyDescent="0.35">
      <c r="A723" t="s">
        <v>745</v>
      </c>
      <c r="B723" t="s">
        <v>11</v>
      </c>
      <c r="C723">
        <v>46</v>
      </c>
      <c r="D723">
        <v>40</v>
      </c>
      <c r="E723" t="s">
        <v>21</v>
      </c>
      <c r="F723" t="s">
        <v>29</v>
      </c>
      <c r="G723" t="s">
        <v>14</v>
      </c>
      <c r="H723">
        <v>132.99</v>
      </c>
      <c r="I723">
        <v>5673.92</v>
      </c>
      <c r="J723" t="s">
        <v>27</v>
      </c>
      <c r="K723" t="str">
        <f t="shared" si="11"/>
        <v>25-48 Months</v>
      </c>
      <c r="L723">
        <f>IF(Table13[[#This Row],[Churn]]="Yes",1,0)</f>
        <v>1</v>
      </c>
    </row>
    <row r="724" spans="1:12" x14ac:dyDescent="0.35">
      <c r="A724" t="s">
        <v>746</v>
      </c>
      <c r="B724" t="s">
        <v>17</v>
      </c>
      <c r="C724">
        <v>62</v>
      </c>
      <c r="D724">
        <v>17</v>
      </c>
      <c r="E724" t="s">
        <v>12</v>
      </c>
      <c r="F724" t="s">
        <v>22</v>
      </c>
      <c r="G724" t="s">
        <v>23</v>
      </c>
      <c r="H724">
        <v>88.91</v>
      </c>
      <c r="I724">
        <v>1498.71</v>
      </c>
      <c r="J724" t="s">
        <v>15</v>
      </c>
      <c r="K724" t="str">
        <f t="shared" si="11"/>
        <v>13-24 Months</v>
      </c>
      <c r="L724">
        <f>IF(Table13[[#This Row],[Churn]]="Yes",1,0)</f>
        <v>0</v>
      </c>
    </row>
    <row r="725" spans="1:12" x14ac:dyDescent="0.35">
      <c r="A725" t="s">
        <v>747</v>
      </c>
      <c r="B725" t="s">
        <v>11</v>
      </c>
      <c r="C725">
        <v>51</v>
      </c>
      <c r="D725">
        <v>52</v>
      </c>
      <c r="E725" t="s">
        <v>12</v>
      </c>
      <c r="F725" t="s">
        <v>13</v>
      </c>
      <c r="G725" t="s">
        <v>23</v>
      </c>
      <c r="H725">
        <v>80.84</v>
      </c>
      <c r="I725">
        <v>4001.03</v>
      </c>
      <c r="J725" t="s">
        <v>15</v>
      </c>
      <c r="K725" t="str">
        <f t="shared" si="11"/>
        <v>49+ Months</v>
      </c>
      <c r="L725">
        <f>IF(Table13[[#This Row],[Churn]]="Yes",1,0)</f>
        <v>0</v>
      </c>
    </row>
    <row r="726" spans="1:12" x14ac:dyDescent="0.35">
      <c r="A726" t="s">
        <v>748</v>
      </c>
      <c r="B726" t="s">
        <v>11</v>
      </c>
      <c r="C726">
        <v>40</v>
      </c>
      <c r="D726">
        <v>52</v>
      </c>
      <c r="E726" t="s">
        <v>12</v>
      </c>
      <c r="F726" t="s">
        <v>13</v>
      </c>
      <c r="G726" t="s">
        <v>14</v>
      </c>
      <c r="H726">
        <v>73.39</v>
      </c>
      <c r="I726">
        <v>4105.3599999999997</v>
      </c>
      <c r="J726" t="s">
        <v>15</v>
      </c>
      <c r="K726" t="str">
        <f t="shared" si="11"/>
        <v>49+ Months</v>
      </c>
      <c r="L726">
        <f>IF(Table13[[#This Row],[Churn]]="Yes",1,0)</f>
        <v>0</v>
      </c>
    </row>
    <row r="727" spans="1:12" x14ac:dyDescent="0.35">
      <c r="A727" t="s">
        <v>749</v>
      </c>
      <c r="B727" t="s">
        <v>11</v>
      </c>
      <c r="C727">
        <v>54</v>
      </c>
      <c r="D727">
        <v>36</v>
      </c>
      <c r="E727" t="s">
        <v>12</v>
      </c>
      <c r="F727" t="s">
        <v>13</v>
      </c>
      <c r="G727" t="s">
        <v>23</v>
      </c>
      <c r="H727">
        <v>126.29</v>
      </c>
      <c r="I727">
        <v>4270.62</v>
      </c>
      <c r="J727" t="s">
        <v>27</v>
      </c>
      <c r="K727" t="str">
        <f t="shared" si="11"/>
        <v>25-48 Months</v>
      </c>
      <c r="L727">
        <f>IF(Table13[[#This Row],[Churn]]="Yes",1,0)</f>
        <v>1</v>
      </c>
    </row>
    <row r="728" spans="1:12" x14ac:dyDescent="0.35">
      <c r="A728" t="s">
        <v>750</v>
      </c>
      <c r="B728" t="s">
        <v>11</v>
      </c>
      <c r="C728">
        <v>28</v>
      </c>
      <c r="D728">
        <v>38</v>
      </c>
      <c r="E728" t="s">
        <v>12</v>
      </c>
      <c r="F728" t="s">
        <v>33</v>
      </c>
      <c r="G728" t="s">
        <v>19</v>
      </c>
      <c r="H728">
        <v>136.36000000000001</v>
      </c>
      <c r="I728">
        <v>5645.23</v>
      </c>
      <c r="J728" t="s">
        <v>27</v>
      </c>
      <c r="K728" t="str">
        <f t="shared" si="11"/>
        <v>25-48 Months</v>
      </c>
      <c r="L728">
        <f>IF(Table13[[#This Row],[Churn]]="Yes",1,0)</f>
        <v>1</v>
      </c>
    </row>
    <row r="729" spans="1:12" x14ac:dyDescent="0.35">
      <c r="A729" t="s">
        <v>751</v>
      </c>
      <c r="B729" t="s">
        <v>11</v>
      </c>
      <c r="C729">
        <v>23</v>
      </c>
      <c r="D729">
        <v>50</v>
      </c>
      <c r="E729" t="s">
        <v>12</v>
      </c>
      <c r="F729" t="s">
        <v>29</v>
      </c>
      <c r="G729" t="s">
        <v>19</v>
      </c>
      <c r="H729">
        <v>130.91999999999999</v>
      </c>
      <c r="I729">
        <v>6160.6</v>
      </c>
      <c r="J729" t="s">
        <v>27</v>
      </c>
      <c r="K729" t="str">
        <f t="shared" si="11"/>
        <v>49+ Months</v>
      </c>
      <c r="L729">
        <f>IF(Table13[[#This Row],[Churn]]="Yes",1,0)</f>
        <v>1</v>
      </c>
    </row>
    <row r="730" spans="1:12" x14ac:dyDescent="0.35">
      <c r="A730" t="s">
        <v>752</v>
      </c>
      <c r="B730" t="s">
        <v>11</v>
      </c>
      <c r="C730">
        <v>35</v>
      </c>
      <c r="D730">
        <v>63</v>
      </c>
      <c r="E730" t="s">
        <v>12</v>
      </c>
      <c r="F730" t="s">
        <v>13</v>
      </c>
      <c r="G730" t="s">
        <v>14</v>
      </c>
      <c r="H730">
        <v>107.56</v>
      </c>
      <c r="I730">
        <v>6930.35</v>
      </c>
      <c r="J730" t="s">
        <v>15</v>
      </c>
      <c r="K730" t="str">
        <f t="shared" si="11"/>
        <v>49+ Months</v>
      </c>
      <c r="L730">
        <f>IF(Table13[[#This Row],[Churn]]="Yes",1,0)</f>
        <v>0</v>
      </c>
    </row>
    <row r="731" spans="1:12" x14ac:dyDescent="0.35">
      <c r="A731" t="s">
        <v>753</v>
      </c>
      <c r="B731" t="s">
        <v>17</v>
      </c>
      <c r="C731">
        <v>38</v>
      </c>
      <c r="D731">
        <v>63</v>
      </c>
      <c r="E731" t="s">
        <v>21</v>
      </c>
      <c r="F731" t="s">
        <v>22</v>
      </c>
      <c r="G731" t="s">
        <v>14</v>
      </c>
      <c r="H731">
        <v>37.86</v>
      </c>
      <c r="I731">
        <v>2253.08</v>
      </c>
      <c r="J731" t="s">
        <v>15</v>
      </c>
      <c r="K731" t="str">
        <f t="shared" si="11"/>
        <v>49+ Months</v>
      </c>
      <c r="L731">
        <f>IF(Table13[[#This Row],[Churn]]="Yes",1,0)</f>
        <v>0</v>
      </c>
    </row>
    <row r="732" spans="1:12" x14ac:dyDescent="0.35">
      <c r="A732" t="s">
        <v>754</v>
      </c>
      <c r="B732" t="s">
        <v>11</v>
      </c>
      <c r="C732">
        <v>59</v>
      </c>
      <c r="D732">
        <v>62</v>
      </c>
      <c r="E732" t="s">
        <v>12</v>
      </c>
      <c r="F732" t="s">
        <v>13</v>
      </c>
      <c r="G732" t="s">
        <v>23</v>
      </c>
      <c r="H732">
        <v>55.99</v>
      </c>
      <c r="I732">
        <v>3503.09</v>
      </c>
      <c r="J732" t="s">
        <v>15</v>
      </c>
      <c r="K732" t="str">
        <f t="shared" si="11"/>
        <v>49+ Months</v>
      </c>
      <c r="L732">
        <f>IF(Table13[[#This Row],[Churn]]="Yes",1,0)</f>
        <v>0</v>
      </c>
    </row>
    <row r="733" spans="1:12" x14ac:dyDescent="0.35">
      <c r="A733" t="s">
        <v>755</v>
      </c>
      <c r="B733" t="s">
        <v>11</v>
      </c>
      <c r="C733">
        <v>53</v>
      </c>
      <c r="D733">
        <v>7</v>
      </c>
      <c r="E733" t="s">
        <v>21</v>
      </c>
      <c r="F733" t="s">
        <v>29</v>
      </c>
      <c r="G733" t="s">
        <v>23</v>
      </c>
      <c r="H733">
        <v>25.99</v>
      </c>
      <c r="I733">
        <v>188.62</v>
      </c>
      <c r="J733" t="s">
        <v>27</v>
      </c>
      <c r="K733" t="str">
        <f t="shared" si="11"/>
        <v>0-12 Months</v>
      </c>
      <c r="L733">
        <f>IF(Table13[[#This Row],[Churn]]="Yes",1,0)</f>
        <v>1</v>
      </c>
    </row>
    <row r="734" spans="1:12" x14ac:dyDescent="0.35">
      <c r="A734" t="s">
        <v>756</v>
      </c>
      <c r="B734" t="s">
        <v>11</v>
      </c>
      <c r="C734">
        <v>58</v>
      </c>
      <c r="D734">
        <v>27</v>
      </c>
      <c r="E734" t="s">
        <v>21</v>
      </c>
      <c r="F734" t="s">
        <v>13</v>
      </c>
      <c r="G734" t="s">
        <v>23</v>
      </c>
      <c r="H734">
        <v>141.01</v>
      </c>
      <c r="I734">
        <v>3571.39</v>
      </c>
      <c r="J734" t="s">
        <v>27</v>
      </c>
      <c r="K734" t="str">
        <f t="shared" si="11"/>
        <v>25-48 Months</v>
      </c>
      <c r="L734">
        <f>IF(Table13[[#This Row],[Churn]]="Yes",1,0)</f>
        <v>1</v>
      </c>
    </row>
    <row r="735" spans="1:12" x14ac:dyDescent="0.35">
      <c r="A735" t="s">
        <v>757</v>
      </c>
      <c r="B735" t="s">
        <v>17</v>
      </c>
      <c r="C735">
        <v>55</v>
      </c>
      <c r="D735">
        <v>14</v>
      </c>
      <c r="E735" t="s">
        <v>21</v>
      </c>
      <c r="F735" t="s">
        <v>22</v>
      </c>
      <c r="G735" t="s">
        <v>23</v>
      </c>
      <c r="H735">
        <v>105.9</v>
      </c>
      <c r="I735">
        <v>1488.79</v>
      </c>
      <c r="J735" t="s">
        <v>27</v>
      </c>
      <c r="K735" t="str">
        <f t="shared" si="11"/>
        <v>13-24 Months</v>
      </c>
      <c r="L735">
        <f>IF(Table13[[#This Row],[Churn]]="Yes",1,0)</f>
        <v>1</v>
      </c>
    </row>
    <row r="736" spans="1:12" x14ac:dyDescent="0.35">
      <c r="A736" t="s">
        <v>758</v>
      </c>
      <c r="B736" t="s">
        <v>17</v>
      </c>
      <c r="C736">
        <v>51</v>
      </c>
      <c r="D736">
        <v>71</v>
      </c>
      <c r="E736" t="s">
        <v>21</v>
      </c>
      <c r="F736" t="s">
        <v>29</v>
      </c>
      <c r="G736" t="s">
        <v>23</v>
      </c>
      <c r="H736">
        <v>117.03</v>
      </c>
      <c r="I736">
        <v>8257.7099999999991</v>
      </c>
      <c r="J736" t="s">
        <v>27</v>
      </c>
      <c r="K736" t="str">
        <f t="shared" si="11"/>
        <v>49+ Months</v>
      </c>
      <c r="L736">
        <f>IF(Table13[[#This Row],[Churn]]="Yes",1,0)</f>
        <v>1</v>
      </c>
    </row>
    <row r="737" spans="1:12" x14ac:dyDescent="0.35">
      <c r="A737" t="s">
        <v>759</v>
      </c>
      <c r="B737" t="s">
        <v>11</v>
      </c>
      <c r="C737">
        <v>34</v>
      </c>
      <c r="D737">
        <v>5</v>
      </c>
      <c r="E737" t="s">
        <v>12</v>
      </c>
      <c r="F737" t="s">
        <v>29</v>
      </c>
      <c r="G737" t="s">
        <v>14</v>
      </c>
      <c r="H737">
        <v>60.5</v>
      </c>
      <c r="I737">
        <v>276.55</v>
      </c>
      <c r="J737" t="s">
        <v>15</v>
      </c>
      <c r="K737" t="str">
        <f t="shared" si="11"/>
        <v>0-12 Months</v>
      </c>
      <c r="L737">
        <f>IF(Table13[[#This Row],[Churn]]="Yes",1,0)</f>
        <v>0</v>
      </c>
    </row>
    <row r="738" spans="1:12" x14ac:dyDescent="0.35">
      <c r="A738" t="s">
        <v>760</v>
      </c>
      <c r="B738" t="s">
        <v>17</v>
      </c>
      <c r="C738">
        <v>54</v>
      </c>
      <c r="D738">
        <v>55</v>
      </c>
      <c r="E738" t="s">
        <v>18</v>
      </c>
      <c r="F738" t="s">
        <v>29</v>
      </c>
      <c r="G738" t="s">
        <v>23</v>
      </c>
      <c r="H738">
        <v>129.93</v>
      </c>
      <c r="I738">
        <v>7601.09</v>
      </c>
      <c r="J738" t="s">
        <v>27</v>
      </c>
      <c r="K738" t="str">
        <f t="shared" si="11"/>
        <v>49+ Months</v>
      </c>
      <c r="L738">
        <f>IF(Table13[[#This Row],[Churn]]="Yes",1,0)</f>
        <v>1</v>
      </c>
    </row>
    <row r="739" spans="1:12" x14ac:dyDescent="0.35">
      <c r="A739" t="s">
        <v>761</v>
      </c>
      <c r="B739" t="s">
        <v>11</v>
      </c>
      <c r="C739">
        <v>42</v>
      </c>
      <c r="D739">
        <v>2</v>
      </c>
      <c r="E739" t="s">
        <v>21</v>
      </c>
      <c r="F739" t="s">
        <v>33</v>
      </c>
      <c r="G739" t="s">
        <v>14</v>
      </c>
      <c r="H739">
        <v>53.75</v>
      </c>
      <c r="I739">
        <v>103.97</v>
      </c>
      <c r="J739" t="s">
        <v>15</v>
      </c>
      <c r="K739" t="str">
        <f t="shared" si="11"/>
        <v>0-12 Months</v>
      </c>
      <c r="L739">
        <f>IF(Table13[[#This Row],[Churn]]="Yes",1,0)</f>
        <v>0</v>
      </c>
    </row>
    <row r="740" spans="1:12" x14ac:dyDescent="0.35">
      <c r="A740" t="s">
        <v>762</v>
      </c>
      <c r="B740" t="s">
        <v>11</v>
      </c>
      <c r="C740">
        <v>55</v>
      </c>
      <c r="D740">
        <v>62</v>
      </c>
      <c r="E740" t="s">
        <v>12</v>
      </c>
      <c r="F740" t="s">
        <v>29</v>
      </c>
      <c r="G740" t="s">
        <v>23</v>
      </c>
      <c r="H740">
        <v>20.21</v>
      </c>
      <c r="I740">
        <v>1271.71</v>
      </c>
      <c r="J740" t="s">
        <v>15</v>
      </c>
      <c r="K740" t="str">
        <f t="shared" si="11"/>
        <v>49+ Months</v>
      </c>
      <c r="L740">
        <f>IF(Table13[[#This Row],[Churn]]="Yes",1,0)</f>
        <v>0</v>
      </c>
    </row>
    <row r="741" spans="1:12" x14ac:dyDescent="0.35">
      <c r="A741" t="s">
        <v>763</v>
      </c>
      <c r="B741" t="s">
        <v>17</v>
      </c>
      <c r="C741">
        <v>29</v>
      </c>
      <c r="D741">
        <v>21</v>
      </c>
      <c r="E741" t="s">
        <v>18</v>
      </c>
      <c r="F741" t="s">
        <v>33</v>
      </c>
      <c r="G741" t="s">
        <v>19</v>
      </c>
      <c r="H741">
        <v>68.930000000000007</v>
      </c>
      <c r="I741">
        <v>1451.81</v>
      </c>
      <c r="J741" t="s">
        <v>15</v>
      </c>
      <c r="K741" t="str">
        <f t="shared" si="11"/>
        <v>13-24 Months</v>
      </c>
      <c r="L741">
        <f>IF(Table13[[#This Row],[Churn]]="Yes",1,0)</f>
        <v>0</v>
      </c>
    </row>
    <row r="742" spans="1:12" x14ac:dyDescent="0.35">
      <c r="A742" t="s">
        <v>764</v>
      </c>
      <c r="B742" t="s">
        <v>11</v>
      </c>
      <c r="C742">
        <v>40</v>
      </c>
      <c r="D742">
        <v>21</v>
      </c>
      <c r="E742" t="s">
        <v>21</v>
      </c>
      <c r="F742" t="s">
        <v>13</v>
      </c>
      <c r="G742" t="s">
        <v>14</v>
      </c>
      <c r="H742">
        <v>94.2</v>
      </c>
      <c r="I742">
        <v>1983.45</v>
      </c>
      <c r="J742" t="s">
        <v>15</v>
      </c>
      <c r="K742" t="str">
        <f t="shared" si="11"/>
        <v>13-24 Months</v>
      </c>
      <c r="L742">
        <f>IF(Table13[[#This Row],[Churn]]="Yes",1,0)</f>
        <v>0</v>
      </c>
    </row>
    <row r="743" spans="1:12" x14ac:dyDescent="0.35">
      <c r="A743" t="s">
        <v>765</v>
      </c>
      <c r="B743" t="s">
        <v>17</v>
      </c>
      <c r="C743">
        <v>70</v>
      </c>
      <c r="D743">
        <v>10</v>
      </c>
      <c r="E743" t="s">
        <v>12</v>
      </c>
      <c r="F743" t="s">
        <v>33</v>
      </c>
      <c r="G743" t="s">
        <v>23</v>
      </c>
      <c r="H743">
        <v>82.23</v>
      </c>
      <c r="I743">
        <v>757.7</v>
      </c>
      <c r="J743" t="s">
        <v>15</v>
      </c>
      <c r="K743" t="str">
        <f t="shared" si="11"/>
        <v>0-12 Months</v>
      </c>
      <c r="L743">
        <f>IF(Table13[[#This Row],[Churn]]="Yes",1,0)</f>
        <v>0</v>
      </c>
    </row>
    <row r="744" spans="1:12" x14ac:dyDescent="0.35">
      <c r="A744" t="s">
        <v>766</v>
      </c>
      <c r="B744" t="s">
        <v>17</v>
      </c>
      <c r="C744">
        <v>59</v>
      </c>
      <c r="D744">
        <v>58</v>
      </c>
      <c r="E744" t="s">
        <v>12</v>
      </c>
      <c r="F744" t="s">
        <v>33</v>
      </c>
      <c r="G744" t="s">
        <v>23</v>
      </c>
      <c r="H744">
        <v>132.07</v>
      </c>
      <c r="I744">
        <v>7542.83</v>
      </c>
      <c r="J744" t="s">
        <v>27</v>
      </c>
      <c r="K744" t="str">
        <f t="shared" si="11"/>
        <v>49+ Months</v>
      </c>
      <c r="L744">
        <f>IF(Table13[[#This Row],[Churn]]="Yes",1,0)</f>
        <v>1</v>
      </c>
    </row>
    <row r="745" spans="1:12" x14ac:dyDescent="0.35">
      <c r="A745" t="s">
        <v>767</v>
      </c>
      <c r="B745" t="s">
        <v>11</v>
      </c>
      <c r="C745">
        <v>39</v>
      </c>
      <c r="D745">
        <v>39</v>
      </c>
      <c r="E745" t="s">
        <v>12</v>
      </c>
      <c r="F745" t="s">
        <v>13</v>
      </c>
      <c r="G745" t="s">
        <v>14</v>
      </c>
      <c r="H745">
        <v>33.700000000000003</v>
      </c>
      <c r="I745">
        <v>1301.78</v>
      </c>
      <c r="J745" t="s">
        <v>15</v>
      </c>
      <c r="K745" t="str">
        <f t="shared" si="11"/>
        <v>25-48 Months</v>
      </c>
      <c r="L745">
        <f>IF(Table13[[#This Row],[Churn]]="Yes",1,0)</f>
        <v>0</v>
      </c>
    </row>
    <row r="746" spans="1:12" x14ac:dyDescent="0.35">
      <c r="A746" t="s">
        <v>768</v>
      </c>
      <c r="B746" t="s">
        <v>11</v>
      </c>
      <c r="C746">
        <v>38</v>
      </c>
      <c r="D746">
        <v>5</v>
      </c>
      <c r="E746" t="s">
        <v>18</v>
      </c>
      <c r="F746" t="s">
        <v>29</v>
      </c>
      <c r="G746" t="s">
        <v>14</v>
      </c>
      <c r="H746">
        <v>92</v>
      </c>
      <c r="I746">
        <v>481.5</v>
      </c>
      <c r="J746" t="s">
        <v>15</v>
      </c>
      <c r="K746" t="str">
        <f t="shared" si="11"/>
        <v>0-12 Months</v>
      </c>
      <c r="L746">
        <f>IF(Table13[[#This Row],[Churn]]="Yes",1,0)</f>
        <v>0</v>
      </c>
    </row>
    <row r="747" spans="1:12" x14ac:dyDescent="0.35">
      <c r="A747" t="s">
        <v>769</v>
      </c>
      <c r="B747" t="s">
        <v>17</v>
      </c>
      <c r="C747">
        <v>44</v>
      </c>
      <c r="D747">
        <v>65</v>
      </c>
      <c r="E747" t="s">
        <v>21</v>
      </c>
      <c r="F747" t="s">
        <v>29</v>
      </c>
      <c r="G747" t="s">
        <v>14</v>
      </c>
      <c r="H747">
        <v>86.69</v>
      </c>
      <c r="I747">
        <v>6018.04</v>
      </c>
      <c r="J747" t="s">
        <v>27</v>
      </c>
      <c r="K747" t="str">
        <f t="shared" si="11"/>
        <v>49+ Months</v>
      </c>
      <c r="L747">
        <f>IF(Table13[[#This Row],[Churn]]="Yes",1,0)</f>
        <v>1</v>
      </c>
    </row>
    <row r="748" spans="1:12" x14ac:dyDescent="0.35">
      <c r="A748" t="s">
        <v>770</v>
      </c>
      <c r="B748" t="s">
        <v>11</v>
      </c>
      <c r="C748">
        <v>48</v>
      </c>
      <c r="D748">
        <v>13</v>
      </c>
      <c r="E748" t="s">
        <v>18</v>
      </c>
      <c r="F748" t="s">
        <v>29</v>
      </c>
      <c r="G748" t="s">
        <v>14</v>
      </c>
      <c r="H748">
        <v>56.58</v>
      </c>
      <c r="I748">
        <v>742.16</v>
      </c>
      <c r="J748" t="s">
        <v>15</v>
      </c>
      <c r="K748" t="str">
        <f t="shared" si="11"/>
        <v>13-24 Months</v>
      </c>
      <c r="L748">
        <f>IF(Table13[[#This Row],[Churn]]="Yes",1,0)</f>
        <v>0</v>
      </c>
    </row>
    <row r="749" spans="1:12" x14ac:dyDescent="0.35">
      <c r="A749" t="s">
        <v>771</v>
      </c>
      <c r="B749" t="s">
        <v>11</v>
      </c>
      <c r="C749">
        <v>23</v>
      </c>
      <c r="D749">
        <v>53</v>
      </c>
      <c r="E749" t="s">
        <v>21</v>
      </c>
      <c r="F749" t="s">
        <v>22</v>
      </c>
      <c r="G749" t="s">
        <v>19</v>
      </c>
      <c r="H749">
        <v>126.89</v>
      </c>
      <c r="I749">
        <v>6169.38</v>
      </c>
      <c r="J749" t="s">
        <v>15</v>
      </c>
      <c r="K749" t="str">
        <f t="shared" si="11"/>
        <v>49+ Months</v>
      </c>
      <c r="L749">
        <f>IF(Table13[[#This Row],[Churn]]="Yes",1,0)</f>
        <v>0</v>
      </c>
    </row>
    <row r="750" spans="1:12" x14ac:dyDescent="0.35">
      <c r="A750" t="s">
        <v>772</v>
      </c>
      <c r="B750" t="s">
        <v>11</v>
      </c>
      <c r="C750">
        <v>44</v>
      </c>
      <c r="D750">
        <v>45</v>
      </c>
      <c r="E750" t="s">
        <v>12</v>
      </c>
      <c r="F750" t="s">
        <v>29</v>
      </c>
      <c r="G750" t="s">
        <v>14</v>
      </c>
      <c r="H750">
        <v>117.87</v>
      </c>
      <c r="I750">
        <v>5024.99</v>
      </c>
      <c r="J750" t="s">
        <v>15</v>
      </c>
      <c r="K750" t="str">
        <f t="shared" si="11"/>
        <v>25-48 Months</v>
      </c>
      <c r="L750">
        <f>IF(Table13[[#This Row],[Churn]]="Yes",1,0)</f>
        <v>0</v>
      </c>
    </row>
    <row r="751" spans="1:12" x14ac:dyDescent="0.35">
      <c r="A751" t="s">
        <v>773</v>
      </c>
      <c r="B751" t="s">
        <v>17</v>
      </c>
      <c r="C751">
        <v>57</v>
      </c>
      <c r="D751">
        <v>32</v>
      </c>
      <c r="E751" t="s">
        <v>12</v>
      </c>
      <c r="F751" t="s">
        <v>29</v>
      </c>
      <c r="G751" t="s">
        <v>23</v>
      </c>
      <c r="H751">
        <v>115.27</v>
      </c>
      <c r="I751">
        <v>3441.45</v>
      </c>
      <c r="J751" t="s">
        <v>27</v>
      </c>
      <c r="K751" t="str">
        <f t="shared" si="11"/>
        <v>25-48 Months</v>
      </c>
      <c r="L751">
        <f>IF(Table13[[#This Row],[Churn]]="Yes",1,0)</f>
        <v>1</v>
      </c>
    </row>
    <row r="752" spans="1:12" x14ac:dyDescent="0.35">
      <c r="A752" t="s">
        <v>774</v>
      </c>
      <c r="B752" t="s">
        <v>17</v>
      </c>
      <c r="C752">
        <v>51</v>
      </c>
      <c r="D752">
        <v>36</v>
      </c>
      <c r="E752" t="s">
        <v>21</v>
      </c>
      <c r="F752" t="s">
        <v>13</v>
      </c>
      <c r="G752" t="s">
        <v>23</v>
      </c>
      <c r="H752">
        <v>133.91</v>
      </c>
      <c r="I752">
        <v>4458.83</v>
      </c>
      <c r="J752" t="s">
        <v>27</v>
      </c>
      <c r="K752" t="str">
        <f t="shared" si="11"/>
        <v>25-48 Months</v>
      </c>
      <c r="L752">
        <f>IF(Table13[[#This Row],[Churn]]="Yes",1,0)</f>
        <v>1</v>
      </c>
    </row>
    <row r="753" spans="1:12" x14ac:dyDescent="0.35">
      <c r="A753" t="s">
        <v>775</v>
      </c>
      <c r="B753" t="s">
        <v>11</v>
      </c>
      <c r="C753">
        <v>29</v>
      </c>
      <c r="D753">
        <v>60</v>
      </c>
      <c r="E753" t="s">
        <v>21</v>
      </c>
      <c r="F753" t="s">
        <v>33</v>
      </c>
      <c r="G753" t="s">
        <v>19</v>
      </c>
      <c r="H753">
        <v>113.96</v>
      </c>
      <c r="I753">
        <v>6654.21</v>
      </c>
      <c r="J753" t="s">
        <v>15</v>
      </c>
      <c r="K753" t="str">
        <f t="shared" si="11"/>
        <v>49+ Months</v>
      </c>
      <c r="L753">
        <f>IF(Table13[[#This Row],[Churn]]="Yes",1,0)</f>
        <v>0</v>
      </c>
    </row>
    <row r="754" spans="1:12" x14ac:dyDescent="0.35">
      <c r="A754" t="s">
        <v>776</v>
      </c>
      <c r="B754" t="s">
        <v>17</v>
      </c>
      <c r="C754">
        <v>62</v>
      </c>
      <c r="D754">
        <v>11</v>
      </c>
      <c r="E754" t="s">
        <v>18</v>
      </c>
      <c r="F754" t="s">
        <v>29</v>
      </c>
      <c r="G754" t="s">
        <v>23</v>
      </c>
      <c r="H754">
        <v>50.14</v>
      </c>
      <c r="I754">
        <v>521.69000000000005</v>
      </c>
      <c r="J754" t="s">
        <v>27</v>
      </c>
      <c r="K754" t="str">
        <f t="shared" si="11"/>
        <v>0-12 Months</v>
      </c>
      <c r="L754">
        <f>IF(Table13[[#This Row],[Churn]]="Yes",1,0)</f>
        <v>1</v>
      </c>
    </row>
    <row r="755" spans="1:12" x14ac:dyDescent="0.35">
      <c r="A755" t="s">
        <v>777</v>
      </c>
      <c r="B755" t="s">
        <v>17</v>
      </c>
      <c r="C755">
        <v>70</v>
      </c>
      <c r="D755">
        <v>63</v>
      </c>
      <c r="E755" t="s">
        <v>12</v>
      </c>
      <c r="F755" t="s">
        <v>29</v>
      </c>
      <c r="G755" t="s">
        <v>23</v>
      </c>
      <c r="H755">
        <v>111.72</v>
      </c>
      <c r="I755">
        <v>6641.82</v>
      </c>
      <c r="J755" t="s">
        <v>15</v>
      </c>
      <c r="K755" t="str">
        <f t="shared" si="11"/>
        <v>49+ Months</v>
      </c>
      <c r="L755">
        <f>IF(Table13[[#This Row],[Churn]]="Yes",1,0)</f>
        <v>0</v>
      </c>
    </row>
    <row r="756" spans="1:12" x14ac:dyDescent="0.35">
      <c r="A756" t="s">
        <v>778</v>
      </c>
      <c r="B756" t="s">
        <v>17</v>
      </c>
      <c r="C756">
        <v>24</v>
      </c>
      <c r="D756">
        <v>21</v>
      </c>
      <c r="E756" t="s">
        <v>12</v>
      </c>
      <c r="F756" t="s">
        <v>29</v>
      </c>
      <c r="G756" t="s">
        <v>19</v>
      </c>
      <c r="H756">
        <v>60</v>
      </c>
      <c r="I756">
        <v>1147.78</v>
      </c>
      <c r="J756" t="s">
        <v>15</v>
      </c>
      <c r="K756" t="str">
        <f t="shared" si="11"/>
        <v>13-24 Months</v>
      </c>
      <c r="L756">
        <f>IF(Table13[[#This Row],[Churn]]="Yes",1,0)</f>
        <v>0</v>
      </c>
    </row>
    <row r="757" spans="1:12" x14ac:dyDescent="0.35">
      <c r="A757" t="s">
        <v>779</v>
      </c>
      <c r="B757" t="s">
        <v>17</v>
      </c>
      <c r="C757">
        <v>27</v>
      </c>
      <c r="D757">
        <v>52</v>
      </c>
      <c r="E757" t="s">
        <v>21</v>
      </c>
      <c r="F757" t="s">
        <v>33</v>
      </c>
      <c r="G757" t="s">
        <v>19</v>
      </c>
      <c r="H757">
        <v>51.48</v>
      </c>
      <c r="I757">
        <v>2418.7199999999998</v>
      </c>
      <c r="J757" t="s">
        <v>15</v>
      </c>
      <c r="K757" t="str">
        <f t="shared" si="11"/>
        <v>49+ Months</v>
      </c>
      <c r="L757">
        <f>IF(Table13[[#This Row],[Churn]]="Yes",1,0)</f>
        <v>0</v>
      </c>
    </row>
    <row r="758" spans="1:12" x14ac:dyDescent="0.35">
      <c r="A758" t="s">
        <v>780</v>
      </c>
      <c r="B758" t="s">
        <v>17</v>
      </c>
      <c r="C758">
        <v>62</v>
      </c>
      <c r="D758">
        <v>55</v>
      </c>
      <c r="E758" t="s">
        <v>21</v>
      </c>
      <c r="F758" t="s">
        <v>22</v>
      </c>
      <c r="G758" t="s">
        <v>23</v>
      </c>
      <c r="H758">
        <v>29.49</v>
      </c>
      <c r="I758">
        <v>1493.09</v>
      </c>
      <c r="J758" t="s">
        <v>15</v>
      </c>
      <c r="K758" t="str">
        <f t="shared" si="11"/>
        <v>49+ Months</v>
      </c>
      <c r="L758">
        <f>IF(Table13[[#This Row],[Churn]]="Yes",1,0)</f>
        <v>0</v>
      </c>
    </row>
    <row r="759" spans="1:12" x14ac:dyDescent="0.35">
      <c r="A759" t="s">
        <v>781</v>
      </c>
      <c r="B759" t="s">
        <v>11</v>
      </c>
      <c r="C759">
        <v>34</v>
      </c>
      <c r="D759">
        <v>26</v>
      </c>
      <c r="E759" t="s">
        <v>21</v>
      </c>
      <c r="F759" t="s">
        <v>29</v>
      </c>
      <c r="G759" t="s">
        <v>14</v>
      </c>
      <c r="H759">
        <v>116.72</v>
      </c>
      <c r="I759">
        <v>2835.76</v>
      </c>
      <c r="J759" t="s">
        <v>15</v>
      </c>
      <c r="K759" t="str">
        <f t="shared" si="11"/>
        <v>25-48 Months</v>
      </c>
      <c r="L759">
        <f>IF(Table13[[#This Row],[Churn]]="Yes",1,0)</f>
        <v>0</v>
      </c>
    </row>
    <row r="760" spans="1:12" x14ac:dyDescent="0.35">
      <c r="A760" t="s">
        <v>782</v>
      </c>
      <c r="B760" t="s">
        <v>11</v>
      </c>
      <c r="C760">
        <v>43</v>
      </c>
      <c r="D760">
        <v>68</v>
      </c>
      <c r="E760" t="s">
        <v>21</v>
      </c>
      <c r="F760" t="s">
        <v>29</v>
      </c>
      <c r="G760" t="s">
        <v>14</v>
      </c>
      <c r="H760">
        <v>112.43</v>
      </c>
      <c r="I760">
        <v>7539.71</v>
      </c>
      <c r="J760" t="s">
        <v>27</v>
      </c>
      <c r="K760" t="str">
        <f t="shared" si="11"/>
        <v>49+ Months</v>
      </c>
      <c r="L760">
        <f>IF(Table13[[#This Row],[Churn]]="Yes",1,0)</f>
        <v>1</v>
      </c>
    </row>
    <row r="761" spans="1:12" x14ac:dyDescent="0.35">
      <c r="A761" t="s">
        <v>783</v>
      </c>
      <c r="B761" t="s">
        <v>11</v>
      </c>
      <c r="C761">
        <v>38</v>
      </c>
      <c r="D761">
        <v>34</v>
      </c>
      <c r="E761" t="s">
        <v>12</v>
      </c>
      <c r="F761" t="s">
        <v>29</v>
      </c>
      <c r="G761" t="s">
        <v>14</v>
      </c>
      <c r="H761">
        <v>50.48</v>
      </c>
      <c r="I761">
        <v>1719.93</v>
      </c>
      <c r="J761" t="s">
        <v>15</v>
      </c>
      <c r="K761" t="str">
        <f t="shared" si="11"/>
        <v>25-48 Months</v>
      </c>
      <c r="L761">
        <f>IF(Table13[[#This Row],[Churn]]="Yes",1,0)</f>
        <v>0</v>
      </c>
    </row>
    <row r="762" spans="1:12" x14ac:dyDescent="0.35">
      <c r="A762" t="s">
        <v>784</v>
      </c>
      <c r="B762" t="s">
        <v>17</v>
      </c>
      <c r="C762">
        <v>45</v>
      </c>
      <c r="D762">
        <v>52</v>
      </c>
      <c r="E762" t="s">
        <v>21</v>
      </c>
      <c r="F762" t="s">
        <v>29</v>
      </c>
      <c r="G762" t="s">
        <v>14</v>
      </c>
      <c r="H762">
        <v>117.42</v>
      </c>
      <c r="I762">
        <v>5666.94</v>
      </c>
      <c r="J762" t="s">
        <v>15</v>
      </c>
      <c r="K762" t="str">
        <f t="shared" si="11"/>
        <v>49+ Months</v>
      </c>
      <c r="L762">
        <f>IF(Table13[[#This Row],[Churn]]="Yes",1,0)</f>
        <v>0</v>
      </c>
    </row>
    <row r="763" spans="1:12" x14ac:dyDescent="0.35">
      <c r="A763" t="s">
        <v>785</v>
      </c>
      <c r="B763" t="s">
        <v>17</v>
      </c>
      <c r="C763">
        <v>63</v>
      </c>
      <c r="D763">
        <v>52</v>
      </c>
      <c r="E763" t="s">
        <v>21</v>
      </c>
      <c r="F763" t="s">
        <v>33</v>
      </c>
      <c r="G763" t="s">
        <v>23</v>
      </c>
      <c r="H763">
        <v>139.32</v>
      </c>
      <c r="I763">
        <v>7135.66</v>
      </c>
      <c r="J763" t="s">
        <v>15</v>
      </c>
      <c r="K763" t="str">
        <f t="shared" si="11"/>
        <v>49+ Months</v>
      </c>
      <c r="L763">
        <f>IF(Table13[[#This Row],[Churn]]="Yes",1,0)</f>
        <v>0</v>
      </c>
    </row>
    <row r="764" spans="1:12" x14ac:dyDescent="0.35">
      <c r="A764" t="s">
        <v>786</v>
      </c>
      <c r="B764" t="s">
        <v>11</v>
      </c>
      <c r="C764">
        <v>19</v>
      </c>
      <c r="D764">
        <v>29</v>
      </c>
      <c r="E764" t="s">
        <v>18</v>
      </c>
      <c r="F764" t="s">
        <v>22</v>
      </c>
      <c r="G764" t="s">
        <v>19</v>
      </c>
      <c r="H764">
        <v>34.04</v>
      </c>
      <c r="I764">
        <v>955.92</v>
      </c>
      <c r="J764" t="s">
        <v>15</v>
      </c>
      <c r="K764" t="str">
        <f t="shared" si="11"/>
        <v>25-48 Months</v>
      </c>
      <c r="L764">
        <f>IF(Table13[[#This Row],[Churn]]="Yes",1,0)</f>
        <v>0</v>
      </c>
    </row>
    <row r="765" spans="1:12" x14ac:dyDescent="0.35">
      <c r="A765" t="s">
        <v>787</v>
      </c>
      <c r="B765" t="s">
        <v>17</v>
      </c>
      <c r="C765">
        <v>60</v>
      </c>
      <c r="D765">
        <v>38</v>
      </c>
      <c r="E765" t="s">
        <v>18</v>
      </c>
      <c r="F765" t="s">
        <v>13</v>
      </c>
      <c r="G765" t="s">
        <v>23</v>
      </c>
      <c r="H765">
        <v>50.24</v>
      </c>
      <c r="I765">
        <v>1788.24</v>
      </c>
      <c r="J765" t="s">
        <v>15</v>
      </c>
      <c r="K765" t="str">
        <f t="shared" si="11"/>
        <v>25-48 Months</v>
      </c>
      <c r="L765">
        <f>IF(Table13[[#This Row],[Churn]]="Yes",1,0)</f>
        <v>0</v>
      </c>
    </row>
    <row r="766" spans="1:12" x14ac:dyDescent="0.35">
      <c r="A766" t="s">
        <v>788</v>
      </c>
      <c r="B766" t="s">
        <v>11</v>
      </c>
      <c r="C766">
        <v>18</v>
      </c>
      <c r="D766">
        <v>42</v>
      </c>
      <c r="E766" t="s">
        <v>12</v>
      </c>
      <c r="F766" t="s">
        <v>33</v>
      </c>
      <c r="G766" t="s">
        <v>19</v>
      </c>
      <c r="H766">
        <v>117.53</v>
      </c>
      <c r="I766">
        <v>4449.3900000000003</v>
      </c>
      <c r="J766" t="s">
        <v>15</v>
      </c>
      <c r="K766" t="str">
        <f t="shared" si="11"/>
        <v>25-48 Months</v>
      </c>
      <c r="L766">
        <f>IF(Table13[[#This Row],[Churn]]="Yes",1,0)</f>
        <v>0</v>
      </c>
    </row>
    <row r="767" spans="1:12" x14ac:dyDescent="0.35">
      <c r="A767" t="s">
        <v>789</v>
      </c>
      <c r="B767" t="s">
        <v>11</v>
      </c>
      <c r="C767">
        <v>68</v>
      </c>
      <c r="D767">
        <v>21</v>
      </c>
      <c r="E767" t="s">
        <v>12</v>
      </c>
      <c r="F767" t="s">
        <v>29</v>
      </c>
      <c r="G767" t="s">
        <v>23</v>
      </c>
      <c r="H767">
        <v>55.69</v>
      </c>
      <c r="I767">
        <v>1161.78</v>
      </c>
      <c r="J767" t="s">
        <v>15</v>
      </c>
      <c r="K767" t="str">
        <f t="shared" si="11"/>
        <v>13-24 Months</v>
      </c>
      <c r="L767">
        <f>IF(Table13[[#This Row],[Churn]]="Yes",1,0)</f>
        <v>0</v>
      </c>
    </row>
    <row r="768" spans="1:12" x14ac:dyDescent="0.35">
      <c r="A768" t="s">
        <v>790</v>
      </c>
      <c r="B768" t="s">
        <v>11</v>
      </c>
      <c r="C768">
        <v>70</v>
      </c>
      <c r="D768">
        <v>42</v>
      </c>
      <c r="E768" t="s">
        <v>18</v>
      </c>
      <c r="F768" t="s">
        <v>22</v>
      </c>
      <c r="G768" t="s">
        <v>23</v>
      </c>
      <c r="H768">
        <v>101.21</v>
      </c>
      <c r="I768">
        <v>4408.6499999999996</v>
      </c>
      <c r="J768" t="s">
        <v>15</v>
      </c>
      <c r="K768" t="str">
        <f t="shared" si="11"/>
        <v>25-48 Months</v>
      </c>
      <c r="L768">
        <f>IF(Table13[[#This Row],[Churn]]="Yes",1,0)</f>
        <v>0</v>
      </c>
    </row>
    <row r="769" spans="1:12" x14ac:dyDescent="0.35">
      <c r="A769" t="s">
        <v>791</v>
      </c>
      <c r="B769" t="s">
        <v>17</v>
      </c>
      <c r="C769">
        <v>53</v>
      </c>
      <c r="D769">
        <v>13</v>
      </c>
      <c r="E769" t="s">
        <v>12</v>
      </c>
      <c r="F769" t="s">
        <v>33</v>
      </c>
      <c r="G769" t="s">
        <v>23</v>
      </c>
      <c r="H769">
        <v>30.55</v>
      </c>
      <c r="I769">
        <v>375.41</v>
      </c>
      <c r="J769" t="s">
        <v>15</v>
      </c>
      <c r="K769" t="str">
        <f t="shared" si="11"/>
        <v>13-24 Months</v>
      </c>
      <c r="L769">
        <f>IF(Table13[[#This Row],[Churn]]="Yes",1,0)</f>
        <v>0</v>
      </c>
    </row>
    <row r="770" spans="1:12" x14ac:dyDescent="0.35">
      <c r="A770" t="s">
        <v>792</v>
      </c>
      <c r="B770" t="s">
        <v>17</v>
      </c>
      <c r="C770">
        <v>68</v>
      </c>
      <c r="D770">
        <v>64</v>
      </c>
      <c r="E770" t="s">
        <v>18</v>
      </c>
      <c r="F770" t="s">
        <v>13</v>
      </c>
      <c r="G770" t="s">
        <v>23</v>
      </c>
      <c r="H770">
        <v>78.790000000000006</v>
      </c>
      <c r="I770">
        <v>4671.2299999999996</v>
      </c>
      <c r="J770" t="s">
        <v>15</v>
      </c>
      <c r="K770" t="str">
        <f t="shared" ref="K770:K833" si="12">IF(D770&lt;=12,"0-12 Months",IF(D770&lt;=24,"13-24 Months",IF(D770&lt;=48,"25-48 Months","49+ Months")))</f>
        <v>49+ Months</v>
      </c>
      <c r="L770">
        <f>IF(Table13[[#This Row],[Churn]]="Yes",1,0)</f>
        <v>0</v>
      </c>
    </row>
    <row r="771" spans="1:12" x14ac:dyDescent="0.35">
      <c r="A771" t="s">
        <v>793</v>
      </c>
      <c r="B771" t="s">
        <v>11</v>
      </c>
      <c r="C771">
        <v>43</v>
      </c>
      <c r="D771">
        <v>17</v>
      </c>
      <c r="E771" t="s">
        <v>12</v>
      </c>
      <c r="F771" t="s">
        <v>22</v>
      </c>
      <c r="G771" t="s">
        <v>14</v>
      </c>
      <c r="H771">
        <v>116.08</v>
      </c>
      <c r="I771">
        <v>2126.11</v>
      </c>
      <c r="J771" t="s">
        <v>27</v>
      </c>
      <c r="K771" t="str">
        <f t="shared" si="12"/>
        <v>13-24 Months</v>
      </c>
      <c r="L771">
        <f>IF(Table13[[#This Row],[Churn]]="Yes",1,0)</f>
        <v>1</v>
      </c>
    </row>
    <row r="772" spans="1:12" x14ac:dyDescent="0.35">
      <c r="A772" t="s">
        <v>794</v>
      </c>
      <c r="B772" t="s">
        <v>11</v>
      </c>
      <c r="C772">
        <v>46</v>
      </c>
      <c r="D772">
        <v>9</v>
      </c>
      <c r="E772" t="s">
        <v>21</v>
      </c>
      <c r="F772" t="s">
        <v>29</v>
      </c>
      <c r="G772" t="s">
        <v>14</v>
      </c>
      <c r="H772">
        <v>109.25</v>
      </c>
      <c r="I772">
        <v>939.01</v>
      </c>
      <c r="J772" t="s">
        <v>15</v>
      </c>
      <c r="K772" t="str">
        <f t="shared" si="12"/>
        <v>0-12 Months</v>
      </c>
      <c r="L772">
        <f>IF(Table13[[#This Row],[Churn]]="Yes",1,0)</f>
        <v>0</v>
      </c>
    </row>
    <row r="773" spans="1:12" x14ac:dyDescent="0.35">
      <c r="A773" t="s">
        <v>795</v>
      </c>
      <c r="B773" t="s">
        <v>11</v>
      </c>
      <c r="C773">
        <v>38</v>
      </c>
      <c r="D773">
        <v>41</v>
      </c>
      <c r="E773" t="s">
        <v>18</v>
      </c>
      <c r="F773" t="s">
        <v>29</v>
      </c>
      <c r="G773" t="s">
        <v>14</v>
      </c>
      <c r="H773">
        <v>125.96</v>
      </c>
      <c r="I773">
        <v>4878.8900000000003</v>
      </c>
      <c r="J773" t="s">
        <v>15</v>
      </c>
      <c r="K773" t="str">
        <f t="shared" si="12"/>
        <v>25-48 Months</v>
      </c>
      <c r="L773">
        <f>IF(Table13[[#This Row],[Churn]]="Yes",1,0)</f>
        <v>0</v>
      </c>
    </row>
    <row r="774" spans="1:12" x14ac:dyDescent="0.35">
      <c r="A774" t="s">
        <v>796</v>
      </c>
      <c r="B774" t="s">
        <v>11</v>
      </c>
      <c r="C774">
        <v>28</v>
      </c>
      <c r="D774">
        <v>1</v>
      </c>
      <c r="E774" t="s">
        <v>18</v>
      </c>
      <c r="F774" t="s">
        <v>29</v>
      </c>
      <c r="G774" t="s">
        <v>19</v>
      </c>
      <c r="H774">
        <v>134.07</v>
      </c>
      <c r="I774">
        <v>143.65</v>
      </c>
      <c r="J774" t="s">
        <v>27</v>
      </c>
      <c r="K774" t="str">
        <f t="shared" si="12"/>
        <v>0-12 Months</v>
      </c>
      <c r="L774">
        <f>IF(Table13[[#This Row],[Churn]]="Yes",1,0)</f>
        <v>1</v>
      </c>
    </row>
    <row r="775" spans="1:12" x14ac:dyDescent="0.35">
      <c r="A775" t="s">
        <v>797</v>
      </c>
      <c r="B775" t="s">
        <v>17</v>
      </c>
      <c r="C775">
        <v>57</v>
      </c>
      <c r="D775">
        <v>2</v>
      </c>
      <c r="E775" t="s">
        <v>12</v>
      </c>
      <c r="F775" t="s">
        <v>13</v>
      </c>
      <c r="G775" t="s">
        <v>23</v>
      </c>
      <c r="H775">
        <v>120.51</v>
      </c>
      <c r="I775">
        <v>256.31</v>
      </c>
      <c r="J775" t="s">
        <v>15</v>
      </c>
      <c r="K775" t="str">
        <f t="shared" si="12"/>
        <v>0-12 Months</v>
      </c>
      <c r="L775">
        <f>IF(Table13[[#This Row],[Churn]]="Yes",1,0)</f>
        <v>0</v>
      </c>
    </row>
    <row r="776" spans="1:12" x14ac:dyDescent="0.35">
      <c r="A776" t="s">
        <v>798</v>
      </c>
      <c r="B776" t="s">
        <v>17</v>
      </c>
      <c r="C776">
        <v>28</v>
      </c>
      <c r="D776">
        <v>60</v>
      </c>
      <c r="E776" t="s">
        <v>21</v>
      </c>
      <c r="F776" t="s">
        <v>22</v>
      </c>
      <c r="G776" t="s">
        <v>19</v>
      </c>
      <c r="H776">
        <v>107.31</v>
      </c>
      <c r="I776">
        <v>6372.08</v>
      </c>
      <c r="J776" t="s">
        <v>15</v>
      </c>
      <c r="K776" t="str">
        <f t="shared" si="12"/>
        <v>49+ Months</v>
      </c>
      <c r="L776">
        <f>IF(Table13[[#This Row],[Churn]]="Yes",1,0)</f>
        <v>0</v>
      </c>
    </row>
    <row r="777" spans="1:12" x14ac:dyDescent="0.35">
      <c r="A777" t="s">
        <v>799</v>
      </c>
      <c r="B777" t="s">
        <v>11</v>
      </c>
      <c r="C777">
        <v>53</v>
      </c>
      <c r="D777">
        <v>48</v>
      </c>
      <c r="E777" t="s">
        <v>12</v>
      </c>
      <c r="F777" t="s">
        <v>33</v>
      </c>
      <c r="G777" t="s">
        <v>23</v>
      </c>
      <c r="H777">
        <v>24.12</v>
      </c>
      <c r="I777">
        <v>1155.27</v>
      </c>
      <c r="J777" t="s">
        <v>27</v>
      </c>
      <c r="K777" t="str">
        <f t="shared" si="12"/>
        <v>25-48 Months</v>
      </c>
      <c r="L777">
        <f>IF(Table13[[#This Row],[Churn]]="Yes",1,0)</f>
        <v>1</v>
      </c>
    </row>
    <row r="778" spans="1:12" x14ac:dyDescent="0.35">
      <c r="A778" t="s">
        <v>800</v>
      </c>
      <c r="B778" t="s">
        <v>11</v>
      </c>
      <c r="C778">
        <v>66</v>
      </c>
      <c r="D778">
        <v>29</v>
      </c>
      <c r="E778" t="s">
        <v>12</v>
      </c>
      <c r="F778" t="s">
        <v>22</v>
      </c>
      <c r="G778" t="s">
        <v>23</v>
      </c>
      <c r="H778">
        <v>89.55</v>
      </c>
      <c r="I778">
        <v>2450.35</v>
      </c>
      <c r="J778" t="s">
        <v>15</v>
      </c>
      <c r="K778" t="str">
        <f t="shared" si="12"/>
        <v>25-48 Months</v>
      </c>
      <c r="L778">
        <f>IF(Table13[[#This Row],[Churn]]="Yes",1,0)</f>
        <v>0</v>
      </c>
    </row>
    <row r="779" spans="1:12" x14ac:dyDescent="0.35">
      <c r="A779" t="s">
        <v>801</v>
      </c>
      <c r="B779" t="s">
        <v>17</v>
      </c>
      <c r="C779">
        <v>56</v>
      </c>
      <c r="D779">
        <v>10</v>
      </c>
      <c r="E779" t="s">
        <v>21</v>
      </c>
      <c r="F779" t="s">
        <v>33</v>
      </c>
      <c r="G779" t="s">
        <v>23</v>
      </c>
      <c r="H779">
        <v>24.9</v>
      </c>
      <c r="I779">
        <v>228</v>
      </c>
      <c r="J779" t="s">
        <v>15</v>
      </c>
      <c r="K779" t="str">
        <f t="shared" si="12"/>
        <v>0-12 Months</v>
      </c>
      <c r="L779">
        <f>IF(Table13[[#This Row],[Churn]]="Yes",1,0)</f>
        <v>0</v>
      </c>
    </row>
    <row r="780" spans="1:12" x14ac:dyDescent="0.35">
      <c r="A780" t="s">
        <v>802</v>
      </c>
      <c r="B780" t="s">
        <v>17</v>
      </c>
      <c r="C780">
        <v>57</v>
      </c>
      <c r="D780">
        <v>58</v>
      </c>
      <c r="E780" t="s">
        <v>21</v>
      </c>
      <c r="F780" t="s">
        <v>33</v>
      </c>
      <c r="G780" t="s">
        <v>23</v>
      </c>
      <c r="H780">
        <v>125.05</v>
      </c>
      <c r="I780">
        <v>7359.42</v>
      </c>
      <c r="J780" t="s">
        <v>27</v>
      </c>
      <c r="K780" t="str">
        <f t="shared" si="12"/>
        <v>49+ Months</v>
      </c>
      <c r="L780">
        <f>IF(Table13[[#This Row],[Churn]]="Yes",1,0)</f>
        <v>1</v>
      </c>
    </row>
    <row r="781" spans="1:12" x14ac:dyDescent="0.35">
      <c r="A781" t="s">
        <v>803</v>
      </c>
      <c r="B781" t="s">
        <v>11</v>
      </c>
      <c r="C781">
        <v>52</v>
      </c>
      <c r="D781">
        <v>60</v>
      </c>
      <c r="E781" t="s">
        <v>18</v>
      </c>
      <c r="F781" t="s">
        <v>29</v>
      </c>
      <c r="G781" t="s">
        <v>23</v>
      </c>
      <c r="H781">
        <v>61.69</v>
      </c>
      <c r="I781">
        <v>3404.06</v>
      </c>
      <c r="J781" t="s">
        <v>15</v>
      </c>
      <c r="K781" t="str">
        <f t="shared" si="12"/>
        <v>49+ Months</v>
      </c>
      <c r="L781">
        <f>IF(Table13[[#This Row],[Churn]]="Yes",1,0)</f>
        <v>0</v>
      </c>
    </row>
    <row r="782" spans="1:12" x14ac:dyDescent="0.35">
      <c r="A782" t="s">
        <v>804</v>
      </c>
      <c r="B782" t="s">
        <v>11</v>
      </c>
      <c r="C782">
        <v>51</v>
      </c>
      <c r="D782">
        <v>21</v>
      </c>
      <c r="E782" t="s">
        <v>12</v>
      </c>
      <c r="F782" t="s">
        <v>13</v>
      </c>
      <c r="G782" t="s">
        <v>23</v>
      </c>
      <c r="H782">
        <v>93.12</v>
      </c>
      <c r="I782">
        <v>1935.68</v>
      </c>
      <c r="J782" t="s">
        <v>15</v>
      </c>
      <c r="K782" t="str">
        <f t="shared" si="12"/>
        <v>13-24 Months</v>
      </c>
      <c r="L782">
        <f>IF(Table13[[#This Row],[Churn]]="Yes",1,0)</f>
        <v>0</v>
      </c>
    </row>
    <row r="783" spans="1:12" x14ac:dyDescent="0.35">
      <c r="A783" t="s">
        <v>805</v>
      </c>
      <c r="B783" t="s">
        <v>11</v>
      </c>
      <c r="C783">
        <v>64</v>
      </c>
      <c r="D783">
        <v>28</v>
      </c>
      <c r="E783" t="s">
        <v>12</v>
      </c>
      <c r="F783" t="s">
        <v>29</v>
      </c>
      <c r="G783" t="s">
        <v>23</v>
      </c>
      <c r="H783">
        <v>56.33</v>
      </c>
      <c r="I783">
        <v>1716.19</v>
      </c>
      <c r="J783" t="s">
        <v>27</v>
      </c>
      <c r="K783" t="str">
        <f t="shared" si="12"/>
        <v>25-48 Months</v>
      </c>
      <c r="L783">
        <f>IF(Table13[[#This Row],[Churn]]="Yes",1,0)</f>
        <v>1</v>
      </c>
    </row>
    <row r="784" spans="1:12" x14ac:dyDescent="0.35">
      <c r="A784" t="s">
        <v>806</v>
      </c>
      <c r="B784" t="s">
        <v>17</v>
      </c>
      <c r="C784">
        <v>41</v>
      </c>
      <c r="D784">
        <v>34</v>
      </c>
      <c r="E784" t="s">
        <v>12</v>
      </c>
      <c r="F784" t="s">
        <v>22</v>
      </c>
      <c r="G784" t="s">
        <v>14</v>
      </c>
      <c r="H784">
        <v>121.73</v>
      </c>
      <c r="I784">
        <v>4513.66</v>
      </c>
      <c r="J784" t="s">
        <v>15</v>
      </c>
      <c r="K784" t="str">
        <f t="shared" si="12"/>
        <v>25-48 Months</v>
      </c>
      <c r="L784">
        <f>IF(Table13[[#This Row],[Churn]]="Yes",1,0)</f>
        <v>0</v>
      </c>
    </row>
    <row r="785" spans="1:12" x14ac:dyDescent="0.35">
      <c r="A785" t="s">
        <v>807</v>
      </c>
      <c r="B785" t="s">
        <v>17</v>
      </c>
      <c r="C785">
        <v>39</v>
      </c>
      <c r="D785">
        <v>8</v>
      </c>
      <c r="E785" t="s">
        <v>12</v>
      </c>
      <c r="F785" t="s">
        <v>33</v>
      </c>
      <c r="G785" t="s">
        <v>14</v>
      </c>
      <c r="H785">
        <v>135.25</v>
      </c>
      <c r="I785">
        <v>1025.5899999999999</v>
      </c>
      <c r="J785" t="s">
        <v>15</v>
      </c>
      <c r="K785" t="str">
        <f t="shared" si="12"/>
        <v>0-12 Months</v>
      </c>
      <c r="L785">
        <f>IF(Table13[[#This Row],[Churn]]="Yes",1,0)</f>
        <v>0</v>
      </c>
    </row>
    <row r="786" spans="1:12" x14ac:dyDescent="0.35">
      <c r="A786" t="s">
        <v>808</v>
      </c>
      <c r="B786" t="s">
        <v>17</v>
      </c>
      <c r="C786">
        <v>22</v>
      </c>
      <c r="D786">
        <v>59</v>
      </c>
      <c r="E786" t="s">
        <v>12</v>
      </c>
      <c r="F786" t="s">
        <v>29</v>
      </c>
      <c r="G786" t="s">
        <v>19</v>
      </c>
      <c r="H786">
        <v>71.819999999999993</v>
      </c>
      <c r="I786">
        <v>4342.5600000000004</v>
      </c>
      <c r="J786" t="s">
        <v>15</v>
      </c>
      <c r="K786" t="str">
        <f t="shared" si="12"/>
        <v>49+ Months</v>
      </c>
      <c r="L786">
        <f>IF(Table13[[#This Row],[Churn]]="Yes",1,0)</f>
        <v>0</v>
      </c>
    </row>
    <row r="787" spans="1:12" x14ac:dyDescent="0.35">
      <c r="A787" t="s">
        <v>809</v>
      </c>
      <c r="B787" t="s">
        <v>11</v>
      </c>
      <c r="C787">
        <v>50</v>
      </c>
      <c r="D787">
        <v>72</v>
      </c>
      <c r="E787" t="s">
        <v>21</v>
      </c>
      <c r="F787" t="s">
        <v>22</v>
      </c>
      <c r="G787" t="s">
        <v>23</v>
      </c>
      <c r="H787">
        <v>132.18</v>
      </c>
      <c r="I787">
        <v>9467.6200000000008</v>
      </c>
      <c r="J787" t="s">
        <v>15</v>
      </c>
      <c r="K787" t="str">
        <f t="shared" si="12"/>
        <v>49+ Months</v>
      </c>
      <c r="L787">
        <f>IF(Table13[[#This Row],[Churn]]="Yes",1,0)</f>
        <v>0</v>
      </c>
    </row>
    <row r="788" spans="1:12" x14ac:dyDescent="0.35">
      <c r="A788" t="s">
        <v>810</v>
      </c>
      <c r="B788" t="s">
        <v>11</v>
      </c>
      <c r="C788">
        <v>53</v>
      </c>
      <c r="D788">
        <v>49</v>
      </c>
      <c r="E788" t="s">
        <v>12</v>
      </c>
      <c r="F788" t="s">
        <v>22</v>
      </c>
      <c r="G788" t="s">
        <v>23</v>
      </c>
      <c r="H788">
        <v>54.72</v>
      </c>
      <c r="I788">
        <v>2882.74</v>
      </c>
      <c r="J788" t="s">
        <v>15</v>
      </c>
      <c r="K788" t="str">
        <f t="shared" si="12"/>
        <v>49+ Months</v>
      </c>
      <c r="L788">
        <f>IF(Table13[[#This Row],[Churn]]="Yes",1,0)</f>
        <v>0</v>
      </c>
    </row>
    <row r="789" spans="1:12" x14ac:dyDescent="0.35">
      <c r="A789" t="s">
        <v>811</v>
      </c>
      <c r="B789" t="s">
        <v>17</v>
      </c>
      <c r="C789">
        <v>64</v>
      </c>
      <c r="D789">
        <v>17</v>
      </c>
      <c r="E789" t="s">
        <v>18</v>
      </c>
      <c r="F789" t="s">
        <v>13</v>
      </c>
      <c r="G789" t="s">
        <v>23</v>
      </c>
      <c r="H789">
        <v>89.51</v>
      </c>
      <c r="I789">
        <v>1452.11</v>
      </c>
      <c r="J789" t="s">
        <v>15</v>
      </c>
      <c r="K789" t="str">
        <f t="shared" si="12"/>
        <v>13-24 Months</v>
      </c>
      <c r="L789">
        <f>IF(Table13[[#This Row],[Churn]]="Yes",1,0)</f>
        <v>0</v>
      </c>
    </row>
    <row r="790" spans="1:12" x14ac:dyDescent="0.35">
      <c r="A790" t="s">
        <v>812</v>
      </c>
      <c r="B790" t="s">
        <v>17</v>
      </c>
      <c r="C790">
        <v>37</v>
      </c>
      <c r="D790">
        <v>60</v>
      </c>
      <c r="E790" t="s">
        <v>18</v>
      </c>
      <c r="F790" t="s">
        <v>13</v>
      </c>
      <c r="G790" t="s">
        <v>14</v>
      </c>
      <c r="H790">
        <v>131.63999999999999</v>
      </c>
      <c r="I790">
        <v>7114.41</v>
      </c>
      <c r="J790" t="s">
        <v>15</v>
      </c>
      <c r="K790" t="str">
        <f t="shared" si="12"/>
        <v>49+ Months</v>
      </c>
      <c r="L790">
        <f>IF(Table13[[#This Row],[Churn]]="Yes",1,0)</f>
        <v>0</v>
      </c>
    </row>
    <row r="791" spans="1:12" x14ac:dyDescent="0.35">
      <c r="A791" t="s">
        <v>813</v>
      </c>
      <c r="B791" t="s">
        <v>11</v>
      </c>
      <c r="C791">
        <v>36</v>
      </c>
      <c r="D791">
        <v>45</v>
      </c>
      <c r="E791" t="s">
        <v>21</v>
      </c>
      <c r="F791" t="s">
        <v>13</v>
      </c>
      <c r="G791" t="s">
        <v>14</v>
      </c>
      <c r="H791">
        <v>62.36</v>
      </c>
      <c r="I791">
        <v>2616.8200000000002</v>
      </c>
      <c r="J791" t="s">
        <v>15</v>
      </c>
      <c r="K791" t="str">
        <f t="shared" si="12"/>
        <v>25-48 Months</v>
      </c>
      <c r="L791">
        <f>IF(Table13[[#This Row],[Churn]]="Yes",1,0)</f>
        <v>0</v>
      </c>
    </row>
    <row r="792" spans="1:12" x14ac:dyDescent="0.35">
      <c r="A792" t="s">
        <v>814</v>
      </c>
      <c r="B792" t="s">
        <v>17</v>
      </c>
      <c r="C792">
        <v>52</v>
      </c>
      <c r="D792">
        <v>69</v>
      </c>
      <c r="E792" t="s">
        <v>18</v>
      </c>
      <c r="F792" t="s">
        <v>29</v>
      </c>
      <c r="G792" t="s">
        <v>23</v>
      </c>
      <c r="H792">
        <v>144.03</v>
      </c>
      <c r="I792">
        <v>9638.98</v>
      </c>
      <c r="J792" t="s">
        <v>15</v>
      </c>
      <c r="K792" t="str">
        <f t="shared" si="12"/>
        <v>49+ Months</v>
      </c>
      <c r="L792">
        <f>IF(Table13[[#This Row],[Churn]]="Yes",1,0)</f>
        <v>0</v>
      </c>
    </row>
    <row r="793" spans="1:12" x14ac:dyDescent="0.35">
      <c r="A793" t="s">
        <v>815</v>
      </c>
      <c r="B793" t="s">
        <v>17</v>
      </c>
      <c r="C793">
        <v>69</v>
      </c>
      <c r="D793">
        <v>32</v>
      </c>
      <c r="E793" t="s">
        <v>21</v>
      </c>
      <c r="F793" t="s">
        <v>29</v>
      </c>
      <c r="G793" t="s">
        <v>23</v>
      </c>
      <c r="H793">
        <v>35.840000000000003</v>
      </c>
      <c r="I793">
        <v>1104.6099999999999</v>
      </c>
      <c r="J793" t="s">
        <v>27</v>
      </c>
      <c r="K793" t="str">
        <f t="shared" si="12"/>
        <v>25-48 Months</v>
      </c>
      <c r="L793">
        <f>IF(Table13[[#This Row],[Churn]]="Yes",1,0)</f>
        <v>1</v>
      </c>
    </row>
    <row r="794" spans="1:12" x14ac:dyDescent="0.35">
      <c r="A794" t="s">
        <v>816</v>
      </c>
      <c r="B794" t="s">
        <v>11</v>
      </c>
      <c r="C794">
        <v>60</v>
      </c>
      <c r="D794">
        <v>44</v>
      </c>
      <c r="E794" t="s">
        <v>12</v>
      </c>
      <c r="F794" t="s">
        <v>29</v>
      </c>
      <c r="G794" t="s">
        <v>23</v>
      </c>
      <c r="H794">
        <v>22.38</v>
      </c>
      <c r="I794">
        <v>1042.0999999999999</v>
      </c>
      <c r="J794" t="s">
        <v>15</v>
      </c>
      <c r="K794" t="str">
        <f t="shared" si="12"/>
        <v>25-48 Months</v>
      </c>
      <c r="L794">
        <f>IF(Table13[[#This Row],[Churn]]="Yes",1,0)</f>
        <v>0</v>
      </c>
    </row>
    <row r="795" spans="1:12" x14ac:dyDescent="0.35">
      <c r="A795" t="s">
        <v>817</v>
      </c>
      <c r="B795" t="s">
        <v>17</v>
      </c>
      <c r="C795">
        <v>34</v>
      </c>
      <c r="D795">
        <v>65</v>
      </c>
      <c r="E795" t="s">
        <v>12</v>
      </c>
      <c r="F795" t="s">
        <v>13</v>
      </c>
      <c r="G795" t="s">
        <v>14</v>
      </c>
      <c r="H795">
        <v>137.54</v>
      </c>
      <c r="I795">
        <v>9262.9500000000007</v>
      </c>
      <c r="J795" t="s">
        <v>15</v>
      </c>
      <c r="K795" t="str">
        <f t="shared" si="12"/>
        <v>49+ Months</v>
      </c>
      <c r="L795">
        <f>IF(Table13[[#This Row],[Churn]]="Yes",1,0)</f>
        <v>0</v>
      </c>
    </row>
    <row r="796" spans="1:12" x14ac:dyDescent="0.35">
      <c r="A796" t="s">
        <v>818</v>
      </c>
      <c r="B796" t="s">
        <v>11</v>
      </c>
      <c r="C796">
        <v>62</v>
      </c>
      <c r="D796">
        <v>8</v>
      </c>
      <c r="E796" t="s">
        <v>12</v>
      </c>
      <c r="F796" t="s">
        <v>29</v>
      </c>
      <c r="G796" t="s">
        <v>23</v>
      </c>
      <c r="H796">
        <v>28.92</v>
      </c>
      <c r="I796">
        <v>222.09</v>
      </c>
      <c r="J796" t="s">
        <v>27</v>
      </c>
      <c r="K796" t="str">
        <f t="shared" si="12"/>
        <v>0-12 Months</v>
      </c>
      <c r="L796">
        <f>IF(Table13[[#This Row],[Churn]]="Yes",1,0)</f>
        <v>1</v>
      </c>
    </row>
    <row r="797" spans="1:12" x14ac:dyDescent="0.35">
      <c r="A797" t="s">
        <v>819</v>
      </c>
      <c r="B797" t="s">
        <v>11</v>
      </c>
      <c r="C797">
        <v>60</v>
      </c>
      <c r="D797">
        <v>72</v>
      </c>
      <c r="E797" t="s">
        <v>21</v>
      </c>
      <c r="F797" t="s">
        <v>33</v>
      </c>
      <c r="G797" t="s">
        <v>23</v>
      </c>
      <c r="H797">
        <v>148.94999999999999</v>
      </c>
      <c r="I797">
        <v>10633.77</v>
      </c>
      <c r="J797" t="s">
        <v>27</v>
      </c>
      <c r="K797" t="str">
        <f t="shared" si="12"/>
        <v>49+ Months</v>
      </c>
      <c r="L797">
        <f>IF(Table13[[#This Row],[Churn]]="Yes",1,0)</f>
        <v>1</v>
      </c>
    </row>
    <row r="798" spans="1:12" x14ac:dyDescent="0.35">
      <c r="A798" t="s">
        <v>820</v>
      </c>
      <c r="B798" t="s">
        <v>11</v>
      </c>
      <c r="C798">
        <v>51</v>
      </c>
      <c r="D798">
        <v>43</v>
      </c>
      <c r="E798" t="s">
        <v>18</v>
      </c>
      <c r="F798" t="s">
        <v>13</v>
      </c>
      <c r="G798" t="s">
        <v>23</v>
      </c>
      <c r="H798">
        <v>143.68</v>
      </c>
      <c r="I798">
        <v>5678.49</v>
      </c>
      <c r="J798" t="s">
        <v>15</v>
      </c>
      <c r="K798" t="str">
        <f t="shared" si="12"/>
        <v>25-48 Months</v>
      </c>
      <c r="L798">
        <f>IF(Table13[[#This Row],[Churn]]="Yes",1,0)</f>
        <v>0</v>
      </c>
    </row>
    <row r="799" spans="1:12" x14ac:dyDescent="0.35">
      <c r="A799" t="s">
        <v>821</v>
      </c>
      <c r="B799" t="s">
        <v>11</v>
      </c>
      <c r="C799">
        <v>26</v>
      </c>
      <c r="D799">
        <v>1</v>
      </c>
      <c r="E799" t="s">
        <v>12</v>
      </c>
      <c r="F799" t="s">
        <v>22</v>
      </c>
      <c r="G799" t="s">
        <v>19</v>
      </c>
      <c r="H799">
        <v>37.81</v>
      </c>
      <c r="I799">
        <v>40.82</v>
      </c>
      <c r="J799" t="s">
        <v>15</v>
      </c>
      <c r="K799" t="str">
        <f t="shared" si="12"/>
        <v>0-12 Months</v>
      </c>
      <c r="L799">
        <f>IF(Table13[[#This Row],[Churn]]="Yes",1,0)</f>
        <v>0</v>
      </c>
    </row>
    <row r="800" spans="1:12" x14ac:dyDescent="0.35">
      <c r="A800" t="s">
        <v>822</v>
      </c>
      <c r="B800" t="s">
        <v>11</v>
      </c>
      <c r="C800">
        <v>43</v>
      </c>
      <c r="D800">
        <v>51</v>
      </c>
      <c r="E800" t="s">
        <v>18</v>
      </c>
      <c r="F800" t="s">
        <v>13</v>
      </c>
      <c r="G800" t="s">
        <v>14</v>
      </c>
      <c r="H800">
        <v>89.89</v>
      </c>
      <c r="I800">
        <v>4983.62</v>
      </c>
      <c r="J800" t="s">
        <v>15</v>
      </c>
      <c r="K800" t="str">
        <f t="shared" si="12"/>
        <v>49+ Months</v>
      </c>
      <c r="L800">
        <f>IF(Table13[[#This Row],[Churn]]="Yes",1,0)</f>
        <v>0</v>
      </c>
    </row>
    <row r="801" spans="1:12" x14ac:dyDescent="0.35">
      <c r="A801" t="s">
        <v>823</v>
      </c>
      <c r="B801" t="s">
        <v>11</v>
      </c>
      <c r="C801">
        <v>19</v>
      </c>
      <c r="D801">
        <v>24</v>
      </c>
      <c r="E801" t="s">
        <v>21</v>
      </c>
      <c r="F801" t="s">
        <v>13</v>
      </c>
      <c r="G801" t="s">
        <v>19</v>
      </c>
      <c r="H801">
        <v>44.04</v>
      </c>
      <c r="I801">
        <v>1158.3900000000001</v>
      </c>
      <c r="J801" t="s">
        <v>15</v>
      </c>
      <c r="K801" t="str">
        <f t="shared" si="12"/>
        <v>13-24 Months</v>
      </c>
      <c r="L801">
        <f>IF(Table13[[#This Row],[Churn]]="Yes",1,0)</f>
        <v>0</v>
      </c>
    </row>
    <row r="802" spans="1:12" x14ac:dyDescent="0.35">
      <c r="A802" t="s">
        <v>824</v>
      </c>
      <c r="B802" t="s">
        <v>11</v>
      </c>
      <c r="C802">
        <v>70</v>
      </c>
      <c r="D802">
        <v>24</v>
      </c>
      <c r="E802" t="s">
        <v>12</v>
      </c>
      <c r="F802" t="s">
        <v>33</v>
      </c>
      <c r="G802" t="s">
        <v>23</v>
      </c>
      <c r="H802">
        <v>75.66</v>
      </c>
      <c r="I802">
        <v>1949.69</v>
      </c>
      <c r="J802" t="s">
        <v>15</v>
      </c>
      <c r="K802" t="str">
        <f t="shared" si="12"/>
        <v>13-24 Months</v>
      </c>
      <c r="L802">
        <f>IF(Table13[[#This Row],[Churn]]="Yes",1,0)</f>
        <v>0</v>
      </c>
    </row>
    <row r="803" spans="1:12" x14ac:dyDescent="0.35">
      <c r="A803" t="s">
        <v>825</v>
      </c>
      <c r="B803" t="s">
        <v>17</v>
      </c>
      <c r="C803">
        <v>26</v>
      </c>
      <c r="D803">
        <v>17</v>
      </c>
      <c r="E803" t="s">
        <v>18</v>
      </c>
      <c r="F803" t="s">
        <v>29</v>
      </c>
      <c r="G803" t="s">
        <v>19</v>
      </c>
      <c r="H803">
        <v>27.99</v>
      </c>
      <c r="I803">
        <v>444.8</v>
      </c>
      <c r="J803" t="s">
        <v>15</v>
      </c>
      <c r="K803" t="str">
        <f t="shared" si="12"/>
        <v>13-24 Months</v>
      </c>
      <c r="L803">
        <f>IF(Table13[[#This Row],[Churn]]="Yes",1,0)</f>
        <v>0</v>
      </c>
    </row>
    <row r="804" spans="1:12" x14ac:dyDescent="0.35">
      <c r="A804" t="s">
        <v>826</v>
      </c>
      <c r="B804" t="s">
        <v>11</v>
      </c>
      <c r="C804">
        <v>26</v>
      </c>
      <c r="D804">
        <v>5</v>
      </c>
      <c r="E804" t="s">
        <v>12</v>
      </c>
      <c r="F804" t="s">
        <v>29</v>
      </c>
      <c r="G804" t="s">
        <v>19</v>
      </c>
      <c r="H804">
        <v>49.11</v>
      </c>
      <c r="I804">
        <v>223.26</v>
      </c>
      <c r="J804" t="s">
        <v>27</v>
      </c>
      <c r="K804" t="str">
        <f t="shared" si="12"/>
        <v>0-12 Months</v>
      </c>
      <c r="L804">
        <f>IF(Table13[[#This Row],[Churn]]="Yes",1,0)</f>
        <v>1</v>
      </c>
    </row>
    <row r="805" spans="1:12" x14ac:dyDescent="0.35">
      <c r="A805" t="s">
        <v>827</v>
      </c>
      <c r="B805" t="s">
        <v>11</v>
      </c>
      <c r="C805">
        <v>57</v>
      </c>
      <c r="D805">
        <v>20</v>
      </c>
      <c r="E805" t="s">
        <v>12</v>
      </c>
      <c r="F805" t="s">
        <v>22</v>
      </c>
      <c r="G805" t="s">
        <v>23</v>
      </c>
      <c r="H805">
        <v>67.23</v>
      </c>
      <c r="I805">
        <v>1366.01</v>
      </c>
      <c r="J805" t="s">
        <v>15</v>
      </c>
      <c r="K805" t="str">
        <f t="shared" si="12"/>
        <v>13-24 Months</v>
      </c>
      <c r="L805">
        <f>IF(Table13[[#This Row],[Churn]]="Yes",1,0)</f>
        <v>0</v>
      </c>
    </row>
    <row r="806" spans="1:12" x14ac:dyDescent="0.35">
      <c r="A806" t="s">
        <v>828</v>
      </c>
      <c r="B806" t="s">
        <v>17</v>
      </c>
      <c r="C806">
        <v>34</v>
      </c>
      <c r="D806">
        <v>21</v>
      </c>
      <c r="E806" t="s">
        <v>21</v>
      </c>
      <c r="F806" t="s">
        <v>29</v>
      </c>
      <c r="G806" t="s">
        <v>14</v>
      </c>
      <c r="H806">
        <v>77.02</v>
      </c>
      <c r="I806">
        <v>1750.89</v>
      </c>
      <c r="J806" t="s">
        <v>15</v>
      </c>
      <c r="K806" t="str">
        <f t="shared" si="12"/>
        <v>13-24 Months</v>
      </c>
      <c r="L806">
        <f>IF(Table13[[#This Row],[Churn]]="Yes",1,0)</f>
        <v>0</v>
      </c>
    </row>
    <row r="807" spans="1:12" x14ac:dyDescent="0.35">
      <c r="A807" t="s">
        <v>829</v>
      </c>
      <c r="B807" t="s">
        <v>17</v>
      </c>
      <c r="C807">
        <v>18</v>
      </c>
      <c r="D807">
        <v>58</v>
      </c>
      <c r="E807" t="s">
        <v>12</v>
      </c>
      <c r="F807" t="s">
        <v>29</v>
      </c>
      <c r="G807" t="s">
        <v>19</v>
      </c>
      <c r="H807">
        <v>147.07</v>
      </c>
      <c r="I807">
        <v>7979.62</v>
      </c>
      <c r="J807" t="s">
        <v>15</v>
      </c>
      <c r="K807" t="str">
        <f t="shared" si="12"/>
        <v>49+ Months</v>
      </c>
      <c r="L807">
        <f>IF(Table13[[#This Row],[Churn]]="Yes",1,0)</f>
        <v>0</v>
      </c>
    </row>
    <row r="808" spans="1:12" x14ac:dyDescent="0.35">
      <c r="A808" t="s">
        <v>830</v>
      </c>
      <c r="B808" t="s">
        <v>17</v>
      </c>
      <c r="C808">
        <v>42</v>
      </c>
      <c r="D808">
        <v>31</v>
      </c>
      <c r="E808" t="s">
        <v>21</v>
      </c>
      <c r="F808" t="s">
        <v>13</v>
      </c>
      <c r="G808" t="s">
        <v>14</v>
      </c>
      <c r="H808">
        <v>125.02</v>
      </c>
      <c r="I808">
        <v>3493.52</v>
      </c>
      <c r="J808" t="s">
        <v>15</v>
      </c>
      <c r="K808" t="str">
        <f t="shared" si="12"/>
        <v>25-48 Months</v>
      </c>
      <c r="L808">
        <f>IF(Table13[[#This Row],[Churn]]="Yes",1,0)</f>
        <v>0</v>
      </c>
    </row>
    <row r="809" spans="1:12" x14ac:dyDescent="0.35">
      <c r="A809" t="s">
        <v>831</v>
      </c>
      <c r="B809" t="s">
        <v>11</v>
      </c>
      <c r="C809">
        <v>60</v>
      </c>
      <c r="D809">
        <v>11</v>
      </c>
      <c r="E809" t="s">
        <v>12</v>
      </c>
      <c r="F809" t="s">
        <v>29</v>
      </c>
      <c r="G809" t="s">
        <v>23</v>
      </c>
      <c r="H809">
        <v>115.86</v>
      </c>
      <c r="I809">
        <v>1352.33</v>
      </c>
      <c r="J809" t="s">
        <v>27</v>
      </c>
      <c r="K809" t="str">
        <f t="shared" si="12"/>
        <v>0-12 Months</v>
      </c>
      <c r="L809">
        <f>IF(Table13[[#This Row],[Churn]]="Yes",1,0)</f>
        <v>1</v>
      </c>
    </row>
    <row r="810" spans="1:12" x14ac:dyDescent="0.35">
      <c r="A810" t="s">
        <v>832</v>
      </c>
      <c r="B810" t="s">
        <v>17</v>
      </c>
      <c r="C810">
        <v>57</v>
      </c>
      <c r="D810">
        <v>52</v>
      </c>
      <c r="E810" t="s">
        <v>12</v>
      </c>
      <c r="F810" t="s">
        <v>1024</v>
      </c>
      <c r="G810" t="s">
        <v>23</v>
      </c>
      <c r="H810">
        <v>89.82</v>
      </c>
      <c r="I810">
        <v>4275.3100000000004</v>
      </c>
      <c r="J810" t="s">
        <v>15</v>
      </c>
      <c r="K810" t="str">
        <f t="shared" si="12"/>
        <v>49+ Months</v>
      </c>
      <c r="L810">
        <f>IF(Table13[[#This Row],[Churn]]="Yes",1,0)</f>
        <v>0</v>
      </c>
    </row>
    <row r="811" spans="1:12" x14ac:dyDescent="0.35">
      <c r="A811" t="s">
        <v>833</v>
      </c>
      <c r="B811" t="s">
        <v>11</v>
      </c>
      <c r="C811">
        <v>59</v>
      </c>
      <c r="D811">
        <v>15</v>
      </c>
      <c r="E811" t="s">
        <v>18</v>
      </c>
      <c r="F811" t="s">
        <v>29</v>
      </c>
      <c r="G811" t="s">
        <v>23</v>
      </c>
      <c r="H811">
        <v>129.19999999999999</v>
      </c>
      <c r="I811">
        <v>1904.55</v>
      </c>
      <c r="J811" t="s">
        <v>15</v>
      </c>
      <c r="K811" t="str">
        <f t="shared" si="12"/>
        <v>13-24 Months</v>
      </c>
      <c r="L811">
        <f>IF(Table13[[#This Row],[Churn]]="Yes",1,0)</f>
        <v>0</v>
      </c>
    </row>
    <row r="812" spans="1:12" x14ac:dyDescent="0.35">
      <c r="A812" t="s">
        <v>834</v>
      </c>
      <c r="B812" t="s">
        <v>11</v>
      </c>
      <c r="C812">
        <v>42</v>
      </c>
      <c r="D812">
        <v>7</v>
      </c>
      <c r="E812" t="s">
        <v>12</v>
      </c>
      <c r="F812" t="s">
        <v>33</v>
      </c>
      <c r="G812" t="s">
        <v>14</v>
      </c>
      <c r="H812">
        <v>64.11</v>
      </c>
      <c r="I812">
        <v>464.83</v>
      </c>
      <c r="J812" t="s">
        <v>27</v>
      </c>
      <c r="K812" t="str">
        <f t="shared" si="12"/>
        <v>0-12 Months</v>
      </c>
      <c r="L812">
        <f>IF(Table13[[#This Row],[Churn]]="Yes",1,0)</f>
        <v>1</v>
      </c>
    </row>
    <row r="813" spans="1:12" x14ac:dyDescent="0.35">
      <c r="A813" t="s">
        <v>835</v>
      </c>
      <c r="B813" t="s">
        <v>11</v>
      </c>
      <c r="C813">
        <v>56</v>
      </c>
      <c r="D813">
        <v>28</v>
      </c>
      <c r="E813" t="s">
        <v>12</v>
      </c>
      <c r="F813" t="s">
        <v>22</v>
      </c>
      <c r="G813" t="s">
        <v>23</v>
      </c>
      <c r="H813">
        <v>112.16</v>
      </c>
      <c r="I813">
        <v>2975.16</v>
      </c>
      <c r="J813" t="s">
        <v>27</v>
      </c>
      <c r="K813" t="str">
        <f t="shared" si="12"/>
        <v>25-48 Months</v>
      </c>
      <c r="L813">
        <f>IF(Table13[[#This Row],[Churn]]="Yes",1,0)</f>
        <v>1</v>
      </c>
    </row>
    <row r="814" spans="1:12" x14ac:dyDescent="0.35">
      <c r="A814" t="s">
        <v>836</v>
      </c>
      <c r="B814" t="s">
        <v>11</v>
      </c>
      <c r="C814">
        <v>52</v>
      </c>
      <c r="D814">
        <v>51</v>
      </c>
      <c r="E814" t="s">
        <v>12</v>
      </c>
      <c r="F814" t="s">
        <v>22</v>
      </c>
      <c r="G814" t="s">
        <v>23</v>
      </c>
      <c r="H814">
        <v>149.19</v>
      </c>
      <c r="I814">
        <v>6975.59</v>
      </c>
      <c r="J814" t="s">
        <v>15</v>
      </c>
      <c r="K814" t="str">
        <f t="shared" si="12"/>
        <v>49+ Months</v>
      </c>
      <c r="L814">
        <f>IF(Table13[[#This Row],[Churn]]="Yes",1,0)</f>
        <v>0</v>
      </c>
    </row>
    <row r="815" spans="1:12" x14ac:dyDescent="0.35">
      <c r="A815" t="s">
        <v>837</v>
      </c>
      <c r="B815" t="s">
        <v>17</v>
      </c>
      <c r="C815">
        <v>20</v>
      </c>
      <c r="D815">
        <v>58</v>
      </c>
      <c r="E815" t="s">
        <v>18</v>
      </c>
      <c r="F815" t="s">
        <v>22</v>
      </c>
      <c r="G815" t="s">
        <v>19</v>
      </c>
      <c r="H815">
        <v>60.9</v>
      </c>
      <c r="I815">
        <v>3722.95</v>
      </c>
      <c r="J815" t="s">
        <v>15</v>
      </c>
      <c r="K815" t="str">
        <f t="shared" si="12"/>
        <v>49+ Months</v>
      </c>
      <c r="L815">
        <f>IF(Table13[[#This Row],[Churn]]="Yes",1,0)</f>
        <v>0</v>
      </c>
    </row>
    <row r="816" spans="1:12" x14ac:dyDescent="0.35">
      <c r="A816" t="s">
        <v>838</v>
      </c>
      <c r="B816" t="s">
        <v>17</v>
      </c>
      <c r="C816">
        <v>67</v>
      </c>
      <c r="D816">
        <v>5</v>
      </c>
      <c r="E816" t="s">
        <v>12</v>
      </c>
      <c r="F816" t="s">
        <v>33</v>
      </c>
      <c r="G816" t="s">
        <v>23</v>
      </c>
      <c r="H816">
        <v>107.62</v>
      </c>
      <c r="I816">
        <v>552.11</v>
      </c>
      <c r="J816" t="s">
        <v>27</v>
      </c>
      <c r="K816" t="str">
        <f t="shared" si="12"/>
        <v>0-12 Months</v>
      </c>
      <c r="L816">
        <f>IF(Table13[[#This Row],[Churn]]="Yes",1,0)</f>
        <v>1</v>
      </c>
    </row>
    <row r="817" spans="1:12" x14ac:dyDescent="0.35">
      <c r="A817" t="s">
        <v>839</v>
      </c>
      <c r="B817" t="s">
        <v>11</v>
      </c>
      <c r="C817">
        <v>54</v>
      </c>
      <c r="D817">
        <v>5</v>
      </c>
      <c r="E817" t="s">
        <v>12</v>
      </c>
      <c r="F817" t="s">
        <v>29</v>
      </c>
      <c r="G817" t="s">
        <v>23</v>
      </c>
      <c r="H817">
        <v>129.76</v>
      </c>
      <c r="I817">
        <v>712.19</v>
      </c>
      <c r="J817" t="s">
        <v>15</v>
      </c>
      <c r="K817" t="str">
        <f t="shared" si="12"/>
        <v>0-12 Months</v>
      </c>
      <c r="L817">
        <f>IF(Table13[[#This Row],[Churn]]="Yes",1,0)</f>
        <v>0</v>
      </c>
    </row>
    <row r="818" spans="1:12" x14ac:dyDescent="0.35">
      <c r="A818" t="s">
        <v>840</v>
      </c>
      <c r="B818" t="s">
        <v>11</v>
      </c>
      <c r="C818">
        <v>61</v>
      </c>
      <c r="D818">
        <v>8</v>
      </c>
      <c r="E818" t="s">
        <v>12</v>
      </c>
      <c r="F818" t="s">
        <v>33</v>
      </c>
      <c r="G818" t="s">
        <v>23</v>
      </c>
      <c r="H818">
        <v>139.05000000000001</v>
      </c>
      <c r="I818">
        <v>1077.76</v>
      </c>
      <c r="J818" t="s">
        <v>27</v>
      </c>
      <c r="K818" t="str">
        <f t="shared" si="12"/>
        <v>0-12 Months</v>
      </c>
      <c r="L818">
        <f>IF(Table13[[#This Row],[Churn]]="Yes",1,0)</f>
        <v>1</v>
      </c>
    </row>
    <row r="819" spans="1:12" x14ac:dyDescent="0.35">
      <c r="A819" t="s">
        <v>841</v>
      </c>
      <c r="B819" t="s">
        <v>11</v>
      </c>
      <c r="C819">
        <v>61</v>
      </c>
      <c r="D819">
        <v>64</v>
      </c>
      <c r="E819" t="s">
        <v>12</v>
      </c>
      <c r="F819" t="s">
        <v>22</v>
      </c>
      <c r="G819" t="s">
        <v>23</v>
      </c>
      <c r="H819">
        <v>113.33</v>
      </c>
      <c r="I819">
        <v>6617.4</v>
      </c>
      <c r="J819" t="s">
        <v>27</v>
      </c>
      <c r="K819" t="str">
        <f t="shared" si="12"/>
        <v>49+ Months</v>
      </c>
      <c r="L819">
        <f>IF(Table13[[#This Row],[Churn]]="Yes",1,0)</f>
        <v>1</v>
      </c>
    </row>
    <row r="820" spans="1:12" x14ac:dyDescent="0.35">
      <c r="A820" t="s">
        <v>842</v>
      </c>
      <c r="B820" t="s">
        <v>17</v>
      </c>
      <c r="C820">
        <v>68</v>
      </c>
      <c r="D820">
        <v>10</v>
      </c>
      <c r="E820" t="s">
        <v>18</v>
      </c>
      <c r="F820" t="s">
        <v>22</v>
      </c>
      <c r="G820" t="s">
        <v>23</v>
      </c>
      <c r="H820">
        <v>56.87</v>
      </c>
      <c r="I820">
        <v>595.35</v>
      </c>
      <c r="J820" t="s">
        <v>27</v>
      </c>
      <c r="K820" t="str">
        <f t="shared" si="12"/>
        <v>0-12 Months</v>
      </c>
      <c r="L820">
        <f>IF(Table13[[#This Row],[Churn]]="Yes",1,0)</f>
        <v>1</v>
      </c>
    </row>
    <row r="821" spans="1:12" x14ac:dyDescent="0.35">
      <c r="A821" t="s">
        <v>843</v>
      </c>
      <c r="B821" t="s">
        <v>11</v>
      </c>
      <c r="C821">
        <v>47</v>
      </c>
      <c r="D821">
        <v>38</v>
      </c>
      <c r="E821" t="s">
        <v>21</v>
      </c>
      <c r="F821" t="s">
        <v>13</v>
      </c>
      <c r="G821" t="s">
        <v>14</v>
      </c>
      <c r="H821">
        <v>62.42</v>
      </c>
      <c r="I821">
        <v>2382.27</v>
      </c>
      <c r="J821" t="s">
        <v>15</v>
      </c>
      <c r="K821" t="str">
        <f t="shared" si="12"/>
        <v>25-48 Months</v>
      </c>
      <c r="L821">
        <f>IF(Table13[[#This Row],[Churn]]="Yes",1,0)</f>
        <v>0</v>
      </c>
    </row>
    <row r="822" spans="1:12" x14ac:dyDescent="0.35">
      <c r="A822" t="s">
        <v>844</v>
      </c>
      <c r="B822" t="s">
        <v>11</v>
      </c>
      <c r="C822">
        <v>55</v>
      </c>
      <c r="D822">
        <v>8</v>
      </c>
      <c r="E822" t="s">
        <v>12</v>
      </c>
      <c r="F822" t="s">
        <v>29</v>
      </c>
      <c r="G822" t="s">
        <v>23</v>
      </c>
      <c r="H822">
        <v>22.7</v>
      </c>
      <c r="I822">
        <v>171.18</v>
      </c>
      <c r="J822" t="s">
        <v>15</v>
      </c>
      <c r="K822" t="str">
        <f t="shared" si="12"/>
        <v>0-12 Months</v>
      </c>
      <c r="L822">
        <f>IF(Table13[[#This Row],[Churn]]="Yes",1,0)</f>
        <v>0</v>
      </c>
    </row>
    <row r="823" spans="1:12" x14ac:dyDescent="0.35">
      <c r="A823" t="s">
        <v>845</v>
      </c>
      <c r="B823" t="s">
        <v>17</v>
      </c>
      <c r="C823">
        <v>51</v>
      </c>
      <c r="D823">
        <v>25</v>
      </c>
      <c r="E823" t="s">
        <v>21</v>
      </c>
      <c r="F823" t="s">
        <v>13</v>
      </c>
      <c r="G823" t="s">
        <v>23</v>
      </c>
      <c r="H823">
        <v>118.92</v>
      </c>
      <c r="I823">
        <v>3140.52</v>
      </c>
      <c r="J823" t="s">
        <v>15</v>
      </c>
      <c r="K823" t="str">
        <f t="shared" si="12"/>
        <v>25-48 Months</v>
      </c>
      <c r="L823">
        <f>IF(Table13[[#This Row],[Churn]]="Yes",1,0)</f>
        <v>0</v>
      </c>
    </row>
    <row r="824" spans="1:12" x14ac:dyDescent="0.35">
      <c r="A824" t="s">
        <v>846</v>
      </c>
      <c r="B824" t="s">
        <v>17</v>
      </c>
      <c r="C824">
        <v>29</v>
      </c>
      <c r="D824">
        <v>66</v>
      </c>
      <c r="E824" t="s">
        <v>12</v>
      </c>
      <c r="F824" t="s">
        <v>22</v>
      </c>
      <c r="G824" t="s">
        <v>19</v>
      </c>
      <c r="H824">
        <v>25.56</v>
      </c>
      <c r="I824">
        <v>1587.01</v>
      </c>
      <c r="J824" t="s">
        <v>15</v>
      </c>
      <c r="K824" t="str">
        <f t="shared" si="12"/>
        <v>49+ Months</v>
      </c>
      <c r="L824">
        <f>IF(Table13[[#This Row],[Churn]]="Yes",1,0)</f>
        <v>0</v>
      </c>
    </row>
    <row r="825" spans="1:12" x14ac:dyDescent="0.35">
      <c r="A825" t="s">
        <v>847</v>
      </c>
      <c r="B825" t="s">
        <v>11</v>
      </c>
      <c r="C825">
        <v>36</v>
      </c>
      <c r="D825">
        <v>50</v>
      </c>
      <c r="E825" t="s">
        <v>18</v>
      </c>
      <c r="F825" t="s">
        <v>29</v>
      </c>
      <c r="G825" t="s">
        <v>14</v>
      </c>
      <c r="H825">
        <v>132.4</v>
      </c>
      <c r="I825">
        <v>6303.12</v>
      </c>
      <c r="J825" t="s">
        <v>15</v>
      </c>
      <c r="K825" t="str">
        <f t="shared" si="12"/>
        <v>49+ Months</v>
      </c>
      <c r="L825">
        <f>IF(Table13[[#This Row],[Churn]]="Yes",1,0)</f>
        <v>0</v>
      </c>
    </row>
    <row r="826" spans="1:12" x14ac:dyDescent="0.35">
      <c r="A826" t="s">
        <v>848</v>
      </c>
      <c r="B826" t="s">
        <v>17</v>
      </c>
      <c r="C826">
        <v>54</v>
      </c>
      <c r="D826">
        <v>67</v>
      </c>
      <c r="E826" t="s">
        <v>18</v>
      </c>
      <c r="F826" t="s">
        <v>22</v>
      </c>
      <c r="G826" t="s">
        <v>23</v>
      </c>
      <c r="H826">
        <v>35.43</v>
      </c>
      <c r="I826">
        <v>2180.36</v>
      </c>
      <c r="J826" t="s">
        <v>15</v>
      </c>
      <c r="K826" t="str">
        <f t="shared" si="12"/>
        <v>49+ Months</v>
      </c>
      <c r="L826">
        <f>IF(Table13[[#This Row],[Churn]]="Yes",1,0)</f>
        <v>0</v>
      </c>
    </row>
    <row r="827" spans="1:12" x14ac:dyDescent="0.35">
      <c r="A827" t="s">
        <v>849</v>
      </c>
      <c r="B827" t="s">
        <v>17</v>
      </c>
      <c r="C827">
        <v>61</v>
      </c>
      <c r="D827">
        <v>49</v>
      </c>
      <c r="E827" t="s">
        <v>12</v>
      </c>
      <c r="F827" t="s">
        <v>29</v>
      </c>
      <c r="G827" t="s">
        <v>23</v>
      </c>
      <c r="H827">
        <v>42.34</v>
      </c>
      <c r="I827">
        <v>2032.93</v>
      </c>
      <c r="J827" t="s">
        <v>15</v>
      </c>
      <c r="K827" t="str">
        <f t="shared" si="12"/>
        <v>49+ Months</v>
      </c>
      <c r="L827">
        <f>IF(Table13[[#This Row],[Churn]]="Yes",1,0)</f>
        <v>0</v>
      </c>
    </row>
    <row r="828" spans="1:12" x14ac:dyDescent="0.35">
      <c r="A828" t="s">
        <v>850</v>
      </c>
      <c r="B828" t="s">
        <v>11</v>
      </c>
      <c r="C828">
        <v>66</v>
      </c>
      <c r="D828">
        <v>36</v>
      </c>
      <c r="E828" t="s">
        <v>18</v>
      </c>
      <c r="F828" t="s">
        <v>29</v>
      </c>
      <c r="G828" t="s">
        <v>23</v>
      </c>
      <c r="H828">
        <v>81.95</v>
      </c>
      <c r="I828">
        <v>2902.36</v>
      </c>
      <c r="J828" t="s">
        <v>15</v>
      </c>
      <c r="K828" t="str">
        <f t="shared" si="12"/>
        <v>25-48 Months</v>
      </c>
      <c r="L828">
        <f>IF(Table13[[#This Row],[Churn]]="Yes",1,0)</f>
        <v>0</v>
      </c>
    </row>
    <row r="829" spans="1:12" x14ac:dyDescent="0.35">
      <c r="A829" t="s">
        <v>851</v>
      </c>
      <c r="B829" t="s">
        <v>17</v>
      </c>
      <c r="C829">
        <v>34</v>
      </c>
      <c r="D829">
        <v>68</v>
      </c>
      <c r="E829" t="s">
        <v>21</v>
      </c>
      <c r="F829" t="s">
        <v>29</v>
      </c>
      <c r="G829" t="s">
        <v>14</v>
      </c>
      <c r="H829">
        <v>115.92</v>
      </c>
      <c r="I829">
        <v>7905.52</v>
      </c>
      <c r="J829" t="s">
        <v>15</v>
      </c>
      <c r="K829" t="str">
        <f t="shared" si="12"/>
        <v>49+ Months</v>
      </c>
      <c r="L829">
        <f>IF(Table13[[#This Row],[Churn]]="Yes",1,0)</f>
        <v>0</v>
      </c>
    </row>
    <row r="830" spans="1:12" x14ac:dyDescent="0.35">
      <c r="A830" t="s">
        <v>852</v>
      </c>
      <c r="B830" t="s">
        <v>11</v>
      </c>
      <c r="C830">
        <v>27</v>
      </c>
      <c r="D830">
        <v>41</v>
      </c>
      <c r="E830" t="s">
        <v>12</v>
      </c>
      <c r="F830" t="s">
        <v>29</v>
      </c>
      <c r="G830" t="s">
        <v>19</v>
      </c>
      <c r="H830">
        <v>38.07</v>
      </c>
      <c r="I830">
        <v>1626.1</v>
      </c>
      <c r="J830" t="s">
        <v>27</v>
      </c>
      <c r="K830" t="str">
        <f t="shared" si="12"/>
        <v>25-48 Months</v>
      </c>
      <c r="L830">
        <f>IF(Table13[[#This Row],[Churn]]="Yes",1,0)</f>
        <v>1</v>
      </c>
    </row>
    <row r="831" spans="1:12" x14ac:dyDescent="0.35">
      <c r="A831" t="s">
        <v>853</v>
      </c>
      <c r="B831" t="s">
        <v>17</v>
      </c>
      <c r="C831">
        <v>66</v>
      </c>
      <c r="D831">
        <v>62</v>
      </c>
      <c r="E831" t="s">
        <v>12</v>
      </c>
      <c r="F831" t="s">
        <v>13</v>
      </c>
      <c r="G831" t="s">
        <v>23</v>
      </c>
      <c r="H831">
        <v>77.209999999999994</v>
      </c>
      <c r="I831">
        <v>5175.82</v>
      </c>
      <c r="J831" t="s">
        <v>27</v>
      </c>
      <c r="K831" t="str">
        <f t="shared" si="12"/>
        <v>49+ Months</v>
      </c>
      <c r="L831">
        <f>IF(Table13[[#This Row],[Churn]]="Yes",1,0)</f>
        <v>1</v>
      </c>
    </row>
    <row r="832" spans="1:12" x14ac:dyDescent="0.35">
      <c r="A832" t="s">
        <v>854</v>
      </c>
      <c r="B832" t="s">
        <v>11</v>
      </c>
      <c r="C832">
        <v>64</v>
      </c>
      <c r="D832">
        <v>10</v>
      </c>
      <c r="E832" t="s">
        <v>12</v>
      </c>
      <c r="F832" t="s">
        <v>29</v>
      </c>
      <c r="G832" t="s">
        <v>23</v>
      </c>
      <c r="H832">
        <v>82.77</v>
      </c>
      <c r="I832">
        <v>767.73</v>
      </c>
      <c r="J832" t="s">
        <v>27</v>
      </c>
      <c r="K832" t="str">
        <f t="shared" si="12"/>
        <v>0-12 Months</v>
      </c>
      <c r="L832">
        <f>IF(Table13[[#This Row],[Churn]]="Yes",1,0)</f>
        <v>1</v>
      </c>
    </row>
    <row r="833" spans="1:12" x14ac:dyDescent="0.35">
      <c r="A833" t="s">
        <v>855</v>
      </c>
      <c r="B833" t="s">
        <v>11</v>
      </c>
      <c r="C833">
        <v>29</v>
      </c>
      <c r="D833">
        <v>21</v>
      </c>
      <c r="E833" t="s">
        <v>21</v>
      </c>
      <c r="F833" t="s">
        <v>33</v>
      </c>
      <c r="G833" t="s">
        <v>19</v>
      </c>
      <c r="H833">
        <v>47.6</v>
      </c>
      <c r="I833">
        <v>910.51</v>
      </c>
      <c r="J833" t="s">
        <v>15</v>
      </c>
      <c r="K833" t="str">
        <f t="shared" si="12"/>
        <v>13-24 Months</v>
      </c>
      <c r="L833">
        <f>IF(Table13[[#This Row],[Churn]]="Yes",1,0)</f>
        <v>0</v>
      </c>
    </row>
    <row r="834" spans="1:12" x14ac:dyDescent="0.35">
      <c r="A834" t="s">
        <v>856</v>
      </c>
      <c r="B834" t="s">
        <v>11</v>
      </c>
      <c r="C834">
        <v>33</v>
      </c>
      <c r="D834">
        <v>36</v>
      </c>
      <c r="E834" t="s">
        <v>18</v>
      </c>
      <c r="F834" t="s">
        <v>13</v>
      </c>
      <c r="G834" t="s">
        <v>14</v>
      </c>
      <c r="H834">
        <v>35.020000000000003</v>
      </c>
      <c r="I834">
        <v>1139.32</v>
      </c>
      <c r="J834" t="s">
        <v>15</v>
      </c>
      <c r="K834" t="str">
        <f t="shared" ref="K834:K897" si="13">IF(D834&lt;=12,"0-12 Months",IF(D834&lt;=24,"13-24 Months",IF(D834&lt;=48,"25-48 Months","49+ Months")))</f>
        <v>25-48 Months</v>
      </c>
      <c r="L834">
        <f>IF(Table13[[#This Row],[Churn]]="Yes",1,0)</f>
        <v>0</v>
      </c>
    </row>
    <row r="835" spans="1:12" x14ac:dyDescent="0.35">
      <c r="A835" t="s">
        <v>857</v>
      </c>
      <c r="B835" t="s">
        <v>17</v>
      </c>
      <c r="C835">
        <v>41</v>
      </c>
      <c r="D835">
        <v>12</v>
      </c>
      <c r="E835" t="s">
        <v>21</v>
      </c>
      <c r="F835" t="s">
        <v>29</v>
      </c>
      <c r="G835" t="s">
        <v>14</v>
      </c>
      <c r="H835">
        <v>128.72999999999999</v>
      </c>
      <c r="I835">
        <v>1434.66</v>
      </c>
      <c r="J835" t="s">
        <v>15</v>
      </c>
      <c r="K835" t="str">
        <f t="shared" si="13"/>
        <v>0-12 Months</v>
      </c>
      <c r="L835">
        <f>IF(Table13[[#This Row],[Churn]]="Yes",1,0)</f>
        <v>0</v>
      </c>
    </row>
    <row r="836" spans="1:12" x14ac:dyDescent="0.35">
      <c r="A836" t="s">
        <v>858</v>
      </c>
      <c r="B836" t="s">
        <v>11</v>
      </c>
      <c r="C836">
        <v>36</v>
      </c>
      <c r="D836">
        <v>2</v>
      </c>
      <c r="E836" t="s">
        <v>18</v>
      </c>
      <c r="F836" t="s">
        <v>22</v>
      </c>
      <c r="G836" t="s">
        <v>14</v>
      </c>
      <c r="H836">
        <v>85.32</v>
      </c>
      <c r="I836">
        <v>176.03</v>
      </c>
      <c r="J836" t="s">
        <v>27</v>
      </c>
      <c r="K836" t="str">
        <f t="shared" si="13"/>
        <v>0-12 Months</v>
      </c>
      <c r="L836">
        <f>IF(Table13[[#This Row],[Churn]]="Yes",1,0)</f>
        <v>1</v>
      </c>
    </row>
    <row r="837" spans="1:12" x14ac:dyDescent="0.35">
      <c r="A837" t="s">
        <v>859</v>
      </c>
      <c r="B837" t="s">
        <v>17</v>
      </c>
      <c r="C837">
        <v>25</v>
      </c>
      <c r="D837">
        <v>13</v>
      </c>
      <c r="E837" t="s">
        <v>21</v>
      </c>
      <c r="F837" t="s">
        <v>33</v>
      </c>
      <c r="G837" t="s">
        <v>19</v>
      </c>
      <c r="H837">
        <v>21.87</v>
      </c>
      <c r="I837">
        <v>297.24</v>
      </c>
      <c r="J837" t="s">
        <v>15</v>
      </c>
      <c r="K837" t="str">
        <f t="shared" si="13"/>
        <v>13-24 Months</v>
      </c>
      <c r="L837">
        <f>IF(Table13[[#This Row],[Churn]]="Yes",1,0)</f>
        <v>0</v>
      </c>
    </row>
    <row r="838" spans="1:12" x14ac:dyDescent="0.35">
      <c r="A838" t="s">
        <v>860</v>
      </c>
      <c r="B838" t="s">
        <v>11</v>
      </c>
      <c r="C838">
        <v>48</v>
      </c>
      <c r="D838">
        <v>53</v>
      </c>
      <c r="E838" t="s">
        <v>18</v>
      </c>
      <c r="F838" t="s">
        <v>22</v>
      </c>
      <c r="G838" t="s">
        <v>14</v>
      </c>
      <c r="H838">
        <v>124.39</v>
      </c>
      <c r="I838">
        <v>6970.44</v>
      </c>
      <c r="J838" t="s">
        <v>15</v>
      </c>
      <c r="K838" t="str">
        <f t="shared" si="13"/>
        <v>49+ Months</v>
      </c>
      <c r="L838">
        <f>IF(Table13[[#This Row],[Churn]]="Yes",1,0)</f>
        <v>0</v>
      </c>
    </row>
    <row r="839" spans="1:12" x14ac:dyDescent="0.35">
      <c r="A839" t="s">
        <v>861</v>
      </c>
      <c r="B839" t="s">
        <v>11</v>
      </c>
      <c r="C839">
        <v>38</v>
      </c>
      <c r="D839">
        <v>32</v>
      </c>
      <c r="E839" t="s">
        <v>21</v>
      </c>
      <c r="F839" t="s">
        <v>29</v>
      </c>
      <c r="G839" t="s">
        <v>14</v>
      </c>
      <c r="H839">
        <v>147.5</v>
      </c>
      <c r="I839">
        <v>4478.0600000000004</v>
      </c>
      <c r="J839" t="s">
        <v>15</v>
      </c>
      <c r="K839" t="str">
        <f t="shared" si="13"/>
        <v>25-48 Months</v>
      </c>
      <c r="L839">
        <f>IF(Table13[[#This Row],[Churn]]="Yes",1,0)</f>
        <v>0</v>
      </c>
    </row>
    <row r="840" spans="1:12" x14ac:dyDescent="0.35">
      <c r="A840" t="s">
        <v>862</v>
      </c>
      <c r="B840" t="s">
        <v>17</v>
      </c>
      <c r="C840">
        <v>34</v>
      </c>
      <c r="D840">
        <v>16</v>
      </c>
      <c r="E840" t="s">
        <v>12</v>
      </c>
      <c r="F840" t="s">
        <v>33</v>
      </c>
      <c r="G840" t="s">
        <v>14</v>
      </c>
      <c r="H840">
        <v>98.77</v>
      </c>
      <c r="I840">
        <v>1518.97</v>
      </c>
      <c r="J840" t="s">
        <v>15</v>
      </c>
      <c r="K840" t="str">
        <f t="shared" si="13"/>
        <v>13-24 Months</v>
      </c>
      <c r="L840">
        <f>IF(Table13[[#This Row],[Churn]]="Yes",1,0)</f>
        <v>0</v>
      </c>
    </row>
    <row r="841" spans="1:12" x14ac:dyDescent="0.35">
      <c r="A841" t="s">
        <v>863</v>
      </c>
      <c r="B841" t="s">
        <v>11</v>
      </c>
      <c r="C841">
        <v>40</v>
      </c>
      <c r="D841">
        <v>32</v>
      </c>
      <c r="E841" t="s">
        <v>21</v>
      </c>
      <c r="F841" t="s">
        <v>22</v>
      </c>
      <c r="G841" t="s">
        <v>14</v>
      </c>
      <c r="H841">
        <v>85.48</v>
      </c>
      <c r="I841">
        <v>2726.13</v>
      </c>
      <c r="J841" t="s">
        <v>15</v>
      </c>
      <c r="K841" t="str">
        <f t="shared" si="13"/>
        <v>25-48 Months</v>
      </c>
      <c r="L841">
        <f>IF(Table13[[#This Row],[Churn]]="Yes",1,0)</f>
        <v>0</v>
      </c>
    </row>
    <row r="842" spans="1:12" x14ac:dyDescent="0.35">
      <c r="A842" t="s">
        <v>864</v>
      </c>
      <c r="B842" t="s">
        <v>11</v>
      </c>
      <c r="C842">
        <v>54</v>
      </c>
      <c r="D842">
        <v>32</v>
      </c>
      <c r="E842" t="s">
        <v>18</v>
      </c>
      <c r="F842" t="s">
        <v>29</v>
      </c>
      <c r="G842" t="s">
        <v>23</v>
      </c>
      <c r="H842">
        <v>134.19</v>
      </c>
      <c r="I842">
        <v>3918.93</v>
      </c>
      <c r="J842" t="s">
        <v>15</v>
      </c>
      <c r="K842" t="str">
        <f t="shared" si="13"/>
        <v>25-48 Months</v>
      </c>
      <c r="L842">
        <f>IF(Table13[[#This Row],[Churn]]="Yes",1,0)</f>
        <v>0</v>
      </c>
    </row>
    <row r="843" spans="1:12" x14ac:dyDescent="0.35">
      <c r="A843" t="s">
        <v>865</v>
      </c>
      <c r="B843" t="s">
        <v>17</v>
      </c>
      <c r="C843">
        <v>33</v>
      </c>
      <c r="D843">
        <v>11</v>
      </c>
      <c r="E843" t="s">
        <v>12</v>
      </c>
      <c r="F843" t="s">
        <v>29</v>
      </c>
      <c r="G843" t="s">
        <v>14</v>
      </c>
      <c r="H843">
        <v>143.83000000000001</v>
      </c>
      <c r="I843">
        <v>1617.3</v>
      </c>
      <c r="J843" t="s">
        <v>15</v>
      </c>
      <c r="K843" t="str">
        <f t="shared" si="13"/>
        <v>0-12 Months</v>
      </c>
      <c r="L843">
        <f>IF(Table13[[#This Row],[Churn]]="Yes",1,0)</f>
        <v>0</v>
      </c>
    </row>
    <row r="844" spans="1:12" x14ac:dyDescent="0.35">
      <c r="A844" t="s">
        <v>866</v>
      </c>
      <c r="B844" t="s">
        <v>11</v>
      </c>
      <c r="C844">
        <v>23</v>
      </c>
      <c r="D844">
        <v>10</v>
      </c>
      <c r="E844" t="s">
        <v>18</v>
      </c>
      <c r="F844" t="s">
        <v>13</v>
      </c>
      <c r="G844" t="s">
        <v>19</v>
      </c>
      <c r="H844">
        <v>118.09</v>
      </c>
      <c r="I844">
        <v>1295.1500000000001</v>
      </c>
      <c r="J844" t="s">
        <v>15</v>
      </c>
      <c r="K844" t="str">
        <f t="shared" si="13"/>
        <v>0-12 Months</v>
      </c>
      <c r="L844">
        <f>IF(Table13[[#This Row],[Churn]]="Yes",1,0)</f>
        <v>0</v>
      </c>
    </row>
    <row r="845" spans="1:12" x14ac:dyDescent="0.35">
      <c r="A845" t="s">
        <v>867</v>
      </c>
      <c r="B845" t="s">
        <v>11</v>
      </c>
      <c r="C845">
        <v>25</v>
      </c>
      <c r="D845">
        <v>15</v>
      </c>
      <c r="E845" t="s">
        <v>12</v>
      </c>
      <c r="F845" t="s">
        <v>29</v>
      </c>
      <c r="G845" t="s">
        <v>19</v>
      </c>
      <c r="H845">
        <v>77.91</v>
      </c>
      <c r="I845">
        <v>1136.1199999999999</v>
      </c>
      <c r="J845" t="s">
        <v>27</v>
      </c>
      <c r="K845" t="str">
        <f t="shared" si="13"/>
        <v>13-24 Months</v>
      </c>
      <c r="L845">
        <f>IF(Table13[[#This Row],[Churn]]="Yes",1,0)</f>
        <v>1</v>
      </c>
    </row>
    <row r="846" spans="1:12" x14ac:dyDescent="0.35">
      <c r="A846" t="s">
        <v>868</v>
      </c>
      <c r="B846" t="s">
        <v>11</v>
      </c>
      <c r="C846">
        <v>42</v>
      </c>
      <c r="D846">
        <v>17</v>
      </c>
      <c r="E846" t="s">
        <v>12</v>
      </c>
      <c r="F846" t="s">
        <v>33</v>
      </c>
      <c r="G846" t="s">
        <v>14</v>
      </c>
      <c r="H846">
        <v>96.99</v>
      </c>
      <c r="I846">
        <v>1732.21</v>
      </c>
      <c r="J846" t="s">
        <v>27</v>
      </c>
      <c r="K846" t="str">
        <f t="shared" si="13"/>
        <v>13-24 Months</v>
      </c>
      <c r="L846">
        <f>IF(Table13[[#This Row],[Churn]]="Yes",1,0)</f>
        <v>1</v>
      </c>
    </row>
    <row r="847" spans="1:12" x14ac:dyDescent="0.35">
      <c r="A847" t="s">
        <v>869</v>
      </c>
      <c r="B847" t="s">
        <v>11</v>
      </c>
      <c r="C847">
        <v>35</v>
      </c>
      <c r="D847">
        <v>40</v>
      </c>
      <c r="E847" t="s">
        <v>18</v>
      </c>
      <c r="F847" t="s">
        <v>13</v>
      </c>
      <c r="G847" t="s">
        <v>14</v>
      </c>
      <c r="H847">
        <v>111.12</v>
      </c>
      <c r="I847">
        <v>4444.83</v>
      </c>
      <c r="J847" t="s">
        <v>15</v>
      </c>
      <c r="K847" t="str">
        <f t="shared" si="13"/>
        <v>25-48 Months</v>
      </c>
      <c r="L847">
        <f>IF(Table13[[#This Row],[Churn]]="Yes",1,0)</f>
        <v>0</v>
      </c>
    </row>
    <row r="848" spans="1:12" x14ac:dyDescent="0.35">
      <c r="A848" t="s">
        <v>870</v>
      </c>
      <c r="B848" t="s">
        <v>17</v>
      </c>
      <c r="C848">
        <v>42</v>
      </c>
      <c r="D848">
        <v>18</v>
      </c>
      <c r="E848" t="s">
        <v>12</v>
      </c>
      <c r="F848" t="s">
        <v>33</v>
      </c>
      <c r="G848" t="s">
        <v>14</v>
      </c>
      <c r="H848">
        <v>45.26</v>
      </c>
      <c r="I848">
        <v>754.04</v>
      </c>
      <c r="J848" t="s">
        <v>27</v>
      </c>
      <c r="K848" t="str">
        <f t="shared" si="13"/>
        <v>13-24 Months</v>
      </c>
      <c r="L848">
        <f>IF(Table13[[#This Row],[Churn]]="Yes",1,0)</f>
        <v>1</v>
      </c>
    </row>
    <row r="849" spans="1:12" x14ac:dyDescent="0.35">
      <c r="A849" t="s">
        <v>871</v>
      </c>
      <c r="B849" t="s">
        <v>17</v>
      </c>
      <c r="C849">
        <v>29</v>
      </c>
      <c r="D849">
        <v>55</v>
      </c>
      <c r="E849" t="s">
        <v>12</v>
      </c>
      <c r="F849" t="s">
        <v>13</v>
      </c>
      <c r="G849" t="s">
        <v>19</v>
      </c>
      <c r="H849">
        <v>83.07</v>
      </c>
      <c r="I849">
        <v>4368.3900000000003</v>
      </c>
      <c r="J849" t="s">
        <v>15</v>
      </c>
      <c r="K849" t="str">
        <f t="shared" si="13"/>
        <v>49+ Months</v>
      </c>
      <c r="L849">
        <f>IF(Table13[[#This Row],[Churn]]="Yes",1,0)</f>
        <v>0</v>
      </c>
    </row>
    <row r="850" spans="1:12" x14ac:dyDescent="0.35">
      <c r="A850" t="s">
        <v>872</v>
      </c>
      <c r="B850" t="s">
        <v>11</v>
      </c>
      <c r="C850">
        <v>32</v>
      </c>
      <c r="D850">
        <v>25</v>
      </c>
      <c r="E850" t="s">
        <v>12</v>
      </c>
      <c r="F850" t="s">
        <v>29</v>
      </c>
      <c r="G850" t="s">
        <v>14</v>
      </c>
      <c r="H850">
        <v>127.88</v>
      </c>
      <c r="I850">
        <v>3069.04</v>
      </c>
      <c r="J850" t="s">
        <v>27</v>
      </c>
      <c r="K850" t="str">
        <f t="shared" si="13"/>
        <v>25-48 Months</v>
      </c>
      <c r="L850">
        <f>IF(Table13[[#This Row],[Churn]]="Yes",1,0)</f>
        <v>1</v>
      </c>
    </row>
    <row r="851" spans="1:12" x14ac:dyDescent="0.35">
      <c r="A851" t="s">
        <v>873</v>
      </c>
      <c r="B851" t="s">
        <v>17</v>
      </c>
      <c r="C851">
        <v>43</v>
      </c>
      <c r="D851">
        <v>59</v>
      </c>
      <c r="E851" t="s">
        <v>18</v>
      </c>
      <c r="F851" t="s">
        <v>29</v>
      </c>
      <c r="G851" t="s">
        <v>14</v>
      </c>
      <c r="H851">
        <v>105.11</v>
      </c>
      <c r="I851">
        <v>5624.01</v>
      </c>
      <c r="J851" t="s">
        <v>15</v>
      </c>
      <c r="K851" t="str">
        <f t="shared" si="13"/>
        <v>49+ Months</v>
      </c>
      <c r="L851">
        <f>IF(Table13[[#This Row],[Churn]]="Yes",1,0)</f>
        <v>0</v>
      </c>
    </row>
    <row r="852" spans="1:12" x14ac:dyDescent="0.35">
      <c r="A852" t="s">
        <v>874</v>
      </c>
      <c r="B852" t="s">
        <v>11</v>
      </c>
      <c r="C852">
        <v>58</v>
      </c>
      <c r="D852">
        <v>22</v>
      </c>
      <c r="E852" t="s">
        <v>12</v>
      </c>
      <c r="F852" t="s">
        <v>13</v>
      </c>
      <c r="G852" t="s">
        <v>23</v>
      </c>
      <c r="H852">
        <v>73.459999999999994</v>
      </c>
      <c r="I852">
        <v>1659.73</v>
      </c>
      <c r="J852" t="s">
        <v>15</v>
      </c>
      <c r="K852" t="str">
        <f t="shared" si="13"/>
        <v>13-24 Months</v>
      </c>
      <c r="L852">
        <f>IF(Table13[[#This Row],[Churn]]="Yes",1,0)</f>
        <v>0</v>
      </c>
    </row>
    <row r="853" spans="1:12" x14ac:dyDescent="0.35">
      <c r="A853" t="s">
        <v>875</v>
      </c>
      <c r="B853" t="s">
        <v>17</v>
      </c>
      <c r="C853">
        <v>62</v>
      </c>
      <c r="D853">
        <v>30</v>
      </c>
      <c r="E853" t="s">
        <v>18</v>
      </c>
      <c r="F853" t="s">
        <v>22</v>
      </c>
      <c r="G853" t="s">
        <v>23</v>
      </c>
      <c r="H853">
        <v>106.24</v>
      </c>
      <c r="I853">
        <v>3416</v>
      </c>
      <c r="J853" t="s">
        <v>15</v>
      </c>
      <c r="K853" t="str">
        <f t="shared" si="13"/>
        <v>25-48 Months</v>
      </c>
      <c r="L853">
        <f>IF(Table13[[#This Row],[Churn]]="Yes",1,0)</f>
        <v>0</v>
      </c>
    </row>
    <row r="854" spans="1:12" x14ac:dyDescent="0.35">
      <c r="A854" t="s">
        <v>876</v>
      </c>
      <c r="B854" t="s">
        <v>11</v>
      </c>
      <c r="C854">
        <v>43</v>
      </c>
      <c r="D854">
        <v>44</v>
      </c>
      <c r="E854" t="s">
        <v>12</v>
      </c>
      <c r="F854" t="s">
        <v>22</v>
      </c>
      <c r="G854" t="s">
        <v>14</v>
      </c>
      <c r="H854">
        <v>35.369999999999997</v>
      </c>
      <c r="I854">
        <v>1507.96</v>
      </c>
      <c r="J854" t="s">
        <v>15</v>
      </c>
      <c r="K854" t="str">
        <f t="shared" si="13"/>
        <v>25-48 Months</v>
      </c>
      <c r="L854">
        <f>IF(Table13[[#This Row],[Churn]]="Yes",1,0)</f>
        <v>0</v>
      </c>
    </row>
    <row r="855" spans="1:12" x14ac:dyDescent="0.35">
      <c r="A855" t="s">
        <v>877</v>
      </c>
      <c r="B855" t="s">
        <v>11</v>
      </c>
      <c r="C855">
        <v>64</v>
      </c>
      <c r="D855">
        <v>32</v>
      </c>
      <c r="E855" t="s">
        <v>18</v>
      </c>
      <c r="F855" t="s">
        <v>29</v>
      </c>
      <c r="G855" t="s">
        <v>23</v>
      </c>
      <c r="H855">
        <v>72.19</v>
      </c>
      <c r="I855">
        <v>2259.39</v>
      </c>
      <c r="J855" t="s">
        <v>15</v>
      </c>
      <c r="K855" t="str">
        <f t="shared" si="13"/>
        <v>25-48 Months</v>
      </c>
      <c r="L855">
        <f>IF(Table13[[#This Row],[Churn]]="Yes",1,0)</f>
        <v>0</v>
      </c>
    </row>
    <row r="856" spans="1:12" x14ac:dyDescent="0.35">
      <c r="A856" t="s">
        <v>878</v>
      </c>
      <c r="B856" t="s">
        <v>11</v>
      </c>
      <c r="C856">
        <v>49</v>
      </c>
      <c r="D856">
        <v>51</v>
      </c>
      <c r="E856" t="s">
        <v>18</v>
      </c>
      <c r="F856" t="s">
        <v>29</v>
      </c>
      <c r="G856" t="s">
        <v>14</v>
      </c>
      <c r="H856">
        <v>123.11</v>
      </c>
      <c r="I856">
        <v>6769.62</v>
      </c>
      <c r="J856" t="s">
        <v>15</v>
      </c>
      <c r="K856" t="str">
        <f t="shared" si="13"/>
        <v>49+ Months</v>
      </c>
      <c r="L856">
        <f>IF(Table13[[#This Row],[Churn]]="Yes",1,0)</f>
        <v>0</v>
      </c>
    </row>
    <row r="857" spans="1:12" x14ac:dyDescent="0.35">
      <c r="A857" t="s">
        <v>879</v>
      </c>
      <c r="B857" t="s">
        <v>11</v>
      </c>
      <c r="C857">
        <v>27</v>
      </c>
      <c r="D857">
        <v>46</v>
      </c>
      <c r="E857" t="s">
        <v>12</v>
      </c>
      <c r="F857" t="s">
        <v>29</v>
      </c>
      <c r="G857" t="s">
        <v>19</v>
      </c>
      <c r="H857">
        <v>48.67</v>
      </c>
      <c r="I857">
        <v>2379.2399999999998</v>
      </c>
      <c r="J857" t="s">
        <v>27</v>
      </c>
      <c r="K857" t="str">
        <f t="shared" si="13"/>
        <v>25-48 Months</v>
      </c>
      <c r="L857">
        <f>IF(Table13[[#This Row],[Churn]]="Yes",1,0)</f>
        <v>1</v>
      </c>
    </row>
    <row r="858" spans="1:12" x14ac:dyDescent="0.35">
      <c r="A858" t="s">
        <v>880</v>
      </c>
      <c r="B858" t="s">
        <v>11</v>
      </c>
      <c r="C858">
        <v>33</v>
      </c>
      <c r="D858">
        <v>21</v>
      </c>
      <c r="E858" t="s">
        <v>12</v>
      </c>
      <c r="F858" t="s">
        <v>22</v>
      </c>
      <c r="G858" t="s">
        <v>14</v>
      </c>
      <c r="H858">
        <v>44.17</v>
      </c>
      <c r="I858">
        <v>967.45</v>
      </c>
      <c r="J858" t="s">
        <v>15</v>
      </c>
      <c r="K858" t="str">
        <f t="shared" si="13"/>
        <v>13-24 Months</v>
      </c>
      <c r="L858">
        <f>IF(Table13[[#This Row],[Churn]]="Yes",1,0)</f>
        <v>0</v>
      </c>
    </row>
    <row r="859" spans="1:12" x14ac:dyDescent="0.35">
      <c r="A859" t="s">
        <v>881</v>
      </c>
      <c r="B859" t="s">
        <v>11</v>
      </c>
      <c r="C859">
        <v>24</v>
      </c>
      <c r="D859">
        <v>32</v>
      </c>
      <c r="E859" t="s">
        <v>12</v>
      </c>
      <c r="F859" t="s">
        <v>29</v>
      </c>
      <c r="G859" t="s">
        <v>19</v>
      </c>
      <c r="H859">
        <v>143.61000000000001</v>
      </c>
      <c r="I859">
        <v>4364.6400000000003</v>
      </c>
      <c r="J859" t="s">
        <v>27</v>
      </c>
      <c r="K859" t="str">
        <f t="shared" si="13"/>
        <v>25-48 Months</v>
      </c>
      <c r="L859">
        <f>IF(Table13[[#This Row],[Churn]]="Yes",1,0)</f>
        <v>1</v>
      </c>
    </row>
    <row r="860" spans="1:12" x14ac:dyDescent="0.35">
      <c r="A860" t="s">
        <v>882</v>
      </c>
      <c r="B860" t="s">
        <v>17</v>
      </c>
      <c r="C860">
        <v>34</v>
      </c>
      <c r="D860">
        <v>39</v>
      </c>
      <c r="E860" t="s">
        <v>21</v>
      </c>
      <c r="F860" t="s">
        <v>13</v>
      </c>
      <c r="G860" t="s">
        <v>14</v>
      </c>
      <c r="H860">
        <v>47.29</v>
      </c>
      <c r="I860">
        <v>1995.62</v>
      </c>
      <c r="J860" t="s">
        <v>15</v>
      </c>
      <c r="K860" t="str">
        <f t="shared" si="13"/>
        <v>25-48 Months</v>
      </c>
      <c r="L860">
        <f>IF(Table13[[#This Row],[Churn]]="Yes",1,0)</f>
        <v>0</v>
      </c>
    </row>
    <row r="861" spans="1:12" x14ac:dyDescent="0.35">
      <c r="A861" t="s">
        <v>883</v>
      </c>
      <c r="B861" t="s">
        <v>11</v>
      </c>
      <c r="C861">
        <v>40</v>
      </c>
      <c r="D861">
        <v>12</v>
      </c>
      <c r="E861" t="s">
        <v>12</v>
      </c>
      <c r="F861" t="s">
        <v>22</v>
      </c>
      <c r="G861" t="s">
        <v>14</v>
      </c>
      <c r="H861">
        <v>53.92</v>
      </c>
      <c r="I861">
        <v>602.32000000000005</v>
      </c>
      <c r="J861" t="s">
        <v>15</v>
      </c>
      <c r="K861" t="str">
        <f t="shared" si="13"/>
        <v>0-12 Months</v>
      </c>
      <c r="L861">
        <f>IF(Table13[[#This Row],[Churn]]="Yes",1,0)</f>
        <v>0</v>
      </c>
    </row>
    <row r="862" spans="1:12" x14ac:dyDescent="0.35">
      <c r="A862" t="s">
        <v>884</v>
      </c>
      <c r="B862" t="s">
        <v>17</v>
      </c>
      <c r="C862">
        <v>43</v>
      </c>
      <c r="D862">
        <v>47</v>
      </c>
      <c r="E862" t="s">
        <v>12</v>
      </c>
      <c r="F862" t="s">
        <v>33</v>
      </c>
      <c r="G862" t="s">
        <v>14</v>
      </c>
      <c r="H862">
        <v>146.05000000000001</v>
      </c>
      <c r="I862">
        <v>7038.39</v>
      </c>
      <c r="J862" t="s">
        <v>15</v>
      </c>
      <c r="K862" t="str">
        <f t="shared" si="13"/>
        <v>25-48 Months</v>
      </c>
      <c r="L862">
        <f>IF(Table13[[#This Row],[Churn]]="Yes",1,0)</f>
        <v>0</v>
      </c>
    </row>
    <row r="863" spans="1:12" x14ac:dyDescent="0.35">
      <c r="A863" t="s">
        <v>885</v>
      </c>
      <c r="B863" t="s">
        <v>11</v>
      </c>
      <c r="C863">
        <v>38</v>
      </c>
      <c r="D863">
        <v>18</v>
      </c>
      <c r="E863" t="s">
        <v>12</v>
      </c>
      <c r="F863" t="s">
        <v>29</v>
      </c>
      <c r="G863" t="s">
        <v>14</v>
      </c>
      <c r="H863">
        <v>115.51</v>
      </c>
      <c r="I863">
        <v>1883.24</v>
      </c>
      <c r="J863" t="s">
        <v>15</v>
      </c>
      <c r="K863" t="str">
        <f t="shared" si="13"/>
        <v>13-24 Months</v>
      </c>
      <c r="L863">
        <f>IF(Table13[[#This Row],[Churn]]="Yes",1,0)</f>
        <v>0</v>
      </c>
    </row>
    <row r="864" spans="1:12" x14ac:dyDescent="0.35">
      <c r="A864" t="s">
        <v>886</v>
      </c>
      <c r="B864" t="s">
        <v>17</v>
      </c>
      <c r="C864">
        <v>39</v>
      </c>
      <c r="D864">
        <v>21</v>
      </c>
      <c r="E864" t="s">
        <v>12</v>
      </c>
      <c r="F864" t="s">
        <v>29</v>
      </c>
      <c r="G864" t="s">
        <v>14</v>
      </c>
      <c r="H864">
        <v>110.95</v>
      </c>
      <c r="I864">
        <v>2396.92</v>
      </c>
      <c r="J864" t="s">
        <v>15</v>
      </c>
      <c r="K864" t="str">
        <f t="shared" si="13"/>
        <v>13-24 Months</v>
      </c>
      <c r="L864">
        <f>IF(Table13[[#This Row],[Churn]]="Yes",1,0)</f>
        <v>0</v>
      </c>
    </row>
    <row r="865" spans="1:12" x14ac:dyDescent="0.35">
      <c r="A865" t="s">
        <v>887</v>
      </c>
      <c r="B865" t="s">
        <v>17</v>
      </c>
      <c r="C865">
        <v>24</v>
      </c>
      <c r="D865">
        <v>13</v>
      </c>
      <c r="E865" t="s">
        <v>12</v>
      </c>
      <c r="F865" t="s">
        <v>22</v>
      </c>
      <c r="G865" t="s">
        <v>19</v>
      </c>
      <c r="H865">
        <v>130.88</v>
      </c>
      <c r="I865">
        <v>1625.6</v>
      </c>
      <c r="J865" t="s">
        <v>15</v>
      </c>
      <c r="K865" t="str">
        <f t="shared" si="13"/>
        <v>13-24 Months</v>
      </c>
      <c r="L865">
        <f>IF(Table13[[#This Row],[Churn]]="Yes",1,0)</f>
        <v>0</v>
      </c>
    </row>
    <row r="866" spans="1:12" x14ac:dyDescent="0.35">
      <c r="A866" t="s">
        <v>888</v>
      </c>
      <c r="B866" t="s">
        <v>17</v>
      </c>
      <c r="C866">
        <v>31</v>
      </c>
      <c r="D866">
        <v>21</v>
      </c>
      <c r="E866" t="s">
        <v>21</v>
      </c>
      <c r="F866" t="s">
        <v>22</v>
      </c>
      <c r="G866" t="s">
        <v>14</v>
      </c>
      <c r="H866">
        <v>35.06</v>
      </c>
      <c r="I866">
        <v>728.85</v>
      </c>
      <c r="J866" t="s">
        <v>15</v>
      </c>
      <c r="K866" t="str">
        <f t="shared" si="13"/>
        <v>13-24 Months</v>
      </c>
      <c r="L866">
        <f>IF(Table13[[#This Row],[Churn]]="Yes",1,0)</f>
        <v>0</v>
      </c>
    </row>
    <row r="867" spans="1:12" x14ac:dyDescent="0.35">
      <c r="A867" t="s">
        <v>889</v>
      </c>
      <c r="B867" t="s">
        <v>11</v>
      </c>
      <c r="C867">
        <v>32</v>
      </c>
      <c r="D867">
        <v>8</v>
      </c>
      <c r="E867" t="s">
        <v>18</v>
      </c>
      <c r="F867" t="s">
        <v>29</v>
      </c>
      <c r="G867" t="s">
        <v>14</v>
      </c>
      <c r="H867">
        <v>111.77</v>
      </c>
      <c r="I867">
        <v>866.49</v>
      </c>
      <c r="J867" t="s">
        <v>27</v>
      </c>
      <c r="K867" t="str">
        <f t="shared" si="13"/>
        <v>0-12 Months</v>
      </c>
      <c r="L867">
        <f>IF(Table13[[#This Row],[Churn]]="Yes",1,0)</f>
        <v>1</v>
      </c>
    </row>
    <row r="868" spans="1:12" x14ac:dyDescent="0.35">
      <c r="A868" t="s">
        <v>890</v>
      </c>
      <c r="B868" t="s">
        <v>11</v>
      </c>
      <c r="C868">
        <v>70</v>
      </c>
      <c r="D868">
        <v>46</v>
      </c>
      <c r="E868" t="s">
        <v>12</v>
      </c>
      <c r="F868" t="s">
        <v>33</v>
      </c>
      <c r="G868" t="s">
        <v>23</v>
      </c>
      <c r="H868">
        <v>85.48</v>
      </c>
      <c r="I868">
        <v>3674.73</v>
      </c>
      <c r="J868" t="s">
        <v>15</v>
      </c>
      <c r="K868" t="str">
        <f t="shared" si="13"/>
        <v>25-48 Months</v>
      </c>
      <c r="L868">
        <f>IF(Table13[[#This Row],[Churn]]="Yes",1,0)</f>
        <v>0</v>
      </c>
    </row>
    <row r="869" spans="1:12" x14ac:dyDescent="0.35">
      <c r="A869" t="s">
        <v>891</v>
      </c>
      <c r="B869" t="s">
        <v>17</v>
      </c>
      <c r="C869">
        <v>24</v>
      </c>
      <c r="D869">
        <v>7</v>
      </c>
      <c r="E869" t="s">
        <v>21</v>
      </c>
      <c r="F869" t="s">
        <v>33</v>
      </c>
      <c r="G869" t="s">
        <v>19</v>
      </c>
      <c r="H869">
        <v>127.79</v>
      </c>
      <c r="I869">
        <v>916.35</v>
      </c>
      <c r="J869" t="s">
        <v>15</v>
      </c>
      <c r="K869" t="str">
        <f t="shared" si="13"/>
        <v>0-12 Months</v>
      </c>
      <c r="L869">
        <f>IF(Table13[[#This Row],[Churn]]="Yes",1,0)</f>
        <v>0</v>
      </c>
    </row>
    <row r="870" spans="1:12" x14ac:dyDescent="0.35">
      <c r="A870" t="s">
        <v>892</v>
      </c>
      <c r="B870" t="s">
        <v>11</v>
      </c>
      <c r="C870">
        <v>26</v>
      </c>
      <c r="D870">
        <v>23</v>
      </c>
      <c r="E870" t="s">
        <v>12</v>
      </c>
      <c r="F870" t="s">
        <v>29</v>
      </c>
      <c r="G870" t="s">
        <v>19</v>
      </c>
      <c r="H870">
        <v>86.06</v>
      </c>
      <c r="I870">
        <v>2130.59</v>
      </c>
      <c r="J870" t="s">
        <v>15</v>
      </c>
      <c r="K870" t="str">
        <f t="shared" si="13"/>
        <v>13-24 Months</v>
      </c>
      <c r="L870">
        <f>IF(Table13[[#This Row],[Churn]]="Yes",1,0)</f>
        <v>0</v>
      </c>
    </row>
    <row r="871" spans="1:12" x14ac:dyDescent="0.35">
      <c r="A871" t="s">
        <v>893</v>
      </c>
      <c r="B871" t="s">
        <v>17</v>
      </c>
      <c r="C871">
        <v>68</v>
      </c>
      <c r="D871">
        <v>22</v>
      </c>
      <c r="E871" t="s">
        <v>18</v>
      </c>
      <c r="F871" t="s">
        <v>29</v>
      </c>
      <c r="G871" t="s">
        <v>23</v>
      </c>
      <c r="H871">
        <v>100.63</v>
      </c>
      <c r="I871">
        <v>2417.13</v>
      </c>
      <c r="J871" t="s">
        <v>15</v>
      </c>
      <c r="K871" t="str">
        <f t="shared" si="13"/>
        <v>13-24 Months</v>
      </c>
      <c r="L871">
        <f>IF(Table13[[#This Row],[Churn]]="Yes",1,0)</f>
        <v>0</v>
      </c>
    </row>
    <row r="872" spans="1:12" x14ac:dyDescent="0.35">
      <c r="A872" t="s">
        <v>894</v>
      </c>
      <c r="B872" t="s">
        <v>11</v>
      </c>
      <c r="C872">
        <v>65</v>
      </c>
      <c r="D872">
        <v>22</v>
      </c>
      <c r="E872" t="s">
        <v>18</v>
      </c>
      <c r="F872" t="s">
        <v>13</v>
      </c>
      <c r="G872" t="s">
        <v>23</v>
      </c>
      <c r="H872">
        <v>82.11</v>
      </c>
      <c r="I872">
        <v>1695.27</v>
      </c>
      <c r="J872" t="s">
        <v>15</v>
      </c>
      <c r="K872" t="str">
        <f t="shared" si="13"/>
        <v>13-24 Months</v>
      </c>
      <c r="L872">
        <f>IF(Table13[[#This Row],[Churn]]="Yes",1,0)</f>
        <v>0</v>
      </c>
    </row>
    <row r="873" spans="1:12" x14ac:dyDescent="0.35">
      <c r="A873" t="s">
        <v>895</v>
      </c>
      <c r="B873" t="s">
        <v>17</v>
      </c>
      <c r="C873">
        <v>25</v>
      </c>
      <c r="D873">
        <v>29</v>
      </c>
      <c r="E873" t="s">
        <v>18</v>
      </c>
      <c r="F873" t="s">
        <v>22</v>
      </c>
      <c r="G873" t="s">
        <v>19</v>
      </c>
      <c r="H873">
        <v>82.16</v>
      </c>
      <c r="I873">
        <v>2486.2199999999998</v>
      </c>
      <c r="J873" t="s">
        <v>15</v>
      </c>
      <c r="K873" t="str">
        <f t="shared" si="13"/>
        <v>25-48 Months</v>
      </c>
      <c r="L873">
        <f>IF(Table13[[#This Row],[Churn]]="Yes",1,0)</f>
        <v>0</v>
      </c>
    </row>
    <row r="874" spans="1:12" x14ac:dyDescent="0.35">
      <c r="A874" t="s">
        <v>896</v>
      </c>
      <c r="B874" t="s">
        <v>17</v>
      </c>
      <c r="C874">
        <v>67</v>
      </c>
      <c r="D874">
        <v>13</v>
      </c>
      <c r="E874" t="s">
        <v>18</v>
      </c>
      <c r="F874" t="s">
        <v>29</v>
      </c>
      <c r="G874" t="s">
        <v>23</v>
      </c>
      <c r="H874">
        <v>119.84</v>
      </c>
      <c r="I874">
        <v>1609.13</v>
      </c>
      <c r="J874" t="s">
        <v>15</v>
      </c>
      <c r="K874" t="str">
        <f t="shared" si="13"/>
        <v>13-24 Months</v>
      </c>
      <c r="L874">
        <f>IF(Table13[[#This Row],[Churn]]="Yes",1,0)</f>
        <v>0</v>
      </c>
    </row>
    <row r="875" spans="1:12" x14ac:dyDescent="0.35">
      <c r="A875" t="s">
        <v>897</v>
      </c>
      <c r="B875" t="s">
        <v>11</v>
      </c>
      <c r="C875">
        <v>40</v>
      </c>
      <c r="D875">
        <v>2</v>
      </c>
      <c r="E875" t="s">
        <v>12</v>
      </c>
      <c r="F875" t="s">
        <v>22</v>
      </c>
      <c r="G875" t="s">
        <v>14</v>
      </c>
      <c r="H875">
        <v>101.71</v>
      </c>
      <c r="I875">
        <v>197.05</v>
      </c>
      <c r="J875" t="s">
        <v>27</v>
      </c>
      <c r="K875" t="str">
        <f t="shared" si="13"/>
        <v>0-12 Months</v>
      </c>
      <c r="L875">
        <f>IF(Table13[[#This Row],[Churn]]="Yes",1,0)</f>
        <v>1</v>
      </c>
    </row>
    <row r="876" spans="1:12" x14ac:dyDescent="0.35">
      <c r="A876" t="s">
        <v>898</v>
      </c>
      <c r="B876" t="s">
        <v>17</v>
      </c>
      <c r="C876">
        <v>46</v>
      </c>
      <c r="D876">
        <v>29</v>
      </c>
      <c r="E876" t="s">
        <v>18</v>
      </c>
      <c r="F876" t="s">
        <v>22</v>
      </c>
      <c r="G876" t="s">
        <v>14</v>
      </c>
      <c r="H876">
        <v>102.32</v>
      </c>
      <c r="I876">
        <v>2681.89</v>
      </c>
      <c r="J876" t="s">
        <v>15</v>
      </c>
      <c r="K876" t="str">
        <f t="shared" si="13"/>
        <v>25-48 Months</v>
      </c>
      <c r="L876">
        <f>IF(Table13[[#This Row],[Churn]]="Yes",1,0)</f>
        <v>0</v>
      </c>
    </row>
    <row r="877" spans="1:12" x14ac:dyDescent="0.35">
      <c r="A877" t="s">
        <v>899</v>
      </c>
      <c r="B877" t="s">
        <v>11</v>
      </c>
      <c r="C877">
        <v>35</v>
      </c>
      <c r="D877">
        <v>52</v>
      </c>
      <c r="E877" t="s">
        <v>21</v>
      </c>
      <c r="F877" t="s">
        <v>29</v>
      </c>
      <c r="G877" t="s">
        <v>14</v>
      </c>
      <c r="H877">
        <v>78.540000000000006</v>
      </c>
      <c r="I877">
        <v>4239.1000000000004</v>
      </c>
      <c r="J877" t="s">
        <v>15</v>
      </c>
      <c r="K877" t="str">
        <f t="shared" si="13"/>
        <v>49+ Months</v>
      </c>
      <c r="L877">
        <f>IF(Table13[[#This Row],[Churn]]="Yes",1,0)</f>
        <v>0</v>
      </c>
    </row>
    <row r="878" spans="1:12" x14ac:dyDescent="0.35">
      <c r="A878" t="s">
        <v>900</v>
      </c>
      <c r="B878" t="s">
        <v>17</v>
      </c>
      <c r="C878">
        <v>48</v>
      </c>
      <c r="D878">
        <v>27</v>
      </c>
      <c r="E878" t="s">
        <v>12</v>
      </c>
      <c r="F878" t="s">
        <v>22</v>
      </c>
      <c r="G878" t="s">
        <v>14</v>
      </c>
      <c r="H878">
        <v>89.04</v>
      </c>
      <c r="I878">
        <v>2618.2800000000002</v>
      </c>
      <c r="J878" t="s">
        <v>15</v>
      </c>
      <c r="K878" t="str">
        <f t="shared" si="13"/>
        <v>25-48 Months</v>
      </c>
      <c r="L878">
        <f>IF(Table13[[#This Row],[Churn]]="Yes",1,0)</f>
        <v>0</v>
      </c>
    </row>
    <row r="879" spans="1:12" x14ac:dyDescent="0.35">
      <c r="A879" t="s">
        <v>901</v>
      </c>
      <c r="B879" t="s">
        <v>17</v>
      </c>
      <c r="C879">
        <v>47</v>
      </c>
      <c r="D879">
        <v>50</v>
      </c>
      <c r="E879" t="s">
        <v>18</v>
      </c>
      <c r="F879" t="s">
        <v>33</v>
      </c>
      <c r="G879" t="s">
        <v>14</v>
      </c>
      <c r="H879">
        <v>116.94</v>
      </c>
      <c r="I879">
        <v>6001.5</v>
      </c>
      <c r="J879" t="s">
        <v>15</v>
      </c>
      <c r="K879" t="str">
        <f t="shared" si="13"/>
        <v>49+ Months</v>
      </c>
      <c r="L879">
        <f>IF(Table13[[#This Row],[Churn]]="Yes",1,0)</f>
        <v>0</v>
      </c>
    </row>
    <row r="880" spans="1:12" x14ac:dyDescent="0.35">
      <c r="A880" t="s">
        <v>902</v>
      </c>
      <c r="B880" t="s">
        <v>11</v>
      </c>
      <c r="C880">
        <v>69</v>
      </c>
      <c r="D880">
        <v>23</v>
      </c>
      <c r="E880" t="s">
        <v>12</v>
      </c>
      <c r="F880" t="s">
        <v>29</v>
      </c>
      <c r="G880" t="s">
        <v>23</v>
      </c>
      <c r="H880">
        <v>127.37</v>
      </c>
      <c r="I880">
        <v>2891.6</v>
      </c>
      <c r="J880" t="s">
        <v>27</v>
      </c>
      <c r="K880" t="str">
        <f t="shared" si="13"/>
        <v>13-24 Months</v>
      </c>
      <c r="L880">
        <f>IF(Table13[[#This Row],[Churn]]="Yes",1,0)</f>
        <v>1</v>
      </c>
    </row>
    <row r="881" spans="1:12" x14ac:dyDescent="0.35">
      <c r="A881" t="s">
        <v>903</v>
      </c>
      <c r="B881" t="s">
        <v>11</v>
      </c>
      <c r="C881">
        <v>56</v>
      </c>
      <c r="D881">
        <v>44</v>
      </c>
      <c r="E881" t="s">
        <v>21</v>
      </c>
      <c r="F881" t="s">
        <v>29</v>
      </c>
      <c r="G881" t="s">
        <v>23</v>
      </c>
      <c r="H881">
        <v>110.55</v>
      </c>
      <c r="I881">
        <v>4888.67</v>
      </c>
      <c r="J881" t="s">
        <v>27</v>
      </c>
      <c r="K881" t="str">
        <f t="shared" si="13"/>
        <v>25-48 Months</v>
      </c>
      <c r="L881">
        <f>IF(Table13[[#This Row],[Churn]]="Yes",1,0)</f>
        <v>1</v>
      </c>
    </row>
    <row r="882" spans="1:12" x14ac:dyDescent="0.35">
      <c r="A882" t="s">
        <v>904</v>
      </c>
      <c r="B882" t="s">
        <v>11</v>
      </c>
      <c r="C882">
        <v>52</v>
      </c>
      <c r="D882">
        <v>22</v>
      </c>
      <c r="E882" t="s">
        <v>12</v>
      </c>
      <c r="F882" t="s">
        <v>13</v>
      </c>
      <c r="G882" t="s">
        <v>23</v>
      </c>
      <c r="H882">
        <v>140.13</v>
      </c>
      <c r="I882">
        <v>2897.66</v>
      </c>
      <c r="J882" t="s">
        <v>15</v>
      </c>
      <c r="K882" t="str">
        <f t="shared" si="13"/>
        <v>13-24 Months</v>
      </c>
      <c r="L882">
        <f>IF(Table13[[#This Row],[Churn]]="Yes",1,0)</f>
        <v>0</v>
      </c>
    </row>
    <row r="883" spans="1:12" x14ac:dyDescent="0.35">
      <c r="A883" t="s">
        <v>905</v>
      </c>
      <c r="B883" t="s">
        <v>17</v>
      </c>
      <c r="C883">
        <v>35</v>
      </c>
      <c r="D883">
        <v>43</v>
      </c>
      <c r="E883" t="s">
        <v>12</v>
      </c>
      <c r="F883" t="s">
        <v>33</v>
      </c>
      <c r="G883" t="s">
        <v>14</v>
      </c>
      <c r="H883">
        <v>126.64</v>
      </c>
      <c r="I883">
        <v>5718.39</v>
      </c>
      <c r="J883" t="s">
        <v>15</v>
      </c>
      <c r="K883" t="str">
        <f t="shared" si="13"/>
        <v>25-48 Months</v>
      </c>
      <c r="L883">
        <f>IF(Table13[[#This Row],[Churn]]="Yes",1,0)</f>
        <v>0</v>
      </c>
    </row>
    <row r="884" spans="1:12" x14ac:dyDescent="0.35">
      <c r="A884" t="s">
        <v>906</v>
      </c>
      <c r="B884" t="s">
        <v>11</v>
      </c>
      <c r="C884">
        <v>59</v>
      </c>
      <c r="D884">
        <v>37</v>
      </c>
      <c r="E884" t="s">
        <v>21</v>
      </c>
      <c r="F884" t="s">
        <v>33</v>
      </c>
      <c r="G884" t="s">
        <v>23</v>
      </c>
      <c r="H884">
        <v>93.04</v>
      </c>
      <c r="I884">
        <v>3612.14</v>
      </c>
      <c r="J884" t="s">
        <v>15</v>
      </c>
      <c r="K884" t="str">
        <f t="shared" si="13"/>
        <v>25-48 Months</v>
      </c>
      <c r="L884">
        <f>IF(Table13[[#This Row],[Churn]]="Yes",1,0)</f>
        <v>0</v>
      </c>
    </row>
    <row r="885" spans="1:12" x14ac:dyDescent="0.35">
      <c r="A885" t="s">
        <v>907</v>
      </c>
      <c r="B885" t="s">
        <v>17</v>
      </c>
      <c r="C885">
        <v>56</v>
      </c>
      <c r="D885">
        <v>61</v>
      </c>
      <c r="E885" t="s">
        <v>21</v>
      </c>
      <c r="F885" t="s">
        <v>13</v>
      </c>
      <c r="G885" t="s">
        <v>23</v>
      </c>
      <c r="H885">
        <v>107.28</v>
      </c>
      <c r="I885">
        <v>6080.13</v>
      </c>
      <c r="J885" t="s">
        <v>15</v>
      </c>
      <c r="K885" t="str">
        <f t="shared" si="13"/>
        <v>49+ Months</v>
      </c>
      <c r="L885">
        <f>IF(Table13[[#This Row],[Churn]]="Yes",1,0)</f>
        <v>0</v>
      </c>
    </row>
    <row r="886" spans="1:12" x14ac:dyDescent="0.35">
      <c r="A886" t="s">
        <v>908</v>
      </c>
      <c r="B886" t="s">
        <v>17</v>
      </c>
      <c r="C886">
        <v>34</v>
      </c>
      <c r="D886">
        <v>56</v>
      </c>
      <c r="E886" t="s">
        <v>12</v>
      </c>
      <c r="F886" t="s">
        <v>22</v>
      </c>
      <c r="G886" t="s">
        <v>14</v>
      </c>
      <c r="H886">
        <v>140.41999999999999</v>
      </c>
      <c r="I886">
        <v>8457.9699999999993</v>
      </c>
      <c r="J886" t="s">
        <v>15</v>
      </c>
      <c r="K886" t="str">
        <f t="shared" si="13"/>
        <v>49+ Months</v>
      </c>
      <c r="L886">
        <f>IF(Table13[[#This Row],[Churn]]="Yes",1,0)</f>
        <v>0</v>
      </c>
    </row>
    <row r="887" spans="1:12" x14ac:dyDescent="0.35">
      <c r="A887" t="s">
        <v>909</v>
      </c>
      <c r="B887" t="s">
        <v>11</v>
      </c>
      <c r="C887">
        <v>31</v>
      </c>
      <c r="D887">
        <v>3</v>
      </c>
      <c r="E887" t="s">
        <v>12</v>
      </c>
      <c r="F887" t="s">
        <v>13</v>
      </c>
      <c r="G887" t="s">
        <v>14</v>
      </c>
      <c r="H887">
        <v>100.49</v>
      </c>
      <c r="I887">
        <v>287.55</v>
      </c>
      <c r="J887" t="s">
        <v>27</v>
      </c>
      <c r="K887" t="str">
        <f t="shared" si="13"/>
        <v>0-12 Months</v>
      </c>
      <c r="L887">
        <f>IF(Table13[[#This Row],[Churn]]="Yes",1,0)</f>
        <v>1</v>
      </c>
    </row>
    <row r="888" spans="1:12" x14ac:dyDescent="0.35">
      <c r="A888" t="s">
        <v>910</v>
      </c>
      <c r="B888" t="s">
        <v>11</v>
      </c>
      <c r="C888">
        <v>48</v>
      </c>
      <c r="D888">
        <v>63</v>
      </c>
      <c r="E888" t="s">
        <v>18</v>
      </c>
      <c r="F888" t="s">
        <v>13</v>
      </c>
      <c r="G888" t="s">
        <v>14</v>
      </c>
      <c r="H888">
        <v>127.22</v>
      </c>
      <c r="I888">
        <v>8787.9</v>
      </c>
      <c r="J888" t="s">
        <v>15</v>
      </c>
      <c r="K888" t="str">
        <f t="shared" si="13"/>
        <v>49+ Months</v>
      </c>
      <c r="L888">
        <f>IF(Table13[[#This Row],[Churn]]="Yes",1,0)</f>
        <v>0</v>
      </c>
    </row>
    <row r="889" spans="1:12" x14ac:dyDescent="0.35">
      <c r="A889" t="s">
        <v>911</v>
      </c>
      <c r="B889" t="s">
        <v>17</v>
      </c>
      <c r="C889">
        <v>41</v>
      </c>
      <c r="D889">
        <v>19</v>
      </c>
      <c r="E889" t="s">
        <v>12</v>
      </c>
      <c r="F889" t="s">
        <v>29</v>
      </c>
      <c r="G889" t="s">
        <v>14</v>
      </c>
      <c r="H889">
        <v>109.55</v>
      </c>
      <c r="I889">
        <v>2032.7</v>
      </c>
      <c r="J889" t="s">
        <v>27</v>
      </c>
      <c r="K889" t="str">
        <f t="shared" si="13"/>
        <v>13-24 Months</v>
      </c>
      <c r="L889">
        <f>IF(Table13[[#This Row],[Churn]]="Yes",1,0)</f>
        <v>1</v>
      </c>
    </row>
    <row r="890" spans="1:12" x14ac:dyDescent="0.35">
      <c r="A890" t="s">
        <v>912</v>
      </c>
      <c r="B890" t="s">
        <v>17</v>
      </c>
      <c r="C890">
        <v>52</v>
      </c>
      <c r="D890">
        <v>23</v>
      </c>
      <c r="E890" t="s">
        <v>12</v>
      </c>
      <c r="F890" t="s">
        <v>29</v>
      </c>
      <c r="G890" t="s">
        <v>23</v>
      </c>
      <c r="H890">
        <v>91.75</v>
      </c>
      <c r="I890">
        <v>1974.3</v>
      </c>
      <c r="J890" t="s">
        <v>27</v>
      </c>
      <c r="K890" t="str">
        <f t="shared" si="13"/>
        <v>13-24 Months</v>
      </c>
      <c r="L890">
        <f>IF(Table13[[#This Row],[Churn]]="Yes",1,0)</f>
        <v>1</v>
      </c>
    </row>
    <row r="891" spans="1:12" x14ac:dyDescent="0.35">
      <c r="A891" t="s">
        <v>913</v>
      </c>
      <c r="B891" t="s">
        <v>11</v>
      </c>
      <c r="C891">
        <v>61</v>
      </c>
      <c r="D891">
        <v>29</v>
      </c>
      <c r="E891" t="s">
        <v>18</v>
      </c>
      <c r="F891" t="s">
        <v>29</v>
      </c>
      <c r="G891" t="s">
        <v>23</v>
      </c>
      <c r="H891">
        <v>51.44</v>
      </c>
      <c r="I891">
        <v>1447.52</v>
      </c>
      <c r="J891" t="s">
        <v>15</v>
      </c>
      <c r="K891" t="str">
        <f t="shared" si="13"/>
        <v>25-48 Months</v>
      </c>
      <c r="L891">
        <f>IF(Table13[[#This Row],[Churn]]="Yes",1,0)</f>
        <v>0</v>
      </c>
    </row>
    <row r="892" spans="1:12" x14ac:dyDescent="0.35">
      <c r="A892" t="s">
        <v>914</v>
      </c>
      <c r="B892" t="s">
        <v>11</v>
      </c>
      <c r="C892">
        <v>62</v>
      </c>
      <c r="D892">
        <v>30</v>
      </c>
      <c r="E892" t="s">
        <v>18</v>
      </c>
      <c r="F892" t="s">
        <v>13</v>
      </c>
      <c r="G892" t="s">
        <v>23</v>
      </c>
      <c r="H892">
        <v>75.38</v>
      </c>
      <c r="I892">
        <v>2234.34</v>
      </c>
      <c r="J892" t="s">
        <v>15</v>
      </c>
      <c r="K892" t="str">
        <f t="shared" si="13"/>
        <v>25-48 Months</v>
      </c>
      <c r="L892">
        <f>IF(Table13[[#This Row],[Churn]]="Yes",1,0)</f>
        <v>0</v>
      </c>
    </row>
    <row r="893" spans="1:12" x14ac:dyDescent="0.35">
      <c r="A893" t="s">
        <v>915</v>
      </c>
      <c r="B893" t="s">
        <v>11</v>
      </c>
      <c r="C893">
        <v>51</v>
      </c>
      <c r="D893">
        <v>39</v>
      </c>
      <c r="E893" t="s">
        <v>12</v>
      </c>
      <c r="F893" t="s">
        <v>29</v>
      </c>
      <c r="G893" t="s">
        <v>23</v>
      </c>
      <c r="H893">
        <v>145.81</v>
      </c>
      <c r="I893">
        <v>5196.76</v>
      </c>
      <c r="J893" t="s">
        <v>27</v>
      </c>
      <c r="K893" t="str">
        <f t="shared" si="13"/>
        <v>25-48 Months</v>
      </c>
      <c r="L893">
        <f>IF(Table13[[#This Row],[Churn]]="Yes",1,0)</f>
        <v>1</v>
      </c>
    </row>
    <row r="894" spans="1:12" x14ac:dyDescent="0.35">
      <c r="A894" t="s">
        <v>916</v>
      </c>
      <c r="B894" t="s">
        <v>11</v>
      </c>
      <c r="C894">
        <v>20</v>
      </c>
      <c r="D894">
        <v>25</v>
      </c>
      <c r="E894" t="s">
        <v>21</v>
      </c>
      <c r="F894" t="s">
        <v>33</v>
      </c>
      <c r="G894" t="s">
        <v>19</v>
      </c>
      <c r="H894">
        <v>105.51</v>
      </c>
      <c r="I894">
        <v>2679.01</v>
      </c>
      <c r="J894" t="s">
        <v>15</v>
      </c>
      <c r="K894" t="str">
        <f t="shared" si="13"/>
        <v>25-48 Months</v>
      </c>
      <c r="L894">
        <f>IF(Table13[[#This Row],[Churn]]="Yes",1,0)</f>
        <v>0</v>
      </c>
    </row>
    <row r="895" spans="1:12" x14ac:dyDescent="0.35">
      <c r="A895" t="s">
        <v>917</v>
      </c>
      <c r="B895" t="s">
        <v>11</v>
      </c>
      <c r="C895">
        <v>54</v>
      </c>
      <c r="D895">
        <v>8</v>
      </c>
      <c r="E895" t="s">
        <v>18</v>
      </c>
      <c r="F895" t="s">
        <v>29</v>
      </c>
      <c r="G895" t="s">
        <v>23</v>
      </c>
      <c r="H895">
        <v>93.37</v>
      </c>
      <c r="I895">
        <v>761.55</v>
      </c>
      <c r="J895" t="s">
        <v>27</v>
      </c>
      <c r="K895" t="str">
        <f t="shared" si="13"/>
        <v>0-12 Months</v>
      </c>
      <c r="L895">
        <f>IF(Table13[[#This Row],[Churn]]="Yes",1,0)</f>
        <v>1</v>
      </c>
    </row>
    <row r="896" spans="1:12" x14ac:dyDescent="0.35">
      <c r="A896" t="s">
        <v>918</v>
      </c>
      <c r="B896" t="s">
        <v>17</v>
      </c>
      <c r="C896">
        <v>60</v>
      </c>
      <c r="D896">
        <v>58</v>
      </c>
      <c r="E896" t="s">
        <v>18</v>
      </c>
      <c r="F896" t="s">
        <v>29</v>
      </c>
      <c r="G896" t="s">
        <v>23</v>
      </c>
      <c r="H896">
        <v>141.28</v>
      </c>
      <c r="I896">
        <v>8585.81</v>
      </c>
      <c r="J896" t="s">
        <v>15</v>
      </c>
      <c r="K896" t="str">
        <f t="shared" si="13"/>
        <v>49+ Months</v>
      </c>
      <c r="L896">
        <f>IF(Table13[[#This Row],[Churn]]="Yes",1,0)</f>
        <v>0</v>
      </c>
    </row>
    <row r="897" spans="1:12" x14ac:dyDescent="0.35">
      <c r="A897" t="s">
        <v>919</v>
      </c>
      <c r="B897" t="s">
        <v>17</v>
      </c>
      <c r="C897">
        <v>57</v>
      </c>
      <c r="D897">
        <v>16</v>
      </c>
      <c r="E897" t="s">
        <v>12</v>
      </c>
      <c r="F897" t="s">
        <v>13</v>
      </c>
      <c r="G897" t="s">
        <v>23</v>
      </c>
      <c r="H897">
        <v>96.25</v>
      </c>
      <c r="I897">
        <v>1394.98</v>
      </c>
      <c r="J897" t="s">
        <v>27</v>
      </c>
      <c r="K897" t="str">
        <f t="shared" si="13"/>
        <v>13-24 Months</v>
      </c>
      <c r="L897">
        <f>IF(Table13[[#This Row],[Churn]]="Yes",1,0)</f>
        <v>1</v>
      </c>
    </row>
    <row r="898" spans="1:12" x14ac:dyDescent="0.35">
      <c r="A898" t="s">
        <v>920</v>
      </c>
      <c r="B898" t="s">
        <v>17</v>
      </c>
      <c r="C898">
        <v>43</v>
      </c>
      <c r="D898">
        <v>72</v>
      </c>
      <c r="E898" t="s">
        <v>12</v>
      </c>
      <c r="F898" t="s">
        <v>1024</v>
      </c>
      <c r="G898" t="s">
        <v>14</v>
      </c>
      <c r="H898">
        <v>88.39</v>
      </c>
      <c r="I898">
        <v>6416.57</v>
      </c>
      <c r="J898" t="s">
        <v>15</v>
      </c>
      <c r="K898" t="str">
        <f t="shared" ref="K898:K961" si="14">IF(D898&lt;=12,"0-12 Months",IF(D898&lt;=24,"13-24 Months",IF(D898&lt;=48,"25-48 Months","49+ Months")))</f>
        <v>49+ Months</v>
      </c>
      <c r="L898">
        <f>IF(Table13[[#This Row],[Churn]]="Yes",1,0)</f>
        <v>0</v>
      </c>
    </row>
    <row r="899" spans="1:12" x14ac:dyDescent="0.35">
      <c r="A899" t="s">
        <v>921</v>
      </c>
      <c r="B899" t="s">
        <v>17</v>
      </c>
      <c r="C899">
        <v>40</v>
      </c>
      <c r="D899">
        <v>1</v>
      </c>
      <c r="E899" t="s">
        <v>12</v>
      </c>
      <c r="F899" t="s">
        <v>29</v>
      </c>
      <c r="G899" t="s">
        <v>14</v>
      </c>
      <c r="H899">
        <v>118.71</v>
      </c>
      <c r="I899">
        <v>108.1</v>
      </c>
      <c r="J899" t="s">
        <v>15</v>
      </c>
      <c r="K899" t="str">
        <f t="shared" si="14"/>
        <v>0-12 Months</v>
      </c>
      <c r="L899">
        <f>IF(Table13[[#This Row],[Churn]]="Yes",1,0)</f>
        <v>0</v>
      </c>
    </row>
    <row r="900" spans="1:12" x14ac:dyDescent="0.35">
      <c r="A900" t="s">
        <v>922</v>
      </c>
      <c r="B900" t="s">
        <v>11</v>
      </c>
      <c r="C900">
        <v>61</v>
      </c>
      <c r="D900">
        <v>5</v>
      </c>
      <c r="E900" t="s">
        <v>12</v>
      </c>
      <c r="F900" t="s">
        <v>29</v>
      </c>
      <c r="G900" t="s">
        <v>23</v>
      </c>
      <c r="H900">
        <v>112.65</v>
      </c>
      <c r="I900">
        <v>585.91</v>
      </c>
      <c r="J900" t="s">
        <v>27</v>
      </c>
      <c r="K900" t="str">
        <f t="shared" si="14"/>
        <v>0-12 Months</v>
      </c>
      <c r="L900">
        <f>IF(Table13[[#This Row],[Churn]]="Yes",1,0)</f>
        <v>1</v>
      </c>
    </row>
    <row r="901" spans="1:12" x14ac:dyDescent="0.35">
      <c r="A901" t="s">
        <v>923</v>
      </c>
      <c r="B901" t="s">
        <v>11</v>
      </c>
      <c r="C901">
        <v>56</v>
      </c>
      <c r="D901">
        <v>3</v>
      </c>
      <c r="E901" t="s">
        <v>21</v>
      </c>
      <c r="F901" t="s">
        <v>33</v>
      </c>
      <c r="G901" t="s">
        <v>23</v>
      </c>
      <c r="H901">
        <v>45.11</v>
      </c>
      <c r="I901">
        <v>123.31</v>
      </c>
      <c r="J901" t="s">
        <v>27</v>
      </c>
      <c r="K901" t="str">
        <f t="shared" si="14"/>
        <v>0-12 Months</v>
      </c>
      <c r="L901">
        <f>IF(Table13[[#This Row],[Churn]]="Yes",1,0)</f>
        <v>1</v>
      </c>
    </row>
    <row r="902" spans="1:12" x14ac:dyDescent="0.35">
      <c r="A902" t="s">
        <v>924</v>
      </c>
      <c r="B902" t="s">
        <v>11</v>
      </c>
      <c r="C902">
        <v>32</v>
      </c>
      <c r="D902">
        <v>65</v>
      </c>
      <c r="E902" t="s">
        <v>12</v>
      </c>
      <c r="F902" t="s">
        <v>29</v>
      </c>
      <c r="G902" t="s">
        <v>14</v>
      </c>
      <c r="H902">
        <v>81.27</v>
      </c>
      <c r="I902">
        <v>5717.54</v>
      </c>
      <c r="J902" t="s">
        <v>27</v>
      </c>
      <c r="K902" t="str">
        <f t="shared" si="14"/>
        <v>49+ Months</v>
      </c>
      <c r="L902">
        <f>IF(Table13[[#This Row],[Churn]]="Yes",1,0)</f>
        <v>1</v>
      </c>
    </row>
    <row r="903" spans="1:12" x14ac:dyDescent="0.35">
      <c r="A903" t="s">
        <v>925</v>
      </c>
      <c r="B903" t="s">
        <v>17</v>
      </c>
      <c r="C903">
        <v>66</v>
      </c>
      <c r="D903">
        <v>4</v>
      </c>
      <c r="E903" t="s">
        <v>21</v>
      </c>
      <c r="F903" t="s">
        <v>29</v>
      </c>
      <c r="G903" t="s">
        <v>23</v>
      </c>
      <c r="H903">
        <v>81.430000000000007</v>
      </c>
      <c r="I903">
        <v>338.88</v>
      </c>
      <c r="J903" t="s">
        <v>15</v>
      </c>
      <c r="K903" t="str">
        <f t="shared" si="14"/>
        <v>0-12 Months</v>
      </c>
      <c r="L903">
        <f>IF(Table13[[#This Row],[Churn]]="Yes",1,0)</f>
        <v>0</v>
      </c>
    </row>
    <row r="904" spans="1:12" x14ac:dyDescent="0.35">
      <c r="A904" t="s">
        <v>926</v>
      </c>
      <c r="B904" t="s">
        <v>17</v>
      </c>
      <c r="C904">
        <v>21</v>
      </c>
      <c r="D904">
        <v>64</v>
      </c>
      <c r="E904" t="s">
        <v>12</v>
      </c>
      <c r="F904" t="s">
        <v>33</v>
      </c>
      <c r="G904" t="s">
        <v>19</v>
      </c>
      <c r="H904">
        <v>69.17</v>
      </c>
      <c r="I904">
        <v>4433.42</v>
      </c>
      <c r="J904" t="s">
        <v>15</v>
      </c>
      <c r="K904" t="str">
        <f t="shared" si="14"/>
        <v>49+ Months</v>
      </c>
      <c r="L904">
        <f>IF(Table13[[#This Row],[Churn]]="Yes",1,0)</f>
        <v>0</v>
      </c>
    </row>
    <row r="905" spans="1:12" x14ac:dyDescent="0.35">
      <c r="A905" t="s">
        <v>927</v>
      </c>
      <c r="B905" t="s">
        <v>11</v>
      </c>
      <c r="C905">
        <v>46</v>
      </c>
      <c r="D905">
        <v>10</v>
      </c>
      <c r="E905" t="s">
        <v>12</v>
      </c>
      <c r="F905" t="s">
        <v>29</v>
      </c>
      <c r="G905" t="s">
        <v>14</v>
      </c>
      <c r="H905">
        <v>87.25</v>
      </c>
      <c r="I905">
        <v>862.29</v>
      </c>
      <c r="J905" t="s">
        <v>27</v>
      </c>
      <c r="K905" t="str">
        <f t="shared" si="14"/>
        <v>0-12 Months</v>
      </c>
      <c r="L905">
        <f>IF(Table13[[#This Row],[Churn]]="Yes",1,0)</f>
        <v>1</v>
      </c>
    </row>
    <row r="906" spans="1:12" x14ac:dyDescent="0.35">
      <c r="A906" t="s">
        <v>928</v>
      </c>
      <c r="B906" t="s">
        <v>11</v>
      </c>
      <c r="C906">
        <v>39</v>
      </c>
      <c r="D906">
        <v>21</v>
      </c>
      <c r="E906" t="s">
        <v>18</v>
      </c>
      <c r="F906" t="s">
        <v>13</v>
      </c>
      <c r="G906" t="s">
        <v>14</v>
      </c>
      <c r="H906">
        <v>73.7</v>
      </c>
      <c r="I906">
        <v>1433.38</v>
      </c>
      <c r="J906" t="s">
        <v>15</v>
      </c>
      <c r="K906" t="str">
        <f t="shared" si="14"/>
        <v>13-24 Months</v>
      </c>
      <c r="L906">
        <f>IF(Table13[[#This Row],[Churn]]="Yes",1,0)</f>
        <v>0</v>
      </c>
    </row>
    <row r="907" spans="1:12" x14ac:dyDescent="0.35">
      <c r="A907" t="s">
        <v>929</v>
      </c>
      <c r="B907" t="s">
        <v>17</v>
      </c>
      <c r="C907">
        <v>42</v>
      </c>
      <c r="D907">
        <v>46</v>
      </c>
      <c r="E907" t="s">
        <v>12</v>
      </c>
      <c r="F907" t="s">
        <v>13</v>
      </c>
      <c r="G907" t="s">
        <v>14</v>
      </c>
      <c r="H907">
        <v>45.91</v>
      </c>
      <c r="I907">
        <v>2023.58</v>
      </c>
      <c r="J907" t="s">
        <v>27</v>
      </c>
      <c r="K907" t="str">
        <f t="shared" si="14"/>
        <v>25-48 Months</v>
      </c>
      <c r="L907">
        <f>IF(Table13[[#This Row],[Churn]]="Yes",1,0)</f>
        <v>1</v>
      </c>
    </row>
    <row r="908" spans="1:12" x14ac:dyDescent="0.35">
      <c r="A908" t="s">
        <v>930</v>
      </c>
      <c r="B908" t="s">
        <v>17</v>
      </c>
      <c r="C908">
        <v>30</v>
      </c>
      <c r="D908">
        <v>27</v>
      </c>
      <c r="E908" t="s">
        <v>12</v>
      </c>
      <c r="F908" t="s">
        <v>29</v>
      </c>
      <c r="G908" t="s">
        <v>14</v>
      </c>
      <c r="H908">
        <v>73.61</v>
      </c>
      <c r="I908">
        <v>2134.13</v>
      </c>
      <c r="J908" t="s">
        <v>15</v>
      </c>
      <c r="K908" t="str">
        <f t="shared" si="14"/>
        <v>25-48 Months</v>
      </c>
      <c r="L908">
        <f>IF(Table13[[#This Row],[Churn]]="Yes",1,0)</f>
        <v>0</v>
      </c>
    </row>
    <row r="909" spans="1:12" x14ac:dyDescent="0.35">
      <c r="A909" t="s">
        <v>931</v>
      </c>
      <c r="B909" t="s">
        <v>11</v>
      </c>
      <c r="C909">
        <v>35</v>
      </c>
      <c r="D909">
        <v>66</v>
      </c>
      <c r="E909" t="s">
        <v>18</v>
      </c>
      <c r="F909" t="s">
        <v>29</v>
      </c>
      <c r="G909" t="s">
        <v>14</v>
      </c>
      <c r="H909">
        <v>29.4</v>
      </c>
      <c r="I909">
        <v>2097.36</v>
      </c>
      <c r="J909" t="s">
        <v>15</v>
      </c>
      <c r="K909" t="str">
        <f t="shared" si="14"/>
        <v>49+ Months</v>
      </c>
      <c r="L909">
        <f>IF(Table13[[#This Row],[Churn]]="Yes",1,0)</f>
        <v>0</v>
      </c>
    </row>
    <row r="910" spans="1:12" x14ac:dyDescent="0.35">
      <c r="A910" t="s">
        <v>932</v>
      </c>
      <c r="B910" t="s">
        <v>11</v>
      </c>
      <c r="C910">
        <v>50</v>
      </c>
      <c r="D910">
        <v>41</v>
      </c>
      <c r="E910" t="s">
        <v>12</v>
      </c>
      <c r="F910" t="s">
        <v>29</v>
      </c>
      <c r="G910" t="s">
        <v>23</v>
      </c>
      <c r="H910">
        <v>94.85</v>
      </c>
      <c r="I910">
        <v>3500.55</v>
      </c>
      <c r="J910" t="s">
        <v>15</v>
      </c>
      <c r="K910" t="str">
        <f t="shared" si="14"/>
        <v>25-48 Months</v>
      </c>
      <c r="L910">
        <f>IF(Table13[[#This Row],[Churn]]="Yes",1,0)</f>
        <v>0</v>
      </c>
    </row>
    <row r="911" spans="1:12" x14ac:dyDescent="0.35">
      <c r="A911" t="s">
        <v>933</v>
      </c>
      <c r="B911" t="s">
        <v>17</v>
      </c>
      <c r="C911">
        <v>33</v>
      </c>
      <c r="D911">
        <v>13</v>
      </c>
      <c r="E911" t="s">
        <v>21</v>
      </c>
      <c r="F911" t="s">
        <v>29</v>
      </c>
      <c r="G911" t="s">
        <v>14</v>
      </c>
      <c r="H911">
        <v>130.97999999999999</v>
      </c>
      <c r="I911">
        <v>1734.8</v>
      </c>
      <c r="J911" t="s">
        <v>15</v>
      </c>
      <c r="K911" t="str">
        <f t="shared" si="14"/>
        <v>13-24 Months</v>
      </c>
      <c r="L911">
        <f>IF(Table13[[#This Row],[Churn]]="Yes",1,0)</f>
        <v>0</v>
      </c>
    </row>
    <row r="912" spans="1:12" x14ac:dyDescent="0.35">
      <c r="A912" t="s">
        <v>934</v>
      </c>
      <c r="B912" t="s">
        <v>11</v>
      </c>
      <c r="C912">
        <v>62</v>
      </c>
      <c r="D912">
        <v>9</v>
      </c>
      <c r="E912" t="s">
        <v>21</v>
      </c>
      <c r="F912" t="s">
        <v>29</v>
      </c>
      <c r="G912" t="s">
        <v>23</v>
      </c>
      <c r="H912">
        <v>114.29</v>
      </c>
      <c r="I912">
        <v>1073.72</v>
      </c>
      <c r="J912" t="s">
        <v>15</v>
      </c>
      <c r="K912" t="str">
        <f t="shared" si="14"/>
        <v>0-12 Months</v>
      </c>
      <c r="L912">
        <f>IF(Table13[[#This Row],[Churn]]="Yes",1,0)</f>
        <v>0</v>
      </c>
    </row>
    <row r="913" spans="1:12" x14ac:dyDescent="0.35">
      <c r="A913" t="s">
        <v>935</v>
      </c>
      <c r="B913" t="s">
        <v>11</v>
      </c>
      <c r="C913">
        <v>59</v>
      </c>
      <c r="D913">
        <v>36</v>
      </c>
      <c r="E913" t="s">
        <v>12</v>
      </c>
      <c r="F913" t="s">
        <v>22</v>
      </c>
      <c r="G913" t="s">
        <v>23</v>
      </c>
      <c r="H913">
        <v>66.849999999999994</v>
      </c>
      <c r="I913">
        <v>2463.7600000000002</v>
      </c>
      <c r="J913" t="s">
        <v>15</v>
      </c>
      <c r="K913" t="str">
        <f t="shared" si="14"/>
        <v>25-48 Months</v>
      </c>
      <c r="L913">
        <f>IF(Table13[[#This Row],[Churn]]="Yes",1,0)</f>
        <v>0</v>
      </c>
    </row>
    <row r="914" spans="1:12" x14ac:dyDescent="0.35">
      <c r="A914" t="s">
        <v>936</v>
      </c>
      <c r="B914" t="s">
        <v>11</v>
      </c>
      <c r="C914">
        <v>61</v>
      </c>
      <c r="D914">
        <v>58</v>
      </c>
      <c r="E914" t="s">
        <v>18</v>
      </c>
      <c r="F914" t="s">
        <v>13</v>
      </c>
      <c r="G914" t="s">
        <v>23</v>
      </c>
      <c r="H914">
        <v>31.32</v>
      </c>
      <c r="I914">
        <v>1664.58</v>
      </c>
      <c r="J914" t="s">
        <v>15</v>
      </c>
      <c r="K914" t="str">
        <f t="shared" si="14"/>
        <v>49+ Months</v>
      </c>
      <c r="L914">
        <f>IF(Table13[[#This Row],[Churn]]="Yes",1,0)</f>
        <v>0</v>
      </c>
    </row>
    <row r="915" spans="1:12" x14ac:dyDescent="0.35">
      <c r="A915" t="s">
        <v>937</v>
      </c>
      <c r="B915" t="s">
        <v>17</v>
      </c>
      <c r="C915">
        <v>19</v>
      </c>
      <c r="D915">
        <v>54</v>
      </c>
      <c r="E915" t="s">
        <v>12</v>
      </c>
      <c r="F915" t="s">
        <v>13</v>
      </c>
      <c r="G915" t="s">
        <v>19</v>
      </c>
      <c r="H915">
        <v>46.28</v>
      </c>
      <c r="I915">
        <v>2358.0300000000002</v>
      </c>
      <c r="J915" t="s">
        <v>15</v>
      </c>
      <c r="K915" t="str">
        <f t="shared" si="14"/>
        <v>49+ Months</v>
      </c>
      <c r="L915">
        <f>IF(Table13[[#This Row],[Churn]]="Yes",1,0)</f>
        <v>0</v>
      </c>
    </row>
    <row r="916" spans="1:12" x14ac:dyDescent="0.35">
      <c r="A916" t="s">
        <v>938</v>
      </c>
      <c r="B916" t="s">
        <v>17</v>
      </c>
      <c r="C916">
        <v>52</v>
      </c>
      <c r="D916">
        <v>12</v>
      </c>
      <c r="E916" t="s">
        <v>12</v>
      </c>
      <c r="F916" t="s">
        <v>33</v>
      </c>
      <c r="G916" t="s">
        <v>23</v>
      </c>
      <c r="H916">
        <v>90.91</v>
      </c>
      <c r="I916">
        <v>1036.45</v>
      </c>
      <c r="J916" t="s">
        <v>27</v>
      </c>
      <c r="K916" t="str">
        <f t="shared" si="14"/>
        <v>0-12 Months</v>
      </c>
      <c r="L916">
        <f>IF(Table13[[#This Row],[Churn]]="Yes",1,0)</f>
        <v>1</v>
      </c>
    </row>
    <row r="917" spans="1:12" x14ac:dyDescent="0.35">
      <c r="A917" t="s">
        <v>939</v>
      </c>
      <c r="B917" t="s">
        <v>17</v>
      </c>
      <c r="C917">
        <v>59</v>
      </c>
      <c r="D917">
        <v>14</v>
      </c>
      <c r="E917" t="s">
        <v>12</v>
      </c>
      <c r="F917" t="s">
        <v>22</v>
      </c>
      <c r="G917" t="s">
        <v>23</v>
      </c>
      <c r="H917">
        <v>46.92</v>
      </c>
      <c r="I917">
        <v>700.46</v>
      </c>
      <c r="J917" t="s">
        <v>27</v>
      </c>
      <c r="K917" t="str">
        <f t="shared" si="14"/>
        <v>13-24 Months</v>
      </c>
      <c r="L917">
        <f>IF(Table13[[#This Row],[Churn]]="Yes",1,0)</f>
        <v>1</v>
      </c>
    </row>
    <row r="918" spans="1:12" x14ac:dyDescent="0.35">
      <c r="A918" t="s">
        <v>940</v>
      </c>
      <c r="B918" t="s">
        <v>17</v>
      </c>
      <c r="C918">
        <v>51</v>
      </c>
      <c r="D918">
        <v>34</v>
      </c>
      <c r="E918" t="s">
        <v>12</v>
      </c>
      <c r="F918" t="s">
        <v>29</v>
      </c>
      <c r="G918" t="s">
        <v>23</v>
      </c>
      <c r="H918">
        <v>90.72</v>
      </c>
      <c r="I918">
        <v>3061.78</v>
      </c>
      <c r="J918" t="s">
        <v>15</v>
      </c>
      <c r="K918" t="str">
        <f t="shared" si="14"/>
        <v>25-48 Months</v>
      </c>
      <c r="L918">
        <f>IF(Table13[[#This Row],[Churn]]="Yes",1,0)</f>
        <v>0</v>
      </c>
    </row>
    <row r="919" spans="1:12" x14ac:dyDescent="0.35">
      <c r="A919" t="s">
        <v>941</v>
      </c>
      <c r="B919" t="s">
        <v>17</v>
      </c>
      <c r="C919">
        <v>47</v>
      </c>
      <c r="D919">
        <v>53</v>
      </c>
      <c r="E919" t="s">
        <v>18</v>
      </c>
      <c r="F919" t="s">
        <v>33</v>
      </c>
      <c r="G919" t="s">
        <v>14</v>
      </c>
      <c r="H919">
        <v>50.11</v>
      </c>
      <c r="I919">
        <v>2648.83</v>
      </c>
      <c r="J919" t="s">
        <v>15</v>
      </c>
      <c r="K919" t="str">
        <f t="shared" si="14"/>
        <v>49+ Months</v>
      </c>
      <c r="L919">
        <f>IF(Table13[[#This Row],[Churn]]="Yes",1,0)</f>
        <v>0</v>
      </c>
    </row>
    <row r="920" spans="1:12" x14ac:dyDescent="0.35">
      <c r="A920" t="s">
        <v>942</v>
      </c>
      <c r="B920" t="s">
        <v>17</v>
      </c>
      <c r="C920">
        <v>30</v>
      </c>
      <c r="D920">
        <v>20</v>
      </c>
      <c r="E920" t="s">
        <v>12</v>
      </c>
      <c r="F920" t="s">
        <v>29</v>
      </c>
      <c r="G920" t="s">
        <v>14</v>
      </c>
      <c r="H920">
        <v>130.36000000000001</v>
      </c>
      <c r="I920">
        <v>2833.97</v>
      </c>
      <c r="J920" t="s">
        <v>15</v>
      </c>
      <c r="K920" t="str">
        <f t="shared" si="14"/>
        <v>13-24 Months</v>
      </c>
      <c r="L920">
        <f>IF(Table13[[#This Row],[Churn]]="Yes",1,0)</f>
        <v>0</v>
      </c>
    </row>
    <row r="921" spans="1:12" x14ac:dyDescent="0.35">
      <c r="A921" t="s">
        <v>943</v>
      </c>
      <c r="B921" t="s">
        <v>17</v>
      </c>
      <c r="C921">
        <v>30</v>
      </c>
      <c r="D921">
        <v>16</v>
      </c>
      <c r="E921" t="s">
        <v>12</v>
      </c>
      <c r="F921" t="s">
        <v>29</v>
      </c>
      <c r="G921" t="s">
        <v>14</v>
      </c>
      <c r="H921">
        <v>71.650000000000006</v>
      </c>
      <c r="I921">
        <v>1177.83</v>
      </c>
      <c r="J921" t="s">
        <v>15</v>
      </c>
      <c r="K921" t="str">
        <f t="shared" si="14"/>
        <v>13-24 Months</v>
      </c>
      <c r="L921">
        <f>IF(Table13[[#This Row],[Churn]]="Yes",1,0)</f>
        <v>0</v>
      </c>
    </row>
    <row r="922" spans="1:12" x14ac:dyDescent="0.35">
      <c r="A922" t="s">
        <v>944</v>
      </c>
      <c r="B922" t="s">
        <v>11</v>
      </c>
      <c r="C922">
        <v>35</v>
      </c>
      <c r="D922">
        <v>70</v>
      </c>
      <c r="E922" t="s">
        <v>12</v>
      </c>
      <c r="F922" t="s">
        <v>22</v>
      </c>
      <c r="G922" t="s">
        <v>14</v>
      </c>
      <c r="H922">
        <v>51.92</v>
      </c>
      <c r="I922">
        <v>3924.18</v>
      </c>
      <c r="J922" t="s">
        <v>15</v>
      </c>
      <c r="K922" t="str">
        <f t="shared" si="14"/>
        <v>49+ Months</v>
      </c>
      <c r="L922">
        <f>IF(Table13[[#This Row],[Churn]]="Yes",1,0)</f>
        <v>0</v>
      </c>
    </row>
    <row r="923" spans="1:12" x14ac:dyDescent="0.35">
      <c r="A923" t="s">
        <v>945</v>
      </c>
      <c r="B923" t="s">
        <v>11</v>
      </c>
      <c r="C923">
        <v>49</v>
      </c>
      <c r="D923">
        <v>56</v>
      </c>
      <c r="E923" t="s">
        <v>21</v>
      </c>
      <c r="F923" t="s">
        <v>13</v>
      </c>
      <c r="G923" t="s">
        <v>14</v>
      </c>
      <c r="H923">
        <v>125.6</v>
      </c>
      <c r="I923">
        <v>6972.42</v>
      </c>
      <c r="J923" t="s">
        <v>15</v>
      </c>
      <c r="K923" t="str">
        <f t="shared" si="14"/>
        <v>49+ Months</v>
      </c>
      <c r="L923">
        <f>IF(Table13[[#This Row],[Churn]]="Yes",1,0)</f>
        <v>0</v>
      </c>
    </row>
    <row r="924" spans="1:12" x14ac:dyDescent="0.35">
      <c r="A924" t="s">
        <v>946</v>
      </c>
      <c r="B924" t="s">
        <v>11</v>
      </c>
      <c r="C924">
        <v>49</v>
      </c>
      <c r="D924">
        <v>58</v>
      </c>
      <c r="E924" t="s">
        <v>12</v>
      </c>
      <c r="F924" t="s">
        <v>13</v>
      </c>
      <c r="G924" t="s">
        <v>14</v>
      </c>
      <c r="H924">
        <v>64.569999999999993</v>
      </c>
      <c r="I924">
        <v>3482.48</v>
      </c>
      <c r="J924" t="s">
        <v>15</v>
      </c>
      <c r="K924" t="str">
        <f t="shared" si="14"/>
        <v>49+ Months</v>
      </c>
      <c r="L924">
        <f>IF(Table13[[#This Row],[Churn]]="Yes",1,0)</f>
        <v>0</v>
      </c>
    </row>
    <row r="925" spans="1:12" x14ac:dyDescent="0.35">
      <c r="A925" t="s">
        <v>947</v>
      </c>
      <c r="B925" t="s">
        <v>11</v>
      </c>
      <c r="C925">
        <v>52</v>
      </c>
      <c r="D925">
        <v>4</v>
      </c>
      <c r="E925" t="s">
        <v>12</v>
      </c>
      <c r="F925" t="s">
        <v>29</v>
      </c>
      <c r="G925" t="s">
        <v>23</v>
      </c>
      <c r="H925">
        <v>34.49</v>
      </c>
      <c r="I925">
        <v>149.82</v>
      </c>
      <c r="J925" t="s">
        <v>15</v>
      </c>
      <c r="K925" t="str">
        <f t="shared" si="14"/>
        <v>0-12 Months</v>
      </c>
      <c r="L925">
        <f>IF(Table13[[#This Row],[Churn]]="Yes",1,0)</f>
        <v>0</v>
      </c>
    </row>
    <row r="926" spans="1:12" x14ac:dyDescent="0.35">
      <c r="A926" t="s">
        <v>948</v>
      </c>
      <c r="B926" t="s">
        <v>11</v>
      </c>
      <c r="C926">
        <v>56</v>
      </c>
      <c r="D926">
        <v>4</v>
      </c>
      <c r="E926" t="s">
        <v>21</v>
      </c>
      <c r="F926" t="s">
        <v>13</v>
      </c>
      <c r="G926" t="s">
        <v>23</v>
      </c>
      <c r="H926">
        <v>94.15</v>
      </c>
      <c r="I926">
        <v>373.49</v>
      </c>
      <c r="J926" t="s">
        <v>15</v>
      </c>
      <c r="K926" t="str">
        <f t="shared" si="14"/>
        <v>0-12 Months</v>
      </c>
      <c r="L926">
        <f>IF(Table13[[#This Row],[Churn]]="Yes",1,0)</f>
        <v>0</v>
      </c>
    </row>
    <row r="927" spans="1:12" x14ac:dyDescent="0.35">
      <c r="A927" t="s">
        <v>949</v>
      </c>
      <c r="B927" t="s">
        <v>11</v>
      </c>
      <c r="C927">
        <v>63</v>
      </c>
      <c r="D927">
        <v>20</v>
      </c>
      <c r="E927" t="s">
        <v>12</v>
      </c>
      <c r="F927" t="s">
        <v>29</v>
      </c>
      <c r="G927" t="s">
        <v>23</v>
      </c>
      <c r="H927">
        <v>95.6</v>
      </c>
      <c r="I927">
        <v>1790.26</v>
      </c>
      <c r="J927" t="s">
        <v>27</v>
      </c>
      <c r="K927" t="str">
        <f t="shared" si="14"/>
        <v>13-24 Months</v>
      </c>
      <c r="L927">
        <f>IF(Table13[[#This Row],[Churn]]="Yes",1,0)</f>
        <v>1</v>
      </c>
    </row>
    <row r="928" spans="1:12" x14ac:dyDescent="0.35">
      <c r="A928" t="s">
        <v>950</v>
      </c>
      <c r="B928" t="s">
        <v>11</v>
      </c>
      <c r="C928">
        <v>69</v>
      </c>
      <c r="D928">
        <v>10</v>
      </c>
      <c r="E928" t="s">
        <v>12</v>
      </c>
      <c r="F928" t="s">
        <v>33</v>
      </c>
      <c r="G928" t="s">
        <v>23</v>
      </c>
      <c r="H928">
        <v>112.91</v>
      </c>
      <c r="I928">
        <v>1084.48</v>
      </c>
      <c r="J928" t="s">
        <v>15</v>
      </c>
      <c r="K928" t="str">
        <f t="shared" si="14"/>
        <v>0-12 Months</v>
      </c>
      <c r="L928">
        <f>IF(Table13[[#This Row],[Churn]]="Yes",1,0)</f>
        <v>0</v>
      </c>
    </row>
    <row r="929" spans="1:12" x14ac:dyDescent="0.35">
      <c r="A929" t="s">
        <v>951</v>
      </c>
      <c r="B929" t="s">
        <v>17</v>
      </c>
      <c r="C929">
        <v>46</v>
      </c>
      <c r="D929">
        <v>24</v>
      </c>
      <c r="E929" t="s">
        <v>12</v>
      </c>
      <c r="F929" t="s">
        <v>29</v>
      </c>
      <c r="G929" t="s">
        <v>14</v>
      </c>
      <c r="H929">
        <v>51.23</v>
      </c>
      <c r="I929">
        <v>1119.06</v>
      </c>
      <c r="J929" t="s">
        <v>15</v>
      </c>
      <c r="K929" t="str">
        <f t="shared" si="14"/>
        <v>13-24 Months</v>
      </c>
      <c r="L929">
        <f>IF(Table13[[#This Row],[Churn]]="Yes",1,0)</f>
        <v>0</v>
      </c>
    </row>
    <row r="930" spans="1:12" x14ac:dyDescent="0.35">
      <c r="A930" t="s">
        <v>952</v>
      </c>
      <c r="B930" t="s">
        <v>17</v>
      </c>
      <c r="C930">
        <v>66</v>
      </c>
      <c r="D930">
        <v>26</v>
      </c>
      <c r="E930" t="s">
        <v>12</v>
      </c>
      <c r="F930" t="s">
        <v>33</v>
      </c>
      <c r="G930" t="s">
        <v>23</v>
      </c>
      <c r="H930">
        <v>77.69</v>
      </c>
      <c r="I930">
        <v>2007.13</v>
      </c>
      <c r="J930" t="s">
        <v>15</v>
      </c>
      <c r="K930" t="str">
        <f t="shared" si="14"/>
        <v>25-48 Months</v>
      </c>
      <c r="L930">
        <f>IF(Table13[[#This Row],[Churn]]="Yes",1,0)</f>
        <v>0</v>
      </c>
    </row>
    <row r="931" spans="1:12" x14ac:dyDescent="0.35">
      <c r="A931" t="s">
        <v>953</v>
      </c>
      <c r="B931" t="s">
        <v>11</v>
      </c>
      <c r="C931">
        <v>46</v>
      </c>
      <c r="D931">
        <v>37</v>
      </c>
      <c r="E931" t="s">
        <v>18</v>
      </c>
      <c r="F931" t="s">
        <v>13</v>
      </c>
      <c r="G931" t="s">
        <v>14</v>
      </c>
      <c r="H931">
        <v>56.71</v>
      </c>
      <c r="I931">
        <v>2246.46</v>
      </c>
      <c r="J931" t="s">
        <v>27</v>
      </c>
      <c r="K931" t="str">
        <f t="shared" si="14"/>
        <v>25-48 Months</v>
      </c>
      <c r="L931">
        <f>IF(Table13[[#This Row],[Churn]]="Yes",1,0)</f>
        <v>1</v>
      </c>
    </row>
    <row r="932" spans="1:12" x14ac:dyDescent="0.35">
      <c r="A932" t="s">
        <v>954</v>
      </c>
      <c r="B932" t="s">
        <v>11</v>
      </c>
      <c r="C932">
        <v>70</v>
      </c>
      <c r="D932">
        <v>54</v>
      </c>
      <c r="E932" t="s">
        <v>12</v>
      </c>
      <c r="F932" t="s">
        <v>33</v>
      </c>
      <c r="G932" t="s">
        <v>23</v>
      </c>
      <c r="H932">
        <v>30.52</v>
      </c>
      <c r="I932">
        <v>1791</v>
      </c>
      <c r="J932" t="s">
        <v>27</v>
      </c>
      <c r="K932" t="str">
        <f t="shared" si="14"/>
        <v>49+ Months</v>
      </c>
      <c r="L932">
        <f>IF(Table13[[#This Row],[Churn]]="Yes",1,0)</f>
        <v>1</v>
      </c>
    </row>
    <row r="933" spans="1:12" x14ac:dyDescent="0.35">
      <c r="A933" t="s">
        <v>955</v>
      </c>
      <c r="B933" t="s">
        <v>17</v>
      </c>
      <c r="C933">
        <v>61</v>
      </c>
      <c r="D933">
        <v>21</v>
      </c>
      <c r="E933" t="s">
        <v>12</v>
      </c>
      <c r="F933" t="s">
        <v>22</v>
      </c>
      <c r="G933" t="s">
        <v>23</v>
      </c>
      <c r="H933">
        <v>133.96</v>
      </c>
      <c r="I933">
        <v>3056.56</v>
      </c>
      <c r="J933" t="s">
        <v>15</v>
      </c>
      <c r="K933" t="str">
        <f t="shared" si="14"/>
        <v>13-24 Months</v>
      </c>
      <c r="L933">
        <f>IF(Table13[[#This Row],[Churn]]="Yes",1,0)</f>
        <v>0</v>
      </c>
    </row>
    <row r="934" spans="1:12" x14ac:dyDescent="0.35">
      <c r="A934" t="s">
        <v>956</v>
      </c>
      <c r="B934" t="s">
        <v>11</v>
      </c>
      <c r="C934">
        <v>33</v>
      </c>
      <c r="D934">
        <v>38</v>
      </c>
      <c r="E934" t="s">
        <v>12</v>
      </c>
      <c r="F934" t="s">
        <v>22</v>
      </c>
      <c r="G934" t="s">
        <v>14</v>
      </c>
      <c r="H934">
        <v>114.75</v>
      </c>
      <c r="I934">
        <v>4033.66</v>
      </c>
      <c r="J934" t="s">
        <v>15</v>
      </c>
      <c r="K934" t="str">
        <f t="shared" si="14"/>
        <v>25-48 Months</v>
      </c>
      <c r="L934">
        <f>IF(Table13[[#This Row],[Churn]]="Yes",1,0)</f>
        <v>0</v>
      </c>
    </row>
    <row r="935" spans="1:12" x14ac:dyDescent="0.35">
      <c r="A935" t="s">
        <v>957</v>
      </c>
      <c r="B935" t="s">
        <v>11</v>
      </c>
      <c r="C935">
        <v>61</v>
      </c>
      <c r="D935">
        <v>46</v>
      </c>
      <c r="E935" t="s">
        <v>21</v>
      </c>
      <c r="F935" t="s">
        <v>29</v>
      </c>
      <c r="G935" t="s">
        <v>23</v>
      </c>
      <c r="H935">
        <v>59.19</v>
      </c>
      <c r="I935">
        <v>2658.51</v>
      </c>
      <c r="J935" t="s">
        <v>15</v>
      </c>
      <c r="K935" t="str">
        <f t="shared" si="14"/>
        <v>25-48 Months</v>
      </c>
      <c r="L935">
        <f>IF(Table13[[#This Row],[Churn]]="Yes",1,0)</f>
        <v>0</v>
      </c>
    </row>
    <row r="936" spans="1:12" x14ac:dyDescent="0.35">
      <c r="A936" t="s">
        <v>958</v>
      </c>
      <c r="B936" t="s">
        <v>17</v>
      </c>
      <c r="C936">
        <v>64</v>
      </c>
      <c r="D936">
        <v>4</v>
      </c>
      <c r="E936" t="s">
        <v>21</v>
      </c>
      <c r="F936" t="s">
        <v>29</v>
      </c>
      <c r="G936" t="s">
        <v>23</v>
      </c>
      <c r="H936">
        <v>97.92</v>
      </c>
      <c r="I936">
        <v>354.72</v>
      </c>
      <c r="J936" t="s">
        <v>15</v>
      </c>
      <c r="K936" t="str">
        <f t="shared" si="14"/>
        <v>0-12 Months</v>
      </c>
      <c r="L936">
        <f>IF(Table13[[#This Row],[Churn]]="Yes",1,0)</f>
        <v>0</v>
      </c>
    </row>
    <row r="937" spans="1:12" x14ac:dyDescent="0.35">
      <c r="A937" t="s">
        <v>959</v>
      </c>
      <c r="B937" t="s">
        <v>11</v>
      </c>
      <c r="C937">
        <v>27</v>
      </c>
      <c r="D937">
        <v>60</v>
      </c>
      <c r="E937" t="s">
        <v>12</v>
      </c>
      <c r="F937" t="s">
        <v>29</v>
      </c>
      <c r="G937" t="s">
        <v>19</v>
      </c>
      <c r="H937">
        <v>46.16</v>
      </c>
      <c r="I937">
        <v>2966.33</v>
      </c>
      <c r="J937" t="s">
        <v>15</v>
      </c>
      <c r="K937" t="str">
        <f t="shared" si="14"/>
        <v>49+ Months</v>
      </c>
      <c r="L937">
        <f>IF(Table13[[#This Row],[Churn]]="Yes",1,0)</f>
        <v>0</v>
      </c>
    </row>
    <row r="938" spans="1:12" x14ac:dyDescent="0.35">
      <c r="A938" t="s">
        <v>960</v>
      </c>
      <c r="B938" t="s">
        <v>17</v>
      </c>
      <c r="C938">
        <v>47</v>
      </c>
      <c r="D938">
        <v>57</v>
      </c>
      <c r="E938" t="s">
        <v>21</v>
      </c>
      <c r="F938" t="s">
        <v>33</v>
      </c>
      <c r="G938" t="s">
        <v>14</v>
      </c>
      <c r="H938">
        <v>135.72999999999999</v>
      </c>
      <c r="I938">
        <v>7518.06</v>
      </c>
      <c r="J938" t="s">
        <v>15</v>
      </c>
      <c r="K938" t="str">
        <f t="shared" si="14"/>
        <v>49+ Months</v>
      </c>
      <c r="L938">
        <f>IF(Table13[[#This Row],[Churn]]="Yes",1,0)</f>
        <v>0</v>
      </c>
    </row>
    <row r="939" spans="1:12" x14ac:dyDescent="0.35">
      <c r="A939" t="s">
        <v>961</v>
      </c>
      <c r="B939" t="s">
        <v>11</v>
      </c>
      <c r="C939">
        <v>42</v>
      </c>
      <c r="D939">
        <v>45</v>
      </c>
      <c r="E939" t="s">
        <v>21</v>
      </c>
      <c r="F939" t="s">
        <v>33</v>
      </c>
      <c r="G939" t="s">
        <v>14</v>
      </c>
      <c r="H939">
        <v>34.94</v>
      </c>
      <c r="I939">
        <v>1613.53</v>
      </c>
      <c r="J939" t="s">
        <v>27</v>
      </c>
      <c r="K939" t="str">
        <f t="shared" si="14"/>
        <v>25-48 Months</v>
      </c>
      <c r="L939">
        <f>IF(Table13[[#This Row],[Churn]]="Yes",1,0)</f>
        <v>1</v>
      </c>
    </row>
    <row r="940" spans="1:12" x14ac:dyDescent="0.35">
      <c r="A940" t="s">
        <v>962</v>
      </c>
      <c r="B940" t="s">
        <v>17</v>
      </c>
      <c r="C940">
        <v>56</v>
      </c>
      <c r="D940">
        <v>20</v>
      </c>
      <c r="E940" t="s">
        <v>18</v>
      </c>
      <c r="F940" t="s">
        <v>13</v>
      </c>
      <c r="G940" t="s">
        <v>23</v>
      </c>
      <c r="H940">
        <v>20.5</v>
      </c>
      <c r="I940">
        <v>427.62</v>
      </c>
      <c r="J940" t="s">
        <v>15</v>
      </c>
      <c r="K940" t="str">
        <f t="shared" si="14"/>
        <v>13-24 Months</v>
      </c>
      <c r="L940">
        <f>IF(Table13[[#This Row],[Churn]]="Yes",1,0)</f>
        <v>0</v>
      </c>
    </row>
    <row r="941" spans="1:12" x14ac:dyDescent="0.35">
      <c r="A941" t="s">
        <v>963</v>
      </c>
      <c r="B941" t="s">
        <v>17</v>
      </c>
      <c r="C941">
        <v>37</v>
      </c>
      <c r="D941">
        <v>17</v>
      </c>
      <c r="E941" t="s">
        <v>18</v>
      </c>
      <c r="F941" t="s">
        <v>29</v>
      </c>
      <c r="G941" t="s">
        <v>14</v>
      </c>
      <c r="H941">
        <v>85.26</v>
      </c>
      <c r="I941">
        <v>1429.08</v>
      </c>
      <c r="J941" t="s">
        <v>15</v>
      </c>
      <c r="K941" t="str">
        <f t="shared" si="14"/>
        <v>13-24 Months</v>
      </c>
      <c r="L941">
        <f>IF(Table13[[#This Row],[Churn]]="Yes",1,0)</f>
        <v>0</v>
      </c>
    </row>
    <row r="942" spans="1:12" x14ac:dyDescent="0.35">
      <c r="A942" t="s">
        <v>964</v>
      </c>
      <c r="B942" t="s">
        <v>17</v>
      </c>
      <c r="C942">
        <v>22</v>
      </c>
      <c r="D942">
        <v>71</v>
      </c>
      <c r="E942" t="s">
        <v>12</v>
      </c>
      <c r="F942" t="s">
        <v>13</v>
      </c>
      <c r="G942" t="s">
        <v>19</v>
      </c>
      <c r="H942">
        <v>95.81</v>
      </c>
      <c r="I942">
        <v>6539.17</v>
      </c>
      <c r="J942" t="s">
        <v>27</v>
      </c>
      <c r="K942" t="str">
        <f t="shared" si="14"/>
        <v>49+ Months</v>
      </c>
      <c r="L942">
        <f>IF(Table13[[#This Row],[Churn]]="Yes",1,0)</f>
        <v>1</v>
      </c>
    </row>
    <row r="943" spans="1:12" x14ac:dyDescent="0.35">
      <c r="A943" t="s">
        <v>965</v>
      </c>
      <c r="B943" t="s">
        <v>11</v>
      </c>
      <c r="C943">
        <v>18</v>
      </c>
      <c r="D943">
        <v>4</v>
      </c>
      <c r="E943" t="s">
        <v>12</v>
      </c>
      <c r="F943" t="s">
        <v>22</v>
      </c>
      <c r="G943" t="s">
        <v>19</v>
      </c>
      <c r="H943">
        <v>95.27</v>
      </c>
      <c r="I943">
        <v>416.31</v>
      </c>
      <c r="J943" t="s">
        <v>15</v>
      </c>
      <c r="K943" t="str">
        <f t="shared" si="14"/>
        <v>0-12 Months</v>
      </c>
      <c r="L943">
        <f>IF(Table13[[#This Row],[Churn]]="Yes",1,0)</f>
        <v>0</v>
      </c>
    </row>
    <row r="944" spans="1:12" x14ac:dyDescent="0.35">
      <c r="A944" t="s">
        <v>966</v>
      </c>
      <c r="B944" t="s">
        <v>17</v>
      </c>
      <c r="C944">
        <v>47</v>
      </c>
      <c r="D944">
        <v>14</v>
      </c>
      <c r="E944" t="s">
        <v>12</v>
      </c>
      <c r="F944" t="s">
        <v>13</v>
      </c>
      <c r="G944" t="s">
        <v>14</v>
      </c>
      <c r="H944">
        <v>27.09</v>
      </c>
      <c r="I944">
        <v>414.49</v>
      </c>
      <c r="J944" t="s">
        <v>15</v>
      </c>
      <c r="K944" t="str">
        <f t="shared" si="14"/>
        <v>13-24 Months</v>
      </c>
      <c r="L944">
        <f>IF(Table13[[#This Row],[Churn]]="Yes",1,0)</f>
        <v>0</v>
      </c>
    </row>
    <row r="945" spans="1:12" x14ac:dyDescent="0.35">
      <c r="A945" t="s">
        <v>967</v>
      </c>
      <c r="B945" t="s">
        <v>11</v>
      </c>
      <c r="C945">
        <v>66</v>
      </c>
      <c r="D945">
        <v>3</v>
      </c>
      <c r="E945" t="s">
        <v>12</v>
      </c>
      <c r="F945" t="s">
        <v>22</v>
      </c>
      <c r="G945" t="s">
        <v>23</v>
      </c>
      <c r="H945">
        <v>60.83</v>
      </c>
      <c r="I945">
        <v>174.8</v>
      </c>
      <c r="J945" t="s">
        <v>15</v>
      </c>
      <c r="K945" t="str">
        <f t="shared" si="14"/>
        <v>0-12 Months</v>
      </c>
      <c r="L945">
        <f>IF(Table13[[#This Row],[Churn]]="Yes",1,0)</f>
        <v>0</v>
      </c>
    </row>
    <row r="946" spans="1:12" x14ac:dyDescent="0.35">
      <c r="A946" t="s">
        <v>968</v>
      </c>
      <c r="B946" t="s">
        <v>11</v>
      </c>
      <c r="C946">
        <v>20</v>
      </c>
      <c r="D946">
        <v>58</v>
      </c>
      <c r="E946" t="s">
        <v>18</v>
      </c>
      <c r="F946" t="s">
        <v>33</v>
      </c>
      <c r="G946" t="s">
        <v>19</v>
      </c>
      <c r="H946">
        <v>84.9</v>
      </c>
      <c r="I946">
        <v>4904.13</v>
      </c>
      <c r="J946" t="s">
        <v>15</v>
      </c>
      <c r="K946" t="str">
        <f t="shared" si="14"/>
        <v>49+ Months</v>
      </c>
      <c r="L946">
        <f>IF(Table13[[#This Row],[Churn]]="Yes",1,0)</f>
        <v>0</v>
      </c>
    </row>
    <row r="947" spans="1:12" x14ac:dyDescent="0.35">
      <c r="A947" t="s">
        <v>969</v>
      </c>
      <c r="B947" t="s">
        <v>11</v>
      </c>
      <c r="C947">
        <v>62</v>
      </c>
      <c r="D947">
        <v>55</v>
      </c>
      <c r="E947" t="s">
        <v>12</v>
      </c>
      <c r="F947" t="s">
        <v>29</v>
      </c>
      <c r="G947" t="s">
        <v>23</v>
      </c>
      <c r="H947">
        <v>48.16</v>
      </c>
      <c r="I947">
        <v>2899.29</v>
      </c>
      <c r="J947" t="s">
        <v>15</v>
      </c>
      <c r="K947" t="str">
        <f t="shared" si="14"/>
        <v>49+ Months</v>
      </c>
      <c r="L947">
        <f>IF(Table13[[#This Row],[Churn]]="Yes",1,0)</f>
        <v>0</v>
      </c>
    </row>
    <row r="948" spans="1:12" x14ac:dyDescent="0.35">
      <c r="A948" t="s">
        <v>970</v>
      </c>
      <c r="B948" t="s">
        <v>11</v>
      </c>
      <c r="C948">
        <v>31</v>
      </c>
      <c r="D948">
        <v>4</v>
      </c>
      <c r="E948" t="s">
        <v>12</v>
      </c>
      <c r="F948" t="s">
        <v>13</v>
      </c>
      <c r="G948" t="s">
        <v>14</v>
      </c>
      <c r="H948">
        <v>133.44</v>
      </c>
      <c r="I948">
        <v>480.9</v>
      </c>
      <c r="J948" t="s">
        <v>27</v>
      </c>
      <c r="K948" t="str">
        <f t="shared" si="14"/>
        <v>0-12 Months</v>
      </c>
      <c r="L948">
        <f>IF(Table13[[#This Row],[Churn]]="Yes",1,0)</f>
        <v>1</v>
      </c>
    </row>
    <row r="949" spans="1:12" x14ac:dyDescent="0.35">
      <c r="A949" t="s">
        <v>971</v>
      </c>
      <c r="B949" t="s">
        <v>17</v>
      </c>
      <c r="C949">
        <v>47</v>
      </c>
      <c r="D949">
        <v>24</v>
      </c>
      <c r="E949" t="s">
        <v>21</v>
      </c>
      <c r="F949" t="s">
        <v>13</v>
      </c>
      <c r="G949" t="s">
        <v>14</v>
      </c>
      <c r="H949">
        <v>31.32</v>
      </c>
      <c r="I949">
        <v>738.55</v>
      </c>
      <c r="J949" t="s">
        <v>15</v>
      </c>
      <c r="K949" t="str">
        <f t="shared" si="14"/>
        <v>13-24 Months</v>
      </c>
      <c r="L949">
        <f>IF(Table13[[#This Row],[Churn]]="Yes",1,0)</f>
        <v>0</v>
      </c>
    </row>
    <row r="950" spans="1:12" x14ac:dyDescent="0.35">
      <c r="A950" t="s">
        <v>972</v>
      </c>
      <c r="B950" t="s">
        <v>17</v>
      </c>
      <c r="C950">
        <v>67</v>
      </c>
      <c r="D950">
        <v>34</v>
      </c>
      <c r="E950" t="s">
        <v>12</v>
      </c>
      <c r="F950" t="s">
        <v>29</v>
      </c>
      <c r="G950" t="s">
        <v>23</v>
      </c>
      <c r="H950">
        <v>83.36</v>
      </c>
      <c r="I950">
        <v>2607.7600000000002</v>
      </c>
      <c r="J950" t="s">
        <v>15</v>
      </c>
      <c r="K950" t="str">
        <f t="shared" si="14"/>
        <v>25-48 Months</v>
      </c>
      <c r="L950">
        <f>IF(Table13[[#This Row],[Churn]]="Yes",1,0)</f>
        <v>0</v>
      </c>
    </row>
    <row r="951" spans="1:12" x14ac:dyDescent="0.35">
      <c r="A951" t="s">
        <v>973</v>
      </c>
      <c r="B951" t="s">
        <v>11</v>
      </c>
      <c r="C951">
        <v>21</v>
      </c>
      <c r="D951">
        <v>30</v>
      </c>
      <c r="E951" t="s">
        <v>12</v>
      </c>
      <c r="F951" t="s">
        <v>29</v>
      </c>
      <c r="G951" t="s">
        <v>19</v>
      </c>
      <c r="H951">
        <v>109.88</v>
      </c>
      <c r="I951">
        <v>3302.44</v>
      </c>
      <c r="J951" t="s">
        <v>15</v>
      </c>
      <c r="K951" t="str">
        <f t="shared" si="14"/>
        <v>25-48 Months</v>
      </c>
      <c r="L951">
        <f>IF(Table13[[#This Row],[Churn]]="Yes",1,0)</f>
        <v>0</v>
      </c>
    </row>
    <row r="952" spans="1:12" x14ac:dyDescent="0.35">
      <c r="A952" t="s">
        <v>974</v>
      </c>
      <c r="B952" t="s">
        <v>11</v>
      </c>
      <c r="C952">
        <v>35</v>
      </c>
      <c r="D952">
        <v>19</v>
      </c>
      <c r="E952" t="s">
        <v>12</v>
      </c>
      <c r="F952" t="s">
        <v>29</v>
      </c>
      <c r="G952" t="s">
        <v>14</v>
      </c>
      <c r="H952">
        <v>54.03</v>
      </c>
      <c r="I952">
        <v>928.98</v>
      </c>
      <c r="J952" t="s">
        <v>15</v>
      </c>
      <c r="K952" t="str">
        <f t="shared" si="14"/>
        <v>13-24 Months</v>
      </c>
      <c r="L952">
        <f>IF(Table13[[#This Row],[Churn]]="Yes",1,0)</f>
        <v>0</v>
      </c>
    </row>
    <row r="953" spans="1:12" x14ac:dyDescent="0.35">
      <c r="A953" t="s">
        <v>975</v>
      </c>
      <c r="B953" t="s">
        <v>17</v>
      </c>
      <c r="C953">
        <v>54</v>
      </c>
      <c r="D953">
        <v>31</v>
      </c>
      <c r="E953" t="s">
        <v>12</v>
      </c>
      <c r="F953" t="s">
        <v>33</v>
      </c>
      <c r="G953" t="s">
        <v>23</v>
      </c>
      <c r="H953">
        <v>101.15</v>
      </c>
      <c r="I953">
        <v>3077.26</v>
      </c>
      <c r="J953" t="s">
        <v>27</v>
      </c>
      <c r="K953" t="str">
        <f t="shared" si="14"/>
        <v>25-48 Months</v>
      </c>
      <c r="L953">
        <f>IF(Table13[[#This Row],[Churn]]="Yes",1,0)</f>
        <v>1</v>
      </c>
    </row>
    <row r="954" spans="1:12" x14ac:dyDescent="0.35">
      <c r="A954" t="s">
        <v>976</v>
      </c>
      <c r="B954" t="s">
        <v>11</v>
      </c>
      <c r="C954">
        <v>42</v>
      </c>
      <c r="D954">
        <v>60</v>
      </c>
      <c r="E954" t="s">
        <v>21</v>
      </c>
      <c r="F954" t="s">
        <v>13</v>
      </c>
      <c r="G954" t="s">
        <v>14</v>
      </c>
      <c r="H954">
        <v>127.82</v>
      </c>
      <c r="I954">
        <v>7240.8</v>
      </c>
      <c r="J954" t="s">
        <v>27</v>
      </c>
      <c r="K954" t="str">
        <f t="shared" si="14"/>
        <v>49+ Months</v>
      </c>
      <c r="L954">
        <f>IF(Table13[[#This Row],[Churn]]="Yes",1,0)</f>
        <v>1</v>
      </c>
    </row>
    <row r="955" spans="1:12" x14ac:dyDescent="0.35">
      <c r="A955" t="s">
        <v>977</v>
      </c>
      <c r="B955" t="s">
        <v>17</v>
      </c>
      <c r="C955">
        <v>65</v>
      </c>
      <c r="D955">
        <v>60</v>
      </c>
      <c r="E955" t="s">
        <v>12</v>
      </c>
      <c r="F955" t="s">
        <v>13</v>
      </c>
      <c r="G955" t="s">
        <v>23</v>
      </c>
      <c r="H955">
        <v>44.74</v>
      </c>
      <c r="I955">
        <v>2702.28</v>
      </c>
      <c r="J955" t="s">
        <v>15</v>
      </c>
      <c r="K955" t="str">
        <f t="shared" si="14"/>
        <v>49+ Months</v>
      </c>
      <c r="L955">
        <f>IF(Table13[[#This Row],[Churn]]="Yes",1,0)</f>
        <v>0</v>
      </c>
    </row>
    <row r="956" spans="1:12" x14ac:dyDescent="0.35">
      <c r="A956" t="s">
        <v>978</v>
      </c>
      <c r="B956" t="s">
        <v>11</v>
      </c>
      <c r="C956">
        <v>18</v>
      </c>
      <c r="D956">
        <v>19</v>
      </c>
      <c r="E956" t="s">
        <v>12</v>
      </c>
      <c r="F956" t="s">
        <v>33</v>
      </c>
      <c r="G956" t="s">
        <v>19</v>
      </c>
      <c r="H956">
        <v>139.24</v>
      </c>
      <c r="I956">
        <v>2908</v>
      </c>
      <c r="J956" t="s">
        <v>27</v>
      </c>
      <c r="K956" t="str">
        <f t="shared" si="14"/>
        <v>13-24 Months</v>
      </c>
      <c r="L956">
        <f>IF(Table13[[#This Row],[Churn]]="Yes",1,0)</f>
        <v>1</v>
      </c>
    </row>
    <row r="957" spans="1:12" x14ac:dyDescent="0.35">
      <c r="A957" t="s">
        <v>979</v>
      </c>
      <c r="B957" t="s">
        <v>11</v>
      </c>
      <c r="C957">
        <v>70</v>
      </c>
      <c r="D957">
        <v>49</v>
      </c>
      <c r="E957" t="s">
        <v>12</v>
      </c>
      <c r="F957" t="s">
        <v>22</v>
      </c>
      <c r="G957" t="s">
        <v>23</v>
      </c>
      <c r="H957">
        <v>91.96</v>
      </c>
      <c r="I957">
        <v>4776.8900000000003</v>
      </c>
      <c r="J957" t="s">
        <v>15</v>
      </c>
      <c r="K957" t="str">
        <f t="shared" si="14"/>
        <v>49+ Months</v>
      </c>
      <c r="L957">
        <f>IF(Table13[[#This Row],[Churn]]="Yes",1,0)</f>
        <v>0</v>
      </c>
    </row>
    <row r="958" spans="1:12" x14ac:dyDescent="0.35">
      <c r="A958" t="s">
        <v>980</v>
      </c>
      <c r="B958" t="s">
        <v>17</v>
      </c>
      <c r="C958">
        <v>63</v>
      </c>
      <c r="D958">
        <v>63</v>
      </c>
      <c r="E958" t="s">
        <v>12</v>
      </c>
      <c r="F958" t="s">
        <v>29</v>
      </c>
      <c r="G958" t="s">
        <v>23</v>
      </c>
      <c r="H958">
        <v>58.9</v>
      </c>
      <c r="I958">
        <v>3967.21</v>
      </c>
      <c r="J958" t="s">
        <v>15</v>
      </c>
      <c r="K958" t="str">
        <f t="shared" si="14"/>
        <v>49+ Months</v>
      </c>
      <c r="L958">
        <f>IF(Table13[[#This Row],[Churn]]="Yes",1,0)</f>
        <v>0</v>
      </c>
    </row>
    <row r="959" spans="1:12" x14ac:dyDescent="0.35">
      <c r="A959" t="s">
        <v>981</v>
      </c>
      <c r="B959" t="s">
        <v>11</v>
      </c>
      <c r="C959">
        <v>32</v>
      </c>
      <c r="D959">
        <v>22</v>
      </c>
      <c r="E959" t="s">
        <v>21</v>
      </c>
      <c r="F959" t="s">
        <v>13</v>
      </c>
      <c r="G959" t="s">
        <v>14</v>
      </c>
      <c r="H959">
        <v>76.010000000000005</v>
      </c>
      <c r="I959">
        <v>1717.46</v>
      </c>
      <c r="J959" t="s">
        <v>15</v>
      </c>
      <c r="K959" t="str">
        <f t="shared" si="14"/>
        <v>13-24 Months</v>
      </c>
      <c r="L959">
        <f>IF(Table13[[#This Row],[Churn]]="Yes",1,0)</f>
        <v>0</v>
      </c>
    </row>
    <row r="960" spans="1:12" x14ac:dyDescent="0.35">
      <c r="A960" t="s">
        <v>982</v>
      </c>
      <c r="B960" t="s">
        <v>17</v>
      </c>
      <c r="C960">
        <v>26</v>
      </c>
      <c r="D960">
        <v>24</v>
      </c>
      <c r="E960" t="s">
        <v>12</v>
      </c>
      <c r="F960" t="s">
        <v>13</v>
      </c>
      <c r="G960" t="s">
        <v>19</v>
      </c>
      <c r="H960">
        <v>60.58</v>
      </c>
      <c r="I960">
        <v>1320.61</v>
      </c>
      <c r="J960" t="s">
        <v>15</v>
      </c>
      <c r="K960" t="str">
        <f t="shared" si="14"/>
        <v>13-24 Months</v>
      </c>
      <c r="L960">
        <f>IF(Table13[[#This Row],[Churn]]="Yes",1,0)</f>
        <v>0</v>
      </c>
    </row>
    <row r="961" spans="1:12" x14ac:dyDescent="0.35">
      <c r="A961" t="s">
        <v>983</v>
      </c>
      <c r="B961" t="s">
        <v>11</v>
      </c>
      <c r="C961">
        <v>32</v>
      </c>
      <c r="D961">
        <v>30</v>
      </c>
      <c r="E961" t="s">
        <v>12</v>
      </c>
      <c r="F961" t="s">
        <v>22</v>
      </c>
      <c r="G961" t="s">
        <v>14</v>
      </c>
      <c r="H961">
        <v>114.26</v>
      </c>
      <c r="I961">
        <v>3226.79</v>
      </c>
      <c r="J961" t="s">
        <v>15</v>
      </c>
      <c r="K961" t="str">
        <f t="shared" si="14"/>
        <v>25-48 Months</v>
      </c>
      <c r="L961">
        <f>IF(Table13[[#This Row],[Churn]]="Yes",1,0)</f>
        <v>0</v>
      </c>
    </row>
    <row r="962" spans="1:12" x14ac:dyDescent="0.35">
      <c r="A962" t="s">
        <v>984</v>
      </c>
      <c r="B962" t="s">
        <v>11</v>
      </c>
      <c r="C962">
        <v>66</v>
      </c>
      <c r="D962">
        <v>58</v>
      </c>
      <c r="E962" t="s">
        <v>18</v>
      </c>
      <c r="F962" t="s">
        <v>22</v>
      </c>
      <c r="G962" t="s">
        <v>23</v>
      </c>
      <c r="H962">
        <v>123.52</v>
      </c>
      <c r="I962">
        <v>7773.21</v>
      </c>
      <c r="J962" t="s">
        <v>15</v>
      </c>
      <c r="K962" t="str">
        <f t="shared" ref="K962:K1006" si="15">IF(D962&lt;=12,"0-12 Months",IF(D962&lt;=24,"13-24 Months",IF(D962&lt;=48,"25-48 Months","49+ Months")))</f>
        <v>49+ Months</v>
      </c>
      <c r="L962">
        <f>IF(Table13[[#This Row],[Churn]]="Yes",1,0)</f>
        <v>0</v>
      </c>
    </row>
    <row r="963" spans="1:12" x14ac:dyDescent="0.35">
      <c r="A963" t="s">
        <v>985</v>
      </c>
      <c r="B963" t="s">
        <v>11</v>
      </c>
      <c r="C963">
        <v>41</v>
      </c>
      <c r="D963">
        <v>31</v>
      </c>
      <c r="E963" t="s">
        <v>21</v>
      </c>
      <c r="F963" t="s">
        <v>22</v>
      </c>
      <c r="G963" t="s">
        <v>14</v>
      </c>
      <c r="H963">
        <v>128.28</v>
      </c>
      <c r="I963">
        <v>3870.19</v>
      </c>
      <c r="J963" t="s">
        <v>27</v>
      </c>
      <c r="K963" t="str">
        <f t="shared" si="15"/>
        <v>25-48 Months</v>
      </c>
      <c r="L963">
        <f>IF(Table13[[#This Row],[Churn]]="Yes",1,0)</f>
        <v>1</v>
      </c>
    </row>
    <row r="964" spans="1:12" x14ac:dyDescent="0.35">
      <c r="A964" t="s">
        <v>986</v>
      </c>
      <c r="B964" t="s">
        <v>17</v>
      </c>
      <c r="C964">
        <v>21</v>
      </c>
      <c r="D964">
        <v>64</v>
      </c>
      <c r="E964" t="s">
        <v>12</v>
      </c>
      <c r="F964" t="s">
        <v>29</v>
      </c>
      <c r="G964" t="s">
        <v>19</v>
      </c>
      <c r="H964">
        <v>148.15</v>
      </c>
      <c r="I964">
        <v>8729.9699999999993</v>
      </c>
      <c r="J964" t="s">
        <v>27</v>
      </c>
      <c r="K964" t="str">
        <f t="shared" si="15"/>
        <v>49+ Months</v>
      </c>
      <c r="L964">
        <f>IF(Table13[[#This Row],[Churn]]="Yes",1,0)</f>
        <v>1</v>
      </c>
    </row>
    <row r="965" spans="1:12" x14ac:dyDescent="0.35">
      <c r="A965" t="s">
        <v>987</v>
      </c>
      <c r="B965" t="s">
        <v>11</v>
      </c>
      <c r="C965">
        <v>29</v>
      </c>
      <c r="D965">
        <v>19</v>
      </c>
      <c r="E965" t="s">
        <v>21</v>
      </c>
      <c r="F965" t="s">
        <v>33</v>
      </c>
      <c r="G965" t="s">
        <v>19</v>
      </c>
      <c r="H965">
        <v>122.87</v>
      </c>
      <c r="I965">
        <v>2429.0300000000002</v>
      </c>
      <c r="J965" t="s">
        <v>15</v>
      </c>
      <c r="K965" t="str">
        <f t="shared" si="15"/>
        <v>13-24 Months</v>
      </c>
      <c r="L965">
        <f>IF(Table13[[#This Row],[Churn]]="Yes",1,0)</f>
        <v>0</v>
      </c>
    </row>
    <row r="966" spans="1:12" x14ac:dyDescent="0.35">
      <c r="A966" t="s">
        <v>988</v>
      </c>
      <c r="B966" t="s">
        <v>11</v>
      </c>
      <c r="C966">
        <v>54</v>
      </c>
      <c r="D966">
        <v>48</v>
      </c>
      <c r="E966" t="s">
        <v>21</v>
      </c>
      <c r="F966" t="s">
        <v>29</v>
      </c>
      <c r="G966" t="s">
        <v>23</v>
      </c>
      <c r="H966">
        <v>98.18</v>
      </c>
      <c r="I966">
        <v>4523.62</v>
      </c>
      <c r="J966" t="s">
        <v>15</v>
      </c>
      <c r="K966" t="str">
        <f t="shared" si="15"/>
        <v>25-48 Months</v>
      </c>
      <c r="L966">
        <f>IF(Table13[[#This Row],[Churn]]="Yes",1,0)</f>
        <v>0</v>
      </c>
    </row>
    <row r="967" spans="1:12" x14ac:dyDescent="0.35">
      <c r="A967" t="s">
        <v>989</v>
      </c>
      <c r="B967" t="s">
        <v>11</v>
      </c>
      <c r="C967">
        <v>54</v>
      </c>
      <c r="D967">
        <v>45</v>
      </c>
      <c r="E967" t="s">
        <v>21</v>
      </c>
      <c r="F967" t="s">
        <v>29</v>
      </c>
      <c r="G967" t="s">
        <v>23</v>
      </c>
      <c r="H967">
        <v>64.099999999999994</v>
      </c>
      <c r="I967">
        <v>2751.15</v>
      </c>
      <c r="J967" t="s">
        <v>27</v>
      </c>
      <c r="K967" t="str">
        <f t="shared" si="15"/>
        <v>25-48 Months</v>
      </c>
      <c r="L967">
        <f>IF(Table13[[#This Row],[Churn]]="Yes",1,0)</f>
        <v>1</v>
      </c>
    </row>
    <row r="968" spans="1:12" x14ac:dyDescent="0.35">
      <c r="A968" t="s">
        <v>990</v>
      </c>
      <c r="B968" t="s">
        <v>11</v>
      </c>
      <c r="C968">
        <v>60</v>
      </c>
      <c r="D968">
        <v>55</v>
      </c>
      <c r="E968" t="s">
        <v>12</v>
      </c>
      <c r="F968" t="s">
        <v>29</v>
      </c>
      <c r="G968" t="s">
        <v>23</v>
      </c>
      <c r="H968">
        <v>90.8</v>
      </c>
      <c r="I968">
        <v>5491.38</v>
      </c>
      <c r="J968" t="s">
        <v>15</v>
      </c>
      <c r="K968" t="str">
        <f t="shared" si="15"/>
        <v>49+ Months</v>
      </c>
      <c r="L968">
        <f>IF(Table13[[#This Row],[Churn]]="Yes",1,0)</f>
        <v>0</v>
      </c>
    </row>
    <row r="969" spans="1:12" x14ac:dyDescent="0.35">
      <c r="A969" t="s">
        <v>991</v>
      </c>
      <c r="B969" t="s">
        <v>17</v>
      </c>
      <c r="C969">
        <v>23</v>
      </c>
      <c r="D969">
        <v>55</v>
      </c>
      <c r="E969" t="s">
        <v>18</v>
      </c>
      <c r="F969" t="s">
        <v>29</v>
      </c>
      <c r="G969" t="s">
        <v>19</v>
      </c>
      <c r="H969">
        <v>25.34</v>
      </c>
      <c r="I969">
        <v>1493.53</v>
      </c>
      <c r="J969" t="s">
        <v>15</v>
      </c>
      <c r="K969" t="str">
        <f t="shared" si="15"/>
        <v>49+ Months</v>
      </c>
      <c r="L969">
        <f>IF(Table13[[#This Row],[Churn]]="Yes",1,0)</f>
        <v>0</v>
      </c>
    </row>
    <row r="970" spans="1:12" x14ac:dyDescent="0.35">
      <c r="A970" t="s">
        <v>992</v>
      </c>
      <c r="B970" t="s">
        <v>17</v>
      </c>
      <c r="C970">
        <v>56</v>
      </c>
      <c r="D970">
        <v>18</v>
      </c>
      <c r="E970" t="s">
        <v>12</v>
      </c>
      <c r="F970" t="s">
        <v>29</v>
      </c>
      <c r="G970" t="s">
        <v>23</v>
      </c>
      <c r="H970">
        <v>116.83</v>
      </c>
      <c r="I970">
        <v>2064.2199999999998</v>
      </c>
      <c r="J970" t="s">
        <v>15</v>
      </c>
      <c r="K970" t="str">
        <f t="shared" si="15"/>
        <v>13-24 Months</v>
      </c>
      <c r="L970">
        <f>IF(Table13[[#This Row],[Churn]]="Yes",1,0)</f>
        <v>0</v>
      </c>
    </row>
    <row r="971" spans="1:12" x14ac:dyDescent="0.35">
      <c r="A971" t="s">
        <v>993</v>
      </c>
      <c r="B971" t="s">
        <v>11</v>
      </c>
      <c r="C971">
        <v>63</v>
      </c>
      <c r="D971">
        <v>63</v>
      </c>
      <c r="E971" t="s">
        <v>12</v>
      </c>
      <c r="F971" t="s">
        <v>33</v>
      </c>
      <c r="G971" t="s">
        <v>23</v>
      </c>
      <c r="H971">
        <v>77.97</v>
      </c>
      <c r="I971">
        <v>5383.93</v>
      </c>
      <c r="J971" t="s">
        <v>27</v>
      </c>
      <c r="K971" t="str">
        <f t="shared" si="15"/>
        <v>49+ Months</v>
      </c>
      <c r="L971">
        <f>IF(Table13[[#This Row],[Churn]]="Yes",1,0)</f>
        <v>1</v>
      </c>
    </row>
    <row r="972" spans="1:12" x14ac:dyDescent="0.35">
      <c r="A972" t="s">
        <v>994</v>
      </c>
      <c r="B972" t="s">
        <v>17</v>
      </c>
      <c r="C972">
        <v>41</v>
      </c>
      <c r="D972">
        <v>47</v>
      </c>
      <c r="E972" t="s">
        <v>12</v>
      </c>
      <c r="F972" t="s">
        <v>33</v>
      </c>
      <c r="G972" t="s">
        <v>14</v>
      </c>
      <c r="H972">
        <v>22.6</v>
      </c>
      <c r="I972">
        <v>1094.0899999999999</v>
      </c>
      <c r="J972" t="s">
        <v>15</v>
      </c>
      <c r="K972" t="str">
        <f t="shared" si="15"/>
        <v>25-48 Months</v>
      </c>
      <c r="L972">
        <f>IF(Table13[[#This Row],[Churn]]="Yes",1,0)</f>
        <v>0</v>
      </c>
    </row>
    <row r="973" spans="1:12" x14ac:dyDescent="0.35">
      <c r="A973" t="s">
        <v>995</v>
      </c>
      <c r="B973" t="s">
        <v>11</v>
      </c>
      <c r="C973">
        <v>28</v>
      </c>
      <c r="D973">
        <v>57</v>
      </c>
      <c r="E973" t="s">
        <v>12</v>
      </c>
      <c r="F973" t="s">
        <v>29</v>
      </c>
      <c r="G973" t="s">
        <v>19</v>
      </c>
      <c r="H973">
        <v>28.13</v>
      </c>
      <c r="I973">
        <v>1681.02</v>
      </c>
      <c r="J973" t="s">
        <v>27</v>
      </c>
      <c r="K973" t="str">
        <f t="shared" si="15"/>
        <v>49+ Months</v>
      </c>
      <c r="L973">
        <f>IF(Table13[[#This Row],[Churn]]="Yes",1,0)</f>
        <v>1</v>
      </c>
    </row>
    <row r="974" spans="1:12" x14ac:dyDescent="0.35">
      <c r="A974" t="s">
        <v>996</v>
      </c>
      <c r="B974" t="s">
        <v>11</v>
      </c>
      <c r="C974">
        <v>30</v>
      </c>
      <c r="D974">
        <v>45</v>
      </c>
      <c r="E974" t="s">
        <v>18</v>
      </c>
      <c r="F974" t="s">
        <v>29</v>
      </c>
      <c r="G974" t="s">
        <v>14</v>
      </c>
      <c r="H974">
        <v>70.37</v>
      </c>
      <c r="I974">
        <v>2869.94</v>
      </c>
      <c r="J974" t="s">
        <v>15</v>
      </c>
      <c r="K974" t="str">
        <f t="shared" si="15"/>
        <v>25-48 Months</v>
      </c>
      <c r="L974">
        <f>IF(Table13[[#This Row],[Churn]]="Yes",1,0)</f>
        <v>0</v>
      </c>
    </row>
    <row r="975" spans="1:12" x14ac:dyDescent="0.35">
      <c r="A975" t="s">
        <v>997</v>
      </c>
      <c r="B975" t="s">
        <v>11</v>
      </c>
      <c r="C975">
        <v>51</v>
      </c>
      <c r="D975">
        <v>33</v>
      </c>
      <c r="E975" t="s">
        <v>12</v>
      </c>
      <c r="F975" t="s">
        <v>29</v>
      </c>
      <c r="G975" t="s">
        <v>23</v>
      </c>
      <c r="H975">
        <v>95.84</v>
      </c>
      <c r="I975">
        <v>2923.37</v>
      </c>
      <c r="J975" t="s">
        <v>15</v>
      </c>
      <c r="K975" t="str">
        <f t="shared" si="15"/>
        <v>25-48 Months</v>
      </c>
      <c r="L975">
        <f>IF(Table13[[#This Row],[Churn]]="Yes",1,0)</f>
        <v>0</v>
      </c>
    </row>
    <row r="976" spans="1:12" x14ac:dyDescent="0.35">
      <c r="A976" t="s">
        <v>998</v>
      </c>
      <c r="B976" t="s">
        <v>17</v>
      </c>
      <c r="C976">
        <v>42</v>
      </c>
      <c r="D976">
        <v>17</v>
      </c>
      <c r="E976" t="s">
        <v>12</v>
      </c>
      <c r="F976" t="s">
        <v>29</v>
      </c>
      <c r="G976" t="s">
        <v>14</v>
      </c>
      <c r="H976">
        <v>80.349999999999994</v>
      </c>
      <c r="I976">
        <v>1402.31</v>
      </c>
      <c r="J976" t="s">
        <v>15</v>
      </c>
      <c r="K976" t="str">
        <f t="shared" si="15"/>
        <v>13-24 Months</v>
      </c>
      <c r="L976">
        <f>IF(Table13[[#This Row],[Churn]]="Yes",1,0)</f>
        <v>0</v>
      </c>
    </row>
    <row r="977" spans="1:12" x14ac:dyDescent="0.35">
      <c r="A977" t="s">
        <v>999</v>
      </c>
      <c r="B977" t="s">
        <v>17</v>
      </c>
      <c r="C977">
        <v>24</v>
      </c>
      <c r="D977">
        <v>70</v>
      </c>
      <c r="E977" t="s">
        <v>18</v>
      </c>
      <c r="F977" t="s">
        <v>29</v>
      </c>
      <c r="G977" t="s">
        <v>19</v>
      </c>
      <c r="H977">
        <v>100.5</v>
      </c>
      <c r="I977">
        <v>7596.43</v>
      </c>
      <c r="J977" t="s">
        <v>15</v>
      </c>
      <c r="K977" t="str">
        <f t="shared" si="15"/>
        <v>49+ Months</v>
      </c>
      <c r="L977">
        <f>IF(Table13[[#This Row],[Churn]]="Yes",1,0)</f>
        <v>0</v>
      </c>
    </row>
    <row r="978" spans="1:12" x14ac:dyDescent="0.35">
      <c r="A978" t="s">
        <v>1000</v>
      </c>
      <c r="B978" t="s">
        <v>17</v>
      </c>
      <c r="C978">
        <v>69</v>
      </c>
      <c r="D978">
        <v>4</v>
      </c>
      <c r="E978" t="s">
        <v>12</v>
      </c>
      <c r="F978" t="s">
        <v>33</v>
      </c>
      <c r="G978" t="s">
        <v>23</v>
      </c>
      <c r="H978">
        <v>82.44</v>
      </c>
      <c r="I978">
        <v>337.92</v>
      </c>
      <c r="J978" t="s">
        <v>27</v>
      </c>
      <c r="K978" t="str">
        <f t="shared" si="15"/>
        <v>0-12 Months</v>
      </c>
      <c r="L978">
        <f>IF(Table13[[#This Row],[Churn]]="Yes",1,0)</f>
        <v>1</v>
      </c>
    </row>
    <row r="979" spans="1:12" x14ac:dyDescent="0.35">
      <c r="A979" t="s">
        <v>1001</v>
      </c>
      <c r="B979" t="s">
        <v>17</v>
      </c>
      <c r="C979">
        <v>21</v>
      </c>
      <c r="D979">
        <v>20</v>
      </c>
      <c r="E979" t="s">
        <v>12</v>
      </c>
      <c r="F979" t="s">
        <v>29</v>
      </c>
      <c r="G979" t="s">
        <v>19</v>
      </c>
      <c r="H979">
        <v>106.02</v>
      </c>
      <c r="I979">
        <v>1965.2</v>
      </c>
      <c r="J979" t="s">
        <v>27</v>
      </c>
      <c r="K979" t="str">
        <f t="shared" si="15"/>
        <v>13-24 Months</v>
      </c>
      <c r="L979">
        <f>IF(Table13[[#This Row],[Churn]]="Yes",1,0)</f>
        <v>1</v>
      </c>
    </row>
    <row r="980" spans="1:12" x14ac:dyDescent="0.35">
      <c r="A980" t="s">
        <v>1002</v>
      </c>
      <c r="B980" t="s">
        <v>17</v>
      </c>
      <c r="C980">
        <v>25</v>
      </c>
      <c r="D980">
        <v>47</v>
      </c>
      <c r="E980" t="s">
        <v>12</v>
      </c>
      <c r="F980" t="s">
        <v>13</v>
      </c>
      <c r="G980" t="s">
        <v>19</v>
      </c>
      <c r="H980">
        <v>48.49</v>
      </c>
      <c r="I980">
        <v>2103.89</v>
      </c>
      <c r="J980" t="s">
        <v>15</v>
      </c>
      <c r="K980" t="str">
        <f t="shared" si="15"/>
        <v>25-48 Months</v>
      </c>
      <c r="L980">
        <f>IF(Table13[[#This Row],[Churn]]="Yes",1,0)</f>
        <v>0</v>
      </c>
    </row>
    <row r="981" spans="1:12" x14ac:dyDescent="0.35">
      <c r="A981" t="s">
        <v>1003</v>
      </c>
      <c r="B981" t="s">
        <v>17</v>
      </c>
      <c r="C981">
        <v>37</v>
      </c>
      <c r="D981">
        <v>15</v>
      </c>
      <c r="E981" t="s">
        <v>12</v>
      </c>
      <c r="F981" t="s">
        <v>29</v>
      </c>
      <c r="G981" t="s">
        <v>14</v>
      </c>
      <c r="H981">
        <v>34.67</v>
      </c>
      <c r="I981">
        <v>555.85</v>
      </c>
      <c r="J981" t="s">
        <v>27</v>
      </c>
      <c r="K981" t="str">
        <f t="shared" si="15"/>
        <v>13-24 Months</v>
      </c>
      <c r="L981">
        <f>IF(Table13[[#This Row],[Churn]]="Yes",1,0)</f>
        <v>1</v>
      </c>
    </row>
    <row r="982" spans="1:12" x14ac:dyDescent="0.35">
      <c r="A982" t="s">
        <v>1004</v>
      </c>
      <c r="B982" t="s">
        <v>17</v>
      </c>
      <c r="C982">
        <v>46</v>
      </c>
      <c r="D982">
        <v>70</v>
      </c>
      <c r="E982" t="s">
        <v>12</v>
      </c>
      <c r="F982" t="s">
        <v>33</v>
      </c>
      <c r="G982" t="s">
        <v>14</v>
      </c>
      <c r="H982">
        <v>97.54</v>
      </c>
      <c r="I982">
        <v>6335.25</v>
      </c>
      <c r="J982" t="s">
        <v>15</v>
      </c>
      <c r="K982" t="str">
        <f t="shared" si="15"/>
        <v>49+ Months</v>
      </c>
      <c r="L982">
        <f>IF(Table13[[#This Row],[Churn]]="Yes",1,0)</f>
        <v>0</v>
      </c>
    </row>
    <row r="983" spans="1:12" x14ac:dyDescent="0.35">
      <c r="A983" t="s">
        <v>1005</v>
      </c>
      <c r="B983" t="s">
        <v>17</v>
      </c>
      <c r="C983">
        <v>70</v>
      </c>
      <c r="D983">
        <v>47</v>
      </c>
      <c r="E983" t="s">
        <v>21</v>
      </c>
      <c r="F983" t="s">
        <v>22</v>
      </c>
      <c r="G983" t="s">
        <v>23</v>
      </c>
      <c r="H983">
        <v>83.01</v>
      </c>
      <c r="I983">
        <v>3917.26</v>
      </c>
      <c r="J983" t="s">
        <v>15</v>
      </c>
      <c r="K983" t="str">
        <f t="shared" si="15"/>
        <v>25-48 Months</v>
      </c>
      <c r="L983">
        <f>IF(Table13[[#This Row],[Churn]]="Yes",1,0)</f>
        <v>0</v>
      </c>
    </row>
    <row r="984" spans="1:12" x14ac:dyDescent="0.35">
      <c r="A984" t="s">
        <v>1006</v>
      </c>
      <c r="B984" t="s">
        <v>17</v>
      </c>
      <c r="C984">
        <v>68</v>
      </c>
      <c r="D984">
        <v>9</v>
      </c>
      <c r="E984" t="s">
        <v>12</v>
      </c>
      <c r="F984" t="s">
        <v>33</v>
      </c>
      <c r="G984" t="s">
        <v>23</v>
      </c>
      <c r="H984">
        <v>23.49</v>
      </c>
      <c r="I984">
        <v>191.84</v>
      </c>
      <c r="J984" t="s">
        <v>15</v>
      </c>
      <c r="K984" t="str">
        <f t="shared" si="15"/>
        <v>0-12 Months</v>
      </c>
      <c r="L984">
        <f>IF(Table13[[#This Row],[Churn]]="Yes",1,0)</f>
        <v>0</v>
      </c>
    </row>
    <row r="985" spans="1:12" x14ac:dyDescent="0.35">
      <c r="A985" t="s">
        <v>1007</v>
      </c>
      <c r="B985" t="s">
        <v>11</v>
      </c>
      <c r="C985">
        <v>62</v>
      </c>
      <c r="D985">
        <v>16</v>
      </c>
      <c r="E985" t="s">
        <v>12</v>
      </c>
      <c r="F985" t="s">
        <v>22</v>
      </c>
      <c r="G985" t="s">
        <v>23</v>
      </c>
      <c r="H985">
        <v>69.459999999999994</v>
      </c>
      <c r="I985">
        <v>1018.15</v>
      </c>
      <c r="J985" t="s">
        <v>15</v>
      </c>
      <c r="K985" t="str">
        <f t="shared" si="15"/>
        <v>13-24 Months</v>
      </c>
      <c r="L985">
        <f>IF(Table13[[#This Row],[Churn]]="Yes",1,0)</f>
        <v>0</v>
      </c>
    </row>
    <row r="986" spans="1:12" x14ac:dyDescent="0.35">
      <c r="A986" t="s">
        <v>1008</v>
      </c>
      <c r="B986" t="s">
        <v>17</v>
      </c>
      <c r="C986">
        <v>63</v>
      </c>
      <c r="D986">
        <v>69</v>
      </c>
      <c r="E986" t="s">
        <v>21</v>
      </c>
      <c r="F986" t="s">
        <v>29</v>
      </c>
      <c r="G986" t="s">
        <v>23</v>
      </c>
      <c r="H986">
        <v>33.799999999999997</v>
      </c>
      <c r="I986">
        <v>2412.59</v>
      </c>
      <c r="J986" t="s">
        <v>15</v>
      </c>
      <c r="K986" t="str">
        <f t="shared" si="15"/>
        <v>49+ Months</v>
      </c>
      <c r="L986">
        <f>IF(Table13[[#This Row],[Churn]]="Yes",1,0)</f>
        <v>0</v>
      </c>
    </row>
    <row r="987" spans="1:12" x14ac:dyDescent="0.35">
      <c r="A987" t="s">
        <v>1009</v>
      </c>
      <c r="B987" t="s">
        <v>17</v>
      </c>
      <c r="C987">
        <v>27</v>
      </c>
      <c r="D987">
        <v>61</v>
      </c>
      <c r="E987" t="s">
        <v>21</v>
      </c>
      <c r="F987" t="s">
        <v>29</v>
      </c>
      <c r="G987" t="s">
        <v>19</v>
      </c>
      <c r="H987">
        <v>89.08</v>
      </c>
      <c r="I987">
        <v>5639.48</v>
      </c>
      <c r="J987" t="s">
        <v>15</v>
      </c>
      <c r="K987" t="str">
        <f t="shared" si="15"/>
        <v>49+ Months</v>
      </c>
      <c r="L987">
        <f>IF(Table13[[#This Row],[Churn]]="Yes",1,0)</f>
        <v>0</v>
      </c>
    </row>
    <row r="988" spans="1:12" x14ac:dyDescent="0.35">
      <c r="A988" t="s">
        <v>1010</v>
      </c>
      <c r="B988" t="s">
        <v>17</v>
      </c>
      <c r="C988">
        <v>60</v>
      </c>
      <c r="D988">
        <v>10</v>
      </c>
      <c r="E988" t="s">
        <v>12</v>
      </c>
      <c r="F988" t="s">
        <v>22</v>
      </c>
      <c r="G988" t="s">
        <v>23</v>
      </c>
      <c r="H988">
        <v>71.45</v>
      </c>
      <c r="I988">
        <v>691.85</v>
      </c>
      <c r="J988" t="s">
        <v>15</v>
      </c>
      <c r="K988" t="str">
        <f t="shared" si="15"/>
        <v>0-12 Months</v>
      </c>
      <c r="L988">
        <f>IF(Table13[[#This Row],[Churn]]="Yes",1,0)</f>
        <v>0</v>
      </c>
    </row>
    <row r="989" spans="1:12" x14ac:dyDescent="0.35">
      <c r="A989" t="s">
        <v>1011</v>
      </c>
      <c r="B989" t="s">
        <v>17</v>
      </c>
      <c r="C989">
        <v>51</v>
      </c>
      <c r="D989">
        <v>50</v>
      </c>
      <c r="E989" t="s">
        <v>12</v>
      </c>
      <c r="F989" t="s">
        <v>13</v>
      </c>
      <c r="G989" t="s">
        <v>23</v>
      </c>
      <c r="H989">
        <v>99.71</v>
      </c>
      <c r="I989">
        <v>4701.93</v>
      </c>
      <c r="J989" t="s">
        <v>15</v>
      </c>
      <c r="K989" t="str">
        <f t="shared" si="15"/>
        <v>49+ Months</v>
      </c>
      <c r="L989">
        <f>IF(Table13[[#This Row],[Churn]]="Yes",1,0)</f>
        <v>0</v>
      </c>
    </row>
    <row r="990" spans="1:12" x14ac:dyDescent="0.35">
      <c r="A990" t="s">
        <v>1012</v>
      </c>
      <c r="B990" t="s">
        <v>17</v>
      </c>
      <c r="C990">
        <v>43</v>
      </c>
      <c r="D990">
        <v>3</v>
      </c>
      <c r="E990" t="s">
        <v>12</v>
      </c>
      <c r="F990" t="s">
        <v>13</v>
      </c>
      <c r="G990" t="s">
        <v>14</v>
      </c>
      <c r="H990">
        <v>124.73</v>
      </c>
      <c r="I990">
        <v>397.67</v>
      </c>
      <c r="J990" t="s">
        <v>27</v>
      </c>
      <c r="K990" t="str">
        <f t="shared" si="15"/>
        <v>0-12 Months</v>
      </c>
      <c r="L990">
        <f>IF(Table13[[#This Row],[Churn]]="Yes",1,0)</f>
        <v>1</v>
      </c>
    </row>
    <row r="991" spans="1:12" x14ac:dyDescent="0.35">
      <c r="A991" t="s">
        <v>1013</v>
      </c>
      <c r="B991" t="s">
        <v>17</v>
      </c>
      <c r="C991">
        <v>58</v>
      </c>
      <c r="D991">
        <v>70</v>
      </c>
      <c r="E991" t="s">
        <v>12</v>
      </c>
      <c r="F991" t="s">
        <v>29</v>
      </c>
      <c r="G991" t="s">
        <v>23</v>
      </c>
      <c r="H991">
        <v>58.96</v>
      </c>
      <c r="I991">
        <v>3893.69</v>
      </c>
      <c r="J991" t="s">
        <v>27</v>
      </c>
      <c r="K991" t="str">
        <f t="shared" si="15"/>
        <v>49+ Months</v>
      </c>
      <c r="L991">
        <f>IF(Table13[[#This Row],[Churn]]="Yes",1,0)</f>
        <v>1</v>
      </c>
    </row>
    <row r="992" spans="1:12" x14ac:dyDescent="0.35">
      <c r="A992" t="s">
        <v>1014</v>
      </c>
      <c r="B992" t="s">
        <v>17</v>
      </c>
      <c r="C992">
        <v>66</v>
      </c>
      <c r="D992">
        <v>51</v>
      </c>
      <c r="E992" t="s">
        <v>12</v>
      </c>
      <c r="F992" t="s">
        <v>29</v>
      </c>
      <c r="G992" t="s">
        <v>23</v>
      </c>
      <c r="H992">
        <v>145.07</v>
      </c>
      <c r="I992">
        <v>7460.76</v>
      </c>
      <c r="J992" t="s">
        <v>15</v>
      </c>
      <c r="K992" t="str">
        <f t="shared" si="15"/>
        <v>49+ Months</v>
      </c>
      <c r="L992">
        <f>IF(Table13[[#This Row],[Churn]]="Yes",1,0)</f>
        <v>0</v>
      </c>
    </row>
    <row r="993" spans="1:12" x14ac:dyDescent="0.35">
      <c r="A993" t="s">
        <v>1015</v>
      </c>
      <c r="B993" t="s">
        <v>17</v>
      </c>
      <c r="C993">
        <v>20</v>
      </c>
      <c r="D993">
        <v>19</v>
      </c>
      <c r="E993" t="s">
        <v>12</v>
      </c>
      <c r="F993" t="s">
        <v>13</v>
      </c>
      <c r="G993" t="s">
        <v>19</v>
      </c>
      <c r="H993">
        <v>89.63</v>
      </c>
      <c r="I993">
        <v>1862.44</v>
      </c>
      <c r="J993" t="s">
        <v>15</v>
      </c>
      <c r="K993" t="str">
        <f t="shared" si="15"/>
        <v>13-24 Months</v>
      </c>
      <c r="L993">
        <f>IF(Table13[[#This Row],[Churn]]="Yes",1,0)</f>
        <v>0</v>
      </c>
    </row>
    <row r="994" spans="1:12" x14ac:dyDescent="0.35">
      <c r="A994" t="s">
        <v>1016</v>
      </c>
      <c r="B994" t="s">
        <v>17</v>
      </c>
      <c r="C994">
        <v>23</v>
      </c>
      <c r="D994">
        <v>42</v>
      </c>
      <c r="E994" t="s">
        <v>18</v>
      </c>
      <c r="F994" t="s">
        <v>13</v>
      </c>
      <c r="G994" t="s">
        <v>19</v>
      </c>
      <c r="H994">
        <v>100.38</v>
      </c>
      <c r="I994">
        <v>3919.03</v>
      </c>
      <c r="J994" t="s">
        <v>15</v>
      </c>
      <c r="K994" t="str">
        <f t="shared" si="15"/>
        <v>25-48 Months</v>
      </c>
      <c r="L994">
        <f>IF(Table13[[#This Row],[Churn]]="Yes",1,0)</f>
        <v>0</v>
      </c>
    </row>
    <row r="995" spans="1:12" x14ac:dyDescent="0.35">
      <c r="A995" t="s">
        <v>1017</v>
      </c>
      <c r="B995" t="s">
        <v>17</v>
      </c>
      <c r="C995">
        <v>22</v>
      </c>
      <c r="D995">
        <v>35</v>
      </c>
      <c r="E995" t="s">
        <v>12</v>
      </c>
      <c r="F995" t="s">
        <v>22</v>
      </c>
      <c r="G995" t="s">
        <v>19</v>
      </c>
      <c r="H995">
        <v>108.49</v>
      </c>
      <c r="I995">
        <v>4131.96</v>
      </c>
      <c r="J995" t="s">
        <v>27</v>
      </c>
      <c r="K995" t="str">
        <f t="shared" si="15"/>
        <v>25-48 Months</v>
      </c>
      <c r="L995">
        <f>IF(Table13[[#This Row],[Churn]]="Yes",1,0)</f>
        <v>1</v>
      </c>
    </row>
    <row r="996" spans="1:12" x14ac:dyDescent="0.35">
      <c r="A996" t="s">
        <v>1018</v>
      </c>
      <c r="B996" t="s">
        <v>17</v>
      </c>
      <c r="C996">
        <v>22</v>
      </c>
      <c r="D996">
        <v>46</v>
      </c>
      <c r="E996" t="s">
        <v>21</v>
      </c>
      <c r="F996" t="s">
        <v>29</v>
      </c>
      <c r="G996" t="s">
        <v>19</v>
      </c>
      <c r="H996">
        <v>106.68</v>
      </c>
      <c r="I996">
        <v>4596.05</v>
      </c>
      <c r="J996" t="s">
        <v>27</v>
      </c>
      <c r="K996" t="str">
        <f t="shared" si="15"/>
        <v>25-48 Months</v>
      </c>
      <c r="L996">
        <f>IF(Table13[[#This Row],[Churn]]="Yes",1,0)</f>
        <v>1</v>
      </c>
    </row>
    <row r="997" spans="1:12" x14ac:dyDescent="0.35">
      <c r="A997" t="s">
        <v>1019</v>
      </c>
      <c r="B997" t="s">
        <v>11</v>
      </c>
      <c r="C997">
        <v>64</v>
      </c>
      <c r="D997">
        <v>26</v>
      </c>
      <c r="E997" t="s">
        <v>12</v>
      </c>
      <c r="F997" t="s">
        <v>13</v>
      </c>
      <c r="G997" t="s">
        <v>23</v>
      </c>
      <c r="H997">
        <v>86.43</v>
      </c>
      <c r="I997">
        <v>2277.4899999999998</v>
      </c>
      <c r="J997" t="s">
        <v>15</v>
      </c>
      <c r="K997" t="str">
        <f t="shared" si="15"/>
        <v>25-48 Months</v>
      </c>
      <c r="L997">
        <f>IF(Table13[[#This Row],[Churn]]="Yes",1,0)</f>
        <v>0</v>
      </c>
    </row>
    <row r="998" spans="1:12" x14ac:dyDescent="0.35">
      <c r="A998" t="s">
        <v>1020</v>
      </c>
      <c r="B998" t="s">
        <v>11</v>
      </c>
      <c r="C998">
        <v>40</v>
      </c>
      <c r="D998">
        <v>69</v>
      </c>
      <c r="E998" t="s">
        <v>21</v>
      </c>
      <c r="F998" t="s">
        <v>29</v>
      </c>
      <c r="G998" t="s">
        <v>14</v>
      </c>
      <c r="H998">
        <v>75.739999999999995</v>
      </c>
      <c r="I998">
        <v>5097.51</v>
      </c>
      <c r="J998" t="s">
        <v>15</v>
      </c>
      <c r="K998" t="str">
        <f t="shared" si="15"/>
        <v>49+ Months</v>
      </c>
      <c r="L998">
        <f>IF(Table13[[#This Row],[Churn]]="Yes",1,0)</f>
        <v>0</v>
      </c>
    </row>
    <row r="999" spans="1:12" x14ac:dyDescent="0.35">
      <c r="A999" t="s">
        <v>1021</v>
      </c>
      <c r="B999" t="s">
        <v>17</v>
      </c>
      <c r="C999">
        <v>66</v>
      </c>
      <c r="D999">
        <v>64</v>
      </c>
      <c r="E999" t="s">
        <v>21</v>
      </c>
      <c r="F999" t="s">
        <v>29</v>
      </c>
      <c r="G999" t="s">
        <v>23</v>
      </c>
      <c r="H999">
        <v>26.99</v>
      </c>
      <c r="I999">
        <v>1887.98</v>
      </c>
      <c r="J999" t="s">
        <v>27</v>
      </c>
      <c r="K999" t="str">
        <f t="shared" si="15"/>
        <v>49+ Months</v>
      </c>
      <c r="L999">
        <f>IF(Table13[[#This Row],[Churn]]="Yes",1,0)</f>
        <v>1</v>
      </c>
    </row>
    <row r="1000" spans="1:12" x14ac:dyDescent="0.35">
      <c r="A1000" t="s">
        <v>1022</v>
      </c>
      <c r="B1000" t="s">
        <v>17</v>
      </c>
      <c r="C1000">
        <v>26</v>
      </c>
      <c r="D1000">
        <v>37</v>
      </c>
      <c r="E1000" t="s">
        <v>18</v>
      </c>
      <c r="F1000" t="s">
        <v>13</v>
      </c>
      <c r="G1000" t="s">
        <v>19</v>
      </c>
      <c r="H1000">
        <v>22.87</v>
      </c>
      <c r="I1000">
        <v>807.86</v>
      </c>
      <c r="J1000" t="s">
        <v>15</v>
      </c>
      <c r="K1000" t="str">
        <f t="shared" si="15"/>
        <v>25-48 Months</v>
      </c>
      <c r="L1000">
        <f>IF(Table13[[#This Row],[Churn]]="Yes",1,0)</f>
        <v>0</v>
      </c>
    </row>
    <row r="1001" spans="1:12" x14ac:dyDescent="0.35">
      <c r="A1001" t="s">
        <v>1023</v>
      </c>
      <c r="B1001" t="s">
        <v>11</v>
      </c>
      <c r="C1001">
        <v>52</v>
      </c>
      <c r="D1001">
        <v>49</v>
      </c>
      <c r="E1001" t="s">
        <v>12</v>
      </c>
      <c r="F1001" t="s">
        <v>29</v>
      </c>
      <c r="G1001" t="s">
        <v>23</v>
      </c>
      <c r="H1001">
        <v>66.53</v>
      </c>
      <c r="I1001">
        <v>3194.55</v>
      </c>
      <c r="J1001" t="s">
        <v>15</v>
      </c>
      <c r="K1001" t="str">
        <f t="shared" si="15"/>
        <v>49+ Months</v>
      </c>
      <c r="L1001">
        <f>IF(Table13[[#This Row],[Churn]]="Yes",1,0)</f>
        <v>0</v>
      </c>
    </row>
    <row r="1002" spans="1:12" x14ac:dyDescent="0.35">
      <c r="A1002" t="s">
        <v>10</v>
      </c>
      <c r="B1002" t="s">
        <v>11</v>
      </c>
      <c r="C1002">
        <v>34</v>
      </c>
      <c r="D1002">
        <v>20</v>
      </c>
      <c r="E1002" t="s">
        <v>12</v>
      </c>
      <c r="F1002" t="s">
        <v>13</v>
      </c>
      <c r="G1002" t="s">
        <v>14</v>
      </c>
      <c r="H1002">
        <v>48.83</v>
      </c>
      <c r="I1002">
        <v>944.11</v>
      </c>
      <c r="J1002" t="s">
        <v>15</v>
      </c>
      <c r="K1002" t="str">
        <f t="shared" si="15"/>
        <v>13-24 Months</v>
      </c>
      <c r="L1002">
        <f>IF(Table13[[#This Row],[Churn]]="Yes",1,0)</f>
        <v>0</v>
      </c>
    </row>
    <row r="1003" spans="1:12" x14ac:dyDescent="0.35">
      <c r="A1003" t="s">
        <v>16</v>
      </c>
      <c r="B1003" t="s">
        <v>17</v>
      </c>
      <c r="C1003">
        <v>26</v>
      </c>
      <c r="D1003">
        <v>61</v>
      </c>
      <c r="E1003" t="s">
        <v>18</v>
      </c>
      <c r="F1003" t="s">
        <v>13</v>
      </c>
      <c r="G1003" t="s">
        <v>19</v>
      </c>
      <c r="H1003">
        <v>61.28</v>
      </c>
      <c r="I1003">
        <v>3654.12</v>
      </c>
      <c r="J1003" t="s">
        <v>15</v>
      </c>
      <c r="K1003" t="str">
        <f t="shared" si="15"/>
        <v>49+ Months</v>
      </c>
      <c r="L1003">
        <f>IF(Table13[[#This Row],[Churn]]="Yes",1,0)</f>
        <v>0</v>
      </c>
    </row>
    <row r="1004" spans="1:12" x14ac:dyDescent="0.35">
      <c r="A1004" t="s">
        <v>20</v>
      </c>
      <c r="B1004" t="s">
        <v>11</v>
      </c>
      <c r="C1004">
        <v>50</v>
      </c>
      <c r="D1004">
        <v>35</v>
      </c>
      <c r="E1004" t="s">
        <v>21</v>
      </c>
      <c r="F1004" t="s">
        <v>22</v>
      </c>
      <c r="G1004" t="s">
        <v>23</v>
      </c>
      <c r="H1004">
        <v>53.72</v>
      </c>
      <c r="I1004">
        <v>1744.21</v>
      </c>
      <c r="J1004" t="s">
        <v>15</v>
      </c>
      <c r="K1004" t="str">
        <f t="shared" si="15"/>
        <v>25-48 Months</v>
      </c>
      <c r="L1004">
        <f>IF(Table13[[#This Row],[Churn]]="Yes",1,0)</f>
        <v>0</v>
      </c>
    </row>
    <row r="1005" spans="1:12" x14ac:dyDescent="0.35">
      <c r="A1005" t="s">
        <v>24</v>
      </c>
      <c r="B1005" t="s">
        <v>11</v>
      </c>
      <c r="C1005">
        <v>70</v>
      </c>
      <c r="D1005">
        <v>50</v>
      </c>
      <c r="E1005" t="s">
        <v>21</v>
      </c>
      <c r="F1005" t="s">
        <v>13</v>
      </c>
      <c r="G1005" t="s">
        <v>23</v>
      </c>
      <c r="H1005">
        <v>31.39</v>
      </c>
      <c r="I1005">
        <v>1644.26</v>
      </c>
      <c r="J1005" t="s">
        <v>15</v>
      </c>
      <c r="K1005" t="str">
        <f t="shared" si="15"/>
        <v>49+ Months</v>
      </c>
      <c r="L1005">
        <f>IF(Table13[[#This Row],[Churn]]="Yes",1,0)</f>
        <v>0</v>
      </c>
    </row>
    <row r="1006" spans="1:12" x14ac:dyDescent="0.35">
      <c r="A1006" t="s">
        <v>25</v>
      </c>
      <c r="B1006" t="s">
        <v>11</v>
      </c>
      <c r="C1006">
        <v>37</v>
      </c>
      <c r="D1006">
        <v>62</v>
      </c>
      <c r="E1006" t="s">
        <v>12</v>
      </c>
      <c r="F1006" t="s">
        <v>13</v>
      </c>
      <c r="G1006" t="s">
        <v>14</v>
      </c>
      <c r="H1006">
        <v>31.69</v>
      </c>
      <c r="I1006">
        <v>2105.0500000000002</v>
      </c>
      <c r="J1006" t="s">
        <v>15</v>
      </c>
      <c r="K1006" t="str">
        <f t="shared" si="15"/>
        <v>49+ Months</v>
      </c>
      <c r="L1006">
        <f>IF(Table13[[#This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87E6-F4D8-4F02-B0ED-2A4B95B774D6}">
  <dimension ref="A1:O1001"/>
  <sheetViews>
    <sheetView topLeftCell="M1" workbookViewId="0">
      <selection activeCell="N2" sqref="N2:O2"/>
    </sheetView>
  </sheetViews>
  <sheetFormatPr defaultRowHeight="14.5" x14ac:dyDescent="0.35"/>
  <cols>
    <col min="14" max="14" width="24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1025</v>
      </c>
      <c r="L1" t="s">
        <v>1026</v>
      </c>
    </row>
    <row r="2" spans="1:15" x14ac:dyDescent="0.35">
      <c r="A2" t="s">
        <v>10</v>
      </c>
      <c r="B2" t="s">
        <v>11</v>
      </c>
      <c r="C2">
        <v>34</v>
      </c>
      <c r="D2">
        <v>20</v>
      </c>
      <c r="E2" t="s">
        <v>12</v>
      </c>
      <c r="F2" t="s">
        <v>13</v>
      </c>
      <c r="G2" t="s">
        <v>14</v>
      </c>
      <c r="H2">
        <v>48.83</v>
      </c>
      <c r="I2">
        <v>944.11</v>
      </c>
      <c r="J2" t="s">
        <v>15</v>
      </c>
      <c r="K2" t="str">
        <f>IF(D2&lt;=12,"0-12 Months",IF(D2&lt;=24,"13-24 Months",IF(D2&lt;=48,"25-48 Months","49+ Months")))</f>
        <v>13-24 Months</v>
      </c>
      <c r="L2">
        <f>IF(Table134[[#This Row],[Churn]]="Yes",1,0)</f>
        <v>0</v>
      </c>
      <c r="N2" s="1" t="s">
        <v>1027</v>
      </c>
      <c r="O2" s="1">
        <f>COUNTA(Table134[Customer_ID])</f>
        <v>1000</v>
      </c>
    </row>
    <row r="3" spans="1:15" x14ac:dyDescent="0.35">
      <c r="A3" t="s">
        <v>16</v>
      </c>
      <c r="B3" t="s">
        <v>17</v>
      </c>
      <c r="C3">
        <v>26</v>
      </c>
      <c r="D3">
        <v>61</v>
      </c>
      <c r="E3" t="s">
        <v>18</v>
      </c>
      <c r="F3" t="s">
        <v>13</v>
      </c>
      <c r="G3" t="s">
        <v>19</v>
      </c>
      <c r="H3">
        <v>61.28</v>
      </c>
      <c r="I3">
        <v>3654.12</v>
      </c>
      <c r="J3" t="s">
        <v>15</v>
      </c>
      <c r="K3" t="str">
        <f>IF(D3&lt;=12,"0-12 Months",IF(D3&lt;=24,"13-24 Months",IF(D3&lt;=48,"25-48 Months","49+ Months")))</f>
        <v>49+ Months</v>
      </c>
      <c r="L3">
        <f>IF(Table134[[#This Row],[Churn]]="Yes",1,0)</f>
        <v>0</v>
      </c>
    </row>
    <row r="4" spans="1:15" x14ac:dyDescent="0.35">
      <c r="A4" t="s">
        <v>20</v>
      </c>
      <c r="B4" t="s">
        <v>11</v>
      </c>
      <c r="C4">
        <v>50</v>
      </c>
      <c r="D4">
        <v>35</v>
      </c>
      <c r="E4" t="s">
        <v>21</v>
      </c>
      <c r="F4" t="s">
        <v>22</v>
      </c>
      <c r="G4" t="s">
        <v>23</v>
      </c>
      <c r="H4">
        <v>53.72</v>
      </c>
      <c r="I4">
        <v>1744.21</v>
      </c>
      <c r="J4" t="s">
        <v>15</v>
      </c>
      <c r="K4" t="str">
        <f>IF(D4&lt;=12,"0-12 Months",IF(D4&lt;=24,"13-24 Months",IF(D4&lt;=48,"25-48 Months","49+ Months")))</f>
        <v>25-48 Months</v>
      </c>
      <c r="L4">
        <f>IF(Table134[[#This Row],[Churn]]="Yes",1,0)</f>
        <v>0</v>
      </c>
      <c r="N4" s="2" t="s">
        <v>1028</v>
      </c>
      <c r="O4" s="2">
        <f>COUNTIF(J:J,"Yes")</f>
        <v>274</v>
      </c>
    </row>
    <row r="5" spans="1:15" x14ac:dyDescent="0.35">
      <c r="A5" t="s">
        <v>24</v>
      </c>
      <c r="B5" t="s">
        <v>11</v>
      </c>
      <c r="C5">
        <v>70</v>
      </c>
      <c r="D5">
        <v>50</v>
      </c>
      <c r="E5" t="s">
        <v>21</v>
      </c>
      <c r="F5" t="s">
        <v>13</v>
      </c>
      <c r="G5" t="s">
        <v>23</v>
      </c>
      <c r="H5">
        <v>31.39</v>
      </c>
      <c r="I5">
        <v>1644.26</v>
      </c>
      <c r="J5" t="s">
        <v>15</v>
      </c>
      <c r="K5" t="str">
        <f>IF(D5&lt;=12,"0-12 Months",IF(D5&lt;=24,"13-24 Months",IF(D5&lt;=48,"25-48 Months","49+ Months")))</f>
        <v>49+ Months</v>
      </c>
      <c r="L5">
        <f>IF(Table134[[#This Row],[Churn]]="Yes",1,0)</f>
        <v>0</v>
      </c>
    </row>
    <row r="6" spans="1:15" x14ac:dyDescent="0.35">
      <c r="A6" t="s">
        <v>25</v>
      </c>
      <c r="B6" t="s">
        <v>11</v>
      </c>
      <c r="C6">
        <v>37</v>
      </c>
      <c r="D6">
        <v>62</v>
      </c>
      <c r="E6" t="s">
        <v>12</v>
      </c>
      <c r="F6" t="s">
        <v>13</v>
      </c>
      <c r="G6" t="s">
        <v>14</v>
      </c>
      <c r="H6">
        <v>31.69</v>
      </c>
      <c r="I6">
        <v>2105.0500000000002</v>
      </c>
      <c r="J6" t="s">
        <v>15</v>
      </c>
      <c r="K6" t="str">
        <f>IF(D6&lt;=12,"0-12 Months",IF(D6&lt;=24,"13-24 Months",IF(D6&lt;=48,"25-48 Months","49+ Months")))</f>
        <v>49+ Months</v>
      </c>
      <c r="L6">
        <f>IF(Table134[[#This Row],[Churn]]="Yes",1,0)</f>
        <v>0</v>
      </c>
    </row>
    <row r="7" spans="1:15" x14ac:dyDescent="0.35">
      <c r="A7" t="s">
        <v>26</v>
      </c>
      <c r="B7" t="s">
        <v>17</v>
      </c>
      <c r="C7">
        <v>30</v>
      </c>
      <c r="D7">
        <v>17</v>
      </c>
      <c r="E7" t="s">
        <v>18</v>
      </c>
      <c r="F7" t="s">
        <v>13</v>
      </c>
      <c r="G7" t="s">
        <v>14</v>
      </c>
      <c r="H7">
        <v>45.12</v>
      </c>
      <c r="I7">
        <v>834.34</v>
      </c>
      <c r="J7" t="s">
        <v>27</v>
      </c>
      <c r="K7" t="str">
        <f>IF(D7&lt;=12,"0-12 Months",IF(D7&lt;=24,"13-24 Months",IF(D7&lt;=48,"25-48 Months","49+ Months")))</f>
        <v>13-24 Months</v>
      </c>
      <c r="L7">
        <f>IF(Table134[[#This Row],[Churn]]="Yes",1,0)</f>
        <v>1</v>
      </c>
      <c r="N7" s="3" t="s">
        <v>1029</v>
      </c>
      <c r="O7" s="3">
        <f>COUNTIF(J:J,"No")</f>
        <v>726</v>
      </c>
    </row>
    <row r="8" spans="1:15" x14ac:dyDescent="0.35">
      <c r="A8" t="s">
        <v>28</v>
      </c>
      <c r="B8" t="s">
        <v>11</v>
      </c>
      <c r="C8">
        <v>45</v>
      </c>
      <c r="D8">
        <v>3</v>
      </c>
      <c r="E8" t="s">
        <v>18</v>
      </c>
      <c r="F8" t="s">
        <v>29</v>
      </c>
      <c r="G8" t="s">
        <v>14</v>
      </c>
      <c r="H8">
        <v>26.57</v>
      </c>
      <c r="I8">
        <v>79.59</v>
      </c>
      <c r="J8" t="s">
        <v>27</v>
      </c>
      <c r="K8" t="str">
        <f>IF(D8&lt;=12,"0-12 Months",IF(D8&lt;=24,"13-24 Months",IF(D8&lt;=48,"25-48 Months","49+ Months")))</f>
        <v>0-12 Months</v>
      </c>
      <c r="L8">
        <f>IF(Table134[[#This Row],[Churn]]="Yes",1,0)</f>
        <v>1</v>
      </c>
    </row>
    <row r="9" spans="1:15" x14ac:dyDescent="0.35">
      <c r="A9" t="s">
        <v>30</v>
      </c>
      <c r="B9" t="s">
        <v>11</v>
      </c>
      <c r="C9">
        <v>65</v>
      </c>
      <c r="D9">
        <v>32</v>
      </c>
      <c r="E9" t="s">
        <v>21</v>
      </c>
      <c r="F9" t="s">
        <v>13</v>
      </c>
      <c r="G9" t="s">
        <v>23</v>
      </c>
      <c r="H9">
        <v>101.44</v>
      </c>
      <c r="I9">
        <v>3376.49</v>
      </c>
      <c r="J9" t="s">
        <v>15</v>
      </c>
      <c r="K9" t="str">
        <f>IF(D9&lt;=12,"0-12 Months",IF(D9&lt;=24,"13-24 Months",IF(D9&lt;=48,"25-48 Months","49+ Months")))</f>
        <v>25-48 Months</v>
      </c>
      <c r="L9">
        <f>IF(Table134[[#This Row],[Churn]]="Yes",1,0)</f>
        <v>0</v>
      </c>
      <c r="N9" s="4" t="s">
        <v>1030</v>
      </c>
      <c r="O9" s="5">
        <f>COUNTIF(J:J,"Yes")/COUNTA(A2:A1001)</f>
        <v>0.27400000000000002</v>
      </c>
    </row>
    <row r="10" spans="1:15" x14ac:dyDescent="0.35">
      <c r="A10" t="s">
        <v>31</v>
      </c>
      <c r="B10" t="s">
        <v>11</v>
      </c>
      <c r="C10">
        <v>46</v>
      </c>
      <c r="D10">
        <v>13</v>
      </c>
      <c r="E10" t="s">
        <v>12</v>
      </c>
      <c r="F10" t="s">
        <v>29</v>
      </c>
      <c r="G10" t="s">
        <v>14</v>
      </c>
      <c r="H10">
        <v>57.35</v>
      </c>
      <c r="I10">
        <v>798.57</v>
      </c>
      <c r="J10" t="s">
        <v>15</v>
      </c>
      <c r="K10" t="str">
        <f>IF(D10&lt;=12,"0-12 Months",IF(D10&lt;=24,"13-24 Months",IF(D10&lt;=48,"25-48 Months","49+ Months")))</f>
        <v>13-24 Months</v>
      </c>
      <c r="L10">
        <f>IF(Table134[[#This Row],[Churn]]="Yes",1,0)</f>
        <v>0</v>
      </c>
    </row>
    <row r="11" spans="1:15" x14ac:dyDescent="0.35">
      <c r="A11" t="s">
        <v>32</v>
      </c>
      <c r="B11" t="s">
        <v>17</v>
      </c>
      <c r="C11">
        <v>30</v>
      </c>
      <c r="D11">
        <v>68</v>
      </c>
      <c r="E11" t="s">
        <v>12</v>
      </c>
      <c r="F11" t="s">
        <v>33</v>
      </c>
      <c r="G11" t="s">
        <v>14</v>
      </c>
      <c r="H11">
        <v>56.37</v>
      </c>
      <c r="I11">
        <v>3770.52</v>
      </c>
      <c r="J11" t="s">
        <v>15</v>
      </c>
      <c r="K11" t="str">
        <f>IF(D11&lt;=12,"0-12 Months",IF(D11&lt;=24,"13-24 Months",IF(D11&lt;=48,"25-48 Months","49+ Months")))</f>
        <v>49+ Months</v>
      </c>
      <c r="L11">
        <f>IF(Table134[[#This Row],[Churn]]="Yes",1,0)</f>
        <v>0</v>
      </c>
    </row>
    <row r="12" spans="1:15" x14ac:dyDescent="0.35">
      <c r="A12" t="s">
        <v>34</v>
      </c>
      <c r="B12" t="s">
        <v>11</v>
      </c>
      <c r="C12">
        <v>63</v>
      </c>
      <c r="D12">
        <v>14</v>
      </c>
      <c r="E12" t="s">
        <v>12</v>
      </c>
      <c r="F12" t="s">
        <v>22</v>
      </c>
      <c r="G12" t="s">
        <v>23</v>
      </c>
      <c r="H12">
        <v>63.16</v>
      </c>
      <c r="I12">
        <v>850.54</v>
      </c>
      <c r="J12" t="s">
        <v>15</v>
      </c>
      <c r="K12" t="str">
        <f>IF(D12&lt;=12,"0-12 Months",IF(D12&lt;=24,"13-24 Months",IF(D12&lt;=48,"25-48 Months","49+ Months")))</f>
        <v>13-24 Months</v>
      </c>
      <c r="L12">
        <f>IF(Table134[[#This Row],[Churn]]="Yes",1,0)</f>
        <v>0</v>
      </c>
    </row>
    <row r="13" spans="1:15" x14ac:dyDescent="0.35">
      <c r="A13" t="s">
        <v>35</v>
      </c>
      <c r="B13" t="s">
        <v>11</v>
      </c>
      <c r="C13">
        <v>52</v>
      </c>
      <c r="D13">
        <v>11</v>
      </c>
      <c r="E13" t="s">
        <v>12</v>
      </c>
      <c r="F13" t="s">
        <v>33</v>
      </c>
      <c r="G13" t="s">
        <v>23</v>
      </c>
      <c r="H13">
        <v>106.16</v>
      </c>
      <c r="I13">
        <v>1269.76</v>
      </c>
      <c r="J13" t="s">
        <v>15</v>
      </c>
      <c r="K13" t="str">
        <f>IF(D13&lt;=12,"0-12 Months",IF(D13&lt;=24,"13-24 Months",IF(D13&lt;=48,"25-48 Months","49+ Months")))</f>
        <v>0-12 Months</v>
      </c>
      <c r="L13">
        <f>IF(Table134[[#This Row],[Churn]]="Yes",1,0)</f>
        <v>0</v>
      </c>
    </row>
    <row r="14" spans="1:15" x14ac:dyDescent="0.35">
      <c r="A14" t="s">
        <v>36</v>
      </c>
      <c r="B14" t="s">
        <v>11</v>
      </c>
      <c r="C14">
        <v>23</v>
      </c>
      <c r="D14">
        <v>56</v>
      </c>
      <c r="E14" t="s">
        <v>12</v>
      </c>
      <c r="F14" t="s">
        <v>29</v>
      </c>
      <c r="G14" t="s">
        <v>19</v>
      </c>
      <c r="H14">
        <v>133.18</v>
      </c>
      <c r="I14">
        <v>7481.46</v>
      </c>
      <c r="J14" t="s">
        <v>15</v>
      </c>
      <c r="K14" t="str">
        <f>IF(D14&lt;=12,"0-12 Months",IF(D14&lt;=24,"13-24 Months",IF(D14&lt;=48,"25-48 Months","49+ Months")))</f>
        <v>49+ Months</v>
      </c>
      <c r="L14">
        <f>IF(Table134[[#This Row],[Churn]]="Yes",1,0)</f>
        <v>0</v>
      </c>
    </row>
    <row r="15" spans="1:15" x14ac:dyDescent="0.35">
      <c r="A15" t="s">
        <v>37</v>
      </c>
      <c r="B15" t="s">
        <v>11</v>
      </c>
      <c r="C15">
        <v>35</v>
      </c>
      <c r="D15">
        <v>67</v>
      </c>
      <c r="E15" t="s">
        <v>18</v>
      </c>
      <c r="F15" t="s">
        <v>33</v>
      </c>
      <c r="G15" t="s">
        <v>14</v>
      </c>
      <c r="H15">
        <v>118.68</v>
      </c>
      <c r="I15">
        <v>7947.19</v>
      </c>
      <c r="J15" t="s">
        <v>15</v>
      </c>
      <c r="K15" t="str">
        <f>IF(D15&lt;=12,"0-12 Months",IF(D15&lt;=24,"13-24 Months",IF(D15&lt;=48,"25-48 Months","49+ Months")))</f>
        <v>49+ Months</v>
      </c>
      <c r="L15">
        <f>IF(Table134[[#This Row],[Churn]]="Yes",1,0)</f>
        <v>0</v>
      </c>
    </row>
    <row r="16" spans="1:15" x14ac:dyDescent="0.35">
      <c r="A16" t="s">
        <v>38</v>
      </c>
      <c r="B16" t="s">
        <v>17</v>
      </c>
      <c r="C16">
        <v>68</v>
      </c>
      <c r="D16">
        <v>29</v>
      </c>
      <c r="E16" t="s">
        <v>12</v>
      </c>
      <c r="F16" t="s">
        <v>33</v>
      </c>
      <c r="G16" t="s">
        <v>23</v>
      </c>
      <c r="H16">
        <v>114.58</v>
      </c>
      <c r="I16">
        <v>3109.11</v>
      </c>
      <c r="J16" t="s">
        <v>27</v>
      </c>
      <c r="K16" t="str">
        <f>IF(D16&lt;=12,"0-12 Months",IF(D16&lt;=24,"13-24 Months",IF(D16&lt;=48,"25-48 Months","49+ Months")))</f>
        <v>25-48 Months</v>
      </c>
      <c r="L16">
        <f>IF(Table134[[#This Row],[Churn]]="Yes",1,0)</f>
        <v>1</v>
      </c>
    </row>
    <row r="17" spans="1:12" x14ac:dyDescent="0.35">
      <c r="A17" t="s">
        <v>39</v>
      </c>
      <c r="B17" t="s">
        <v>11</v>
      </c>
      <c r="C17">
        <v>22</v>
      </c>
      <c r="D17">
        <v>9</v>
      </c>
      <c r="E17" t="s">
        <v>12</v>
      </c>
      <c r="F17" t="s">
        <v>22</v>
      </c>
      <c r="G17" t="s">
        <v>19</v>
      </c>
      <c r="H17">
        <v>82.97</v>
      </c>
      <c r="I17">
        <v>688.21</v>
      </c>
      <c r="J17" t="s">
        <v>15</v>
      </c>
      <c r="K17" t="str">
        <f>IF(D17&lt;=12,"0-12 Months",IF(D17&lt;=24,"13-24 Months",IF(D17&lt;=48,"25-48 Months","49+ Months")))</f>
        <v>0-12 Months</v>
      </c>
      <c r="L17">
        <f>IF(Table134[[#This Row],[Churn]]="Yes",1,0)</f>
        <v>0</v>
      </c>
    </row>
    <row r="18" spans="1:12" x14ac:dyDescent="0.35">
      <c r="A18" t="s">
        <v>40</v>
      </c>
      <c r="B18" t="s">
        <v>17</v>
      </c>
      <c r="C18">
        <v>64</v>
      </c>
      <c r="D18">
        <v>67</v>
      </c>
      <c r="E18" t="s">
        <v>12</v>
      </c>
      <c r="F18" t="s">
        <v>22</v>
      </c>
      <c r="G18" t="s">
        <v>23</v>
      </c>
      <c r="H18">
        <v>110.19</v>
      </c>
      <c r="I18">
        <v>7887.87</v>
      </c>
      <c r="J18" t="s">
        <v>27</v>
      </c>
      <c r="K18" t="str">
        <f>IF(D18&lt;=12,"0-12 Months",IF(D18&lt;=24,"13-24 Months",IF(D18&lt;=48,"25-48 Months","49+ Months")))</f>
        <v>49+ Months</v>
      </c>
      <c r="L18">
        <f>IF(Table134[[#This Row],[Churn]]="Yes",1,0)</f>
        <v>1</v>
      </c>
    </row>
    <row r="19" spans="1:12" x14ac:dyDescent="0.35">
      <c r="A19" t="s">
        <v>41</v>
      </c>
      <c r="B19" t="s">
        <v>17</v>
      </c>
      <c r="C19">
        <v>42</v>
      </c>
      <c r="D19">
        <v>25</v>
      </c>
      <c r="E19" t="s">
        <v>12</v>
      </c>
      <c r="F19" t="s">
        <v>29</v>
      </c>
      <c r="G19" t="s">
        <v>14</v>
      </c>
      <c r="H19">
        <v>91.86</v>
      </c>
      <c r="I19">
        <v>2348.92</v>
      </c>
      <c r="J19" t="s">
        <v>27</v>
      </c>
      <c r="K19" t="str">
        <f>IF(D19&lt;=12,"0-12 Months",IF(D19&lt;=24,"13-24 Months",IF(D19&lt;=48,"25-48 Months","49+ Months")))</f>
        <v>25-48 Months</v>
      </c>
      <c r="L19">
        <f>IF(Table134[[#This Row],[Churn]]="Yes",1,0)</f>
        <v>1</v>
      </c>
    </row>
    <row r="20" spans="1:12" x14ac:dyDescent="0.35">
      <c r="A20" t="s">
        <v>42</v>
      </c>
      <c r="B20" t="s">
        <v>17</v>
      </c>
      <c r="C20">
        <v>19</v>
      </c>
      <c r="D20">
        <v>42</v>
      </c>
      <c r="E20" t="s">
        <v>12</v>
      </c>
      <c r="F20" t="s">
        <v>33</v>
      </c>
      <c r="G20" t="s">
        <v>19</v>
      </c>
      <c r="H20">
        <v>48.11</v>
      </c>
      <c r="I20">
        <v>1950.23</v>
      </c>
      <c r="J20" t="s">
        <v>15</v>
      </c>
      <c r="K20" t="str">
        <f>IF(D20&lt;=12,"0-12 Months",IF(D20&lt;=24,"13-24 Months",IF(D20&lt;=48,"25-48 Months","49+ Months")))</f>
        <v>25-48 Months</v>
      </c>
      <c r="L20">
        <f>IF(Table134[[#This Row],[Churn]]="Yes",1,0)</f>
        <v>0</v>
      </c>
    </row>
    <row r="21" spans="1:12" x14ac:dyDescent="0.35">
      <c r="A21" t="s">
        <v>43</v>
      </c>
      <c r="B21" t="s">
        <v>11</v>
      </c>
      <c r="C21">
        <v>27</v>
      </c>
      <c r="D21">
        <v>9</v>
      </c>
      <c r="E21" t="s">
        <v>12</v>
      </c>
      <c r="F21" t="s">
        <v>13</v>
      </c>
      <c r="G21" t="s">
        <v>19</v>
      </c>
      <c r="H21">
        <v>47.12</v>
      </c>
      <c r="I21">
        <v>397.93</v>
      </c>
      <c r="J21" t="s">
        <v>15</v>
      </c>
      <c r="K21" t="str">
        <f>IF(D21&lt;=12,"0-12 Months",IF(D21&lt;=24,"13-24 Months",IF(D21&lt;=48,"25-48 Months","49+ Months")))</f>
        <v>0-12 Months</v>
      </c>
      <c r="L21">
        <f>IF(Table134[[#This Row],[Churn]]="Yes",1,0)</f>
        <v>0</v>
      </c>
    </row>
    <row r="22" spans="1:12" x14ac:dyDescent="0.35">
      <c r="A22" t="s">
        <v>44</v>
      </c>
      <c r="B22" t="s">
        <v>17</v>
      </c>
      <c r="C22">
        <v>47</v>
      </c>
      <c r="D22">
        <v>40</v>
      </c>
      <c r="E22" t="s">
        <v>12</v>
      </c>
      <c r="F22" t="s">
        <v>29</v>
      </c>
      <c r="G22" t="s">
        <v>14</v>
      </c>
      <c r="H22">
        <v>58.53</v>
      </c>
      <c r="I22">
        <v>2367.19</v>
      </c>
      <c r="J22" t="s">
        <v>15</v>
      </c>
      <c r="K22" t="str">
        <f>IF(D22&lt;=12,"0-12 Months",IF(D22&lt;=24,"13-24 Months",IF(D22&lt;=48,"25-48 Months","49+ Months")))</f>
        <v>25-48 Months</v>
      </c>
      <c r="L22">
        <f>IF(Table134[[#This Row],[Churn]]="Yes",1,0)</f>
        <v>0</v>
      </c>
    </row>
    <row r="23" spans="1:12" x14ac:dyDescent="0.35">
      <c r="A23" t="s">
        <v>45</v>
      </c>
      <c r="B23" t="s">
        <v>11</v>
      </c>
      <c r="C23">
        <v>67</v>
      </c>
      <c r="D23">
        <v>25</v>
      </c>
      <c r="E23" t="s">
        <v>21</v>
      </c>
      <c r="F23" t="s">
        <v>29</v>
      </c>
      <c r="G23" t="s">
        <v>23</v>
      </c>
      <c r="H23">
        <v>138.4</v>
      </c>
      <c r="I23">
        <v>3518.07</v>
      </c>
      <c r="J23" t="s">
        <v>27</v>
      </c>
      <c r="K23" t="str">
        <f>IF(D23&lt;=12,"0-12 Months",IF(D23&lt;=24,"13-24 Months",IF(D23&lt;=48,"25-48 Months","49+ Months")))</f>
        <v>25-48 Months</v>
      </c>
      <c r="L23">
        <f>IF(Table134[[#This Row],[Churn]]="Yes",1,0)</f>
        <v>1</v>
      </c>
    </row>
    <row r="24" spans="1:12" x14ac:dyDescent="0.35">
      <c r="A24" t="s">
        <v>46</v>
      </c>
      <c r="B24" t="s">
        <v>17</v>
      </c>
      <c r="C24">
        <v>62</v>
      </c>
      <c r="D24">
        <v>5</v>
      </c>
      <c r="E24" t="s">
        <v>18</v>
      </c>
      <c r="F24" t="s">
        <v>33</v>
      </c>
      <c r="G24" t="s">
        <v>23</v>
      </c>
      <c r="H24">
        <v>91.16</v>
      </c>
      <c r="I24">
        <v>429.09</v>
      </c>
      <c r="J24" t="s">
        <v>15</v>
      </c>
      <c r="K24" t="str">
        <f>IF(D24&lt;=12,"0-12 Months",IF(D24&lt;=24,"13-24 Months",IF(D24&lt;=48,"25-48 Months","49+ Months")))</f>
        <v>0-12 Months</v>
      </c>
      <c r="L24">
        <f>IF(Table134[[#This Row],[Churn]]="Yes",1,0)</f>
        <v>0</v>
      </c>
    </row>
    <row r="25" spans="1:12" x14ac:dyDescent="0.35">
      <c r="A25" t="s">
        <v>47</v>
      </c>
      <c r="B25" t="s">
        <v>17</v>
      </c>
      <c r="C25">
        <v>22</v>
      </c>
      <c r="D25">
        <v>11</v>
      </c>
      <c r="E25" t="s">
        <v>12</v>
      </c>
      <c r="F25" t="s">
        <v>33</v>
      </c>
      <c r="G25" t="s">
        <v>19</v>
      </c>
      <c r="H25">
        <v>115.41</v>
      </c>
      <c r="I25">
        <v>1358.73</v>
      </c>
      <c r="J25" t="s">
        <v>27</v>
      </c>
      <c r="K25" t="str">
        <f>IF(D25&lt;=12,"0-12 Months",IF(D25&lt;=24,"13-24 Months",IF(D25&lt;=48,"25-48 Months","49+ Months")))</f>
        <v>0-12 Months</v>
      </c>
      <c r="L25">
        <f>IF(Table134[[#This Row],[Churn]]="Yes",1,0)</f>
        <v>1</v>
      </c>
    </row>
    <row r="26" spans="1:12" x14ac:dyDescent="0.35">
      <c r="A26" t="s">
        <v>48</v>
      </c>
      <c r="B26" t="s">
        <v>17</v>
      </c>
      <c r="C26">
        <v>50</v>
      </c>
      <c r="D26">
        <v>59</v>
      </c>
      <c r="E26" t="s">
        <v>12</v>
      </c>
      <c r="F26" t="s">
        <v>33</v>
      </c>
      <c r="G26" t="s">
        <v>23</v>
      </c>
      <c r="H26">
        <v>65.05</v>
      </c>
      <c r="I26">
        <v>3518.84</v>
      </c>
      <c r="J26" t="s">
        <v>15</v>
      </c>
      <c r="K26" t="str">
        <f>IF(D26&lt;=12,"0-12 Months",IF(D26&lt;=24,"13-24 Months",IF(D26&lt;=48,"25-48 Months","49+ Months")))</f>
        <v>49+ Months</v>
      </c>
      <c r="L26">
        <f>IF(Table134[[#This Row],[Churn]]="Yes",1,0)</f>
        <v>0</v>
      </c>
    </row>
    <row r="27" spans="1:12" x14ac:dyDescent="0.35">
      <c r="A27" t="s">
        <v>49</v>
      </c>
      <c r="B27" t="s">
        <v>17</v>
      </c>
      <c r="C27">
        <v>18</v>
      </c>
      <c r="D27">
        <v>38</v>
      </c>
      <c r="E27" t="s">
        <v>18</v>
      </c>
      <c r="F27" t="s">
        <v>22</v>
      </c>
      <c r="G27" t="s">
        <v>19</v>
      </c>
      <c r="H27">
        <v>73</v>
      </c>
      <c r="I27">
        <v>2694.16</v>
      </c>
      <c r="J27" t="s">
        <v>15</v>
      </c>
      <c r="K27" t="str">
        <f>IF(D27&lt;=12,"0-12 Months",IF(D27&lt;=24,"13-24 Months",IF(D27&lt;=48,"25-48 Months","49+ Months")))</f>
        <v>25-48 Months</v>
      </c>
      <c r="L27">
        <f>IF(Table134[[#This Row],[Churn]]="Yes",1,0)</f>
        <v>0</v>
      </c>
    </row>
    <row r="28" spans="1:12" x14ac:dyDescent="0.35">
      <c r="A28" t="s">
        <v>50</v>
      </c>
      <c r="B28" t="s">
        <v>17</v>
      </c>
      <c r="C28">
        <v>35</v>
      </c>
      <c r="D28">
        <v>72</v>
      </c>
      <c r="E28" t="s">
        <v>12</v>
      </c>
      <c r="F28" t="s">
        <v>29</v>
      </c>
      <c r="G28" t="s">
        <v>14</v>
      </c>
      <c r="H28">
        <v>36.32</v>
      </c>
      <c r="I28">
        <v>2709.38</v>
      </c>
      <c r="J28" t="s">
        <v>15</v>
      </c>
      <c r="K28" t="str">
        <f>IF(D28&lt;=12,"0-12 Months",IF(D28&lt;=24,"13-24 Months",IF(D28&lt;=48,"25-48 Months","49+ Months")))</f>
        <v>49+ Months</v>
      </c>
      <c r="L28">
        <f>IF(Table134[[#This Row],[Churn]]="Yes",1,0)</f>
        <v>0</v>
      </c>
    </row>
    <row r="29" spans="1:12" x14ac:dyDescent="0.35">
      <c r="A29" t="s">
        <v>51</v>
      </c>
      <c r="B29" t="s">
        <v>17</v>
      </c>
      <c r="C29">
        <v>49</v>
      </c>
      <c r="D29">
        <v>5</v>
      </c>
      <c r="E29" t="s">
        <v>12</v>
      </c>
      <c r="F29" t="s">
        <v>29</v>
      </c>
      <c r="G29" t="s">
        <v>14</v>
      </c>
      <c r="H29">
        <v>42.27</v>
      </c>
      <c r="I29">
        <v>201.8</v>
      </c>
      <c r="J29" t="s">
        <v>27</v>
      </c>
      <c r="K29" t="str">
        <f>IF(D29&lt;=12,"0-12 Months",IF(D29&lt;=24,"13-24 Months",IF(D29&lt;=48,"25-48 Months","49+ Months")))</f>
        <v>0-12 Months</v>
      </c>
      <c r="L29">
        <f>IF(Table134[[#This Row],[Churn]]="Yes",1,0)</f>
        <v>1</v>
      </c>
    </row>
    <row r="30" spans="1:12" x14ac:dyDescent="0.35">
      <c r="A30" t="s">
        <v>52</v>
      </c>
      <c r="B30" t="s">
        <v>17</v>
      </c>
      <c r="C30">
        <v>64</v>
      </c>
      <c r="D30">
        <v>48</v>
      </c>
      <c r="E30" t="s">
        <v>18</v>
      </c>
      <c r="F30" t="s">
        <v>29</v>
      </c>
      <c r="G30" t="s">
        <v>23</v>
      </c>
      <c r="H30">
        <v>127.56</v>
      </c>
      <c r="I30">
        <v>6524.14</v>
      </c>
      <c r="J30" t="s">
        <v>27</v>
      </c>
      <c r="K30" t="str">
        <f>IF(D30&lt;=12,"0-12 Months",IF(D30&lt;=24,"13-24 Months",IF(D30&lt;=48,"25-48 Months","49+ Months")))</f>
        <v>25-48 Months</v>
      </c>
      <c r="L30">
        <f>IF(Table134[[#This Row],[Churn]]="Yes",1,0)</f>
        <v>1</v>
      </c>
    </row>
    <row r="31" spans="1:12" x14ac:dyDescent="0.35">
      <c r="A31" t="s">
        <v>53</v>
      </c>
      <c r="B31" t="s">
        <v>17</v>
      </c>
      <c r="C31">
        <v>66</v>
      </c>
      <c r="D31">
        <v>18</v>
      </c>
      <c r="E31" t="s">
        <v>12</v>
      </c>
      <c r="F31" t="s">
        <v>29</v>
      </c>
      <c r="G31" t="s">
        <v>23</v>
      </c>
      <c r="H31">
        <v>96.03</v>
      </c>
      <c r="I31">
        <v>1811.46</v>
      </c>
      <c r="J31" t="s">
        <v>27</v>
      </c>
      <c r="K31" t="str">
        <f>IF(D31&lt;=12,"0-12 Months",IF(D31&lt;=24,"13-24 Months",IF(D31&lt;=48,"25-48 Months","49+ Months")))</f>
        <v>13-24 Months</v>
      </c>
      <c r="L31">
        <f>IF(Table134[[#This Row],[Churn]]="Yes",1,0)</f>
        <v>1</v>
      </c>
    </row>
    <row r="32" spans="1:12" x14ac:dyDescent="0.35">
      <c r="A32" t="s">
        <v>54</v>
      </c>
      <c r="B32" t="s">
        <v>11</v>
      </c>
      <c r="C32">
        <v>28</v>
      </c>
      <c r="D32">
        <v>70</v>
      </c>
      <c r="E32" t="s">
        <v>21</v>
      </c>
      <c r="F32" t="s">
        <v>13</v>
      </c>
      <c r="G32" t="s">
        <v>19</v>
      </c>
      <c r="H32">
        <v>63.88</v>
      </c>
      <c r="I32">
        <v>4730.08</v>
      </c>
      <c r="J32" t="s">
        <v>15</v>
      </c>
      <c r="K32" t="str">
        <f>IF(D32&lt;=12,"0-12 Months",IF(D32&lt;=24,"13-24 Months",IF(D32&lt;=48,"25-48 Months","49+ Months")))</f>
        <v>49+ Months</v>
      </c>
      <c r="L32">
        <f>IF(Table134[[#This Row],[Churn]]="Yes",1,0)</f>
        <v>0</v>
      </c>
    </row>
    <row r="33" spans="1:12" x14ac:dyDescent="0.35">
      <c r="A33" t="s">
        <v>55</v>
      </c>
      <c r="B33" t="s">
        <v>11</v>
      </c>
      <c r="C33">
        <v>38</v>
      </c>
      <c r="D33">
        <v>37</v>
      </c>
      <c r="E33" t="s">
        <v>21</v>
      </c>
      <c r="F33" t="s">
        <v>29</v>
      </c>
      <c r="G33" t="s">
        <v>14</v>
      </c>
      <c r="H33">
        <v>124.37</v>
      </c>
      <c r="I33">
        <v>4251.1400000000003</v>
      </c>
      <c r="J33" t="s">
        <v>15</v>
      </c>
      <c r="K33" t="str">
        <f>IF(D33&lt;=12,"0-12 Months",IF(D33&lt;=24,"13-24 Months",IF(D33&lt;=48,"25-48 Months","49+ Months")))</f>
        <v>25-48 Months</v>
      </c>
      <c r="L33">
        <f>IF(Table134[[#This Row],[Churn]]="Yes",1,0)</f>
        <v>0</v>
      </c>
    </row>
    <row r="34" spans="1:12" x14ac:dyDescent="0.35">
      <c r="A34" t="s">
        <v>56</v>
      </c>
      <c r="B34" t="s">
        <v>17</v>
      </c>
      <c r="C34">
        <v>43</v>
      </c>
      <c r="D34">
        <v>60</v>
      </c>
      <c r="E34" t="s">
        <v>12</v>
      </c>
      <c r="F34" t="s">
        <v>13</v>
      </c>
      <c r="G34" t="s">
        <v>14</v>
      </c>
      <c r="H34">
        <v>52.05</v>
      </c>
      <c r="I34">
        <v>2898.49</v>
      </c>
      <c r="J34" t="s">
        <v>27</v>
      </c>
      <c r="K34" t="str">
        <f>IF(D34&lt;=12,"0-12 Months",IF(D34&lt;=24,"13-24 Months",IF(D34&lt;=48,"25-48 Months","49+ Months")))</f>
        <v>49+ Months</v>
      </c>
      <c r="L34">
        <f>IF(Table134[[#This Row],[Churn]]="Yes",1,0)</f>
        <v>1</v>
      </c>
    </row>
    <row r="35" spans="1:12" x14ac:dyDescent="0.35">
      <c r="A35" t="s">
        <v>57</v>
      </c>
      <c r="B35" t="s">
        <v>17</v>
      </c>
      <c r="C35">
        <v>42</v>
      </c>
      <c r="D35">
        <v>48</v>
      </c>
      <c r="E35" t="s">
        <v>12</v>
      </c>
      <c r="F35" t="s">
        <v>1024</v>
      </c>
      <c r="G35" t="s">
        <v>14</v>
      </c>
      <c r="H35">
        <v>146.88</v>
      </c>
      <c r="I35">
        <v>6749.16</v>
      </c>
      <c r="J35" t="s">
        <v>15</v>
      </c>
      <c r="K35" t="str">
        <f>IF(D35&lt;=12,"0-12 Months",IF(D35&lt;=24,"13-24 Months",IF(D35&lt;=48,"25-48 Months","49+ Months")))</f>
        <v>25-48 Months</v>
      </c>
      <c r="L35">
        <f>IF(Table134[[#This Row],[Churn]]="Yes",1,0)</f>
        <v>0</v>
      </c>
    </row>
    <row r="36" spans="1:12" x14ac:dyDescent="0.35">
      <c r="A36" t="s">
        <v>58</v>
      </c>
      <c r="B36" t="s">
        <v>17</v>
      </c>
      <c r="C36">
        <v>39</v>
      </c>
      <c r="D36">
        <v>28</v>
      </c>
      <c r="E36" t="s">
        <v>21</v>
      </c>
      <c r="F36" t="s">
        <v>13</v>
      </c>
      <c r="G36" t="s">
        <v>14</v>
      </c>
      <c r="H36">
        <v>64.83</v>
      </c>
      <c r="I36">
        <v>1821.8</v>
      </c>
      <c r="J36" t="s">
        <v>15</v>
      </c>
      <c r="K36" t="str">
        <f>IF(D36&lt;=12,"0-12 Months",IF(D36&lt;=24,"13-24 Months",IF(D36&lt;=48,"25-48 Months","49+ Months")))</f>
        <v>25-48 Months</v>
      </c>
      <c r="L36">
        <f>IF(Table134[[#This Row],[Churn]]="Yes",1,0)</f>
        <v>0</v>
      </c>
    </row>
    <row r="37" spans="1:12" x14ac:dyDescent="0.35">
      <c r="A37" t="s">
        <v>59</v>
      </c>
      <c r="B37" t="s">
        <v>11</v>
      </c>
      <c r="C37">
        <v>44</v>
      </c>
      <c r="D37">
        <v>69</v>
      </c>
      <c r="E37" t="s">
        <v>12</v>
      </c>
      <c r="F37" t="s">
        <v>33</v>
      </c>
      <c r="G37" t="s">
        <v>14</v>
      </c>
      <c r="H37">
        <v>63.85</v>
      </c>
      <c r="I37">
        <v>4624.18</v>
      </c>
      <c r="J37" t="s">
        <v>15</v>
      </c>
      <c r="K37" t="str">
        <f>IF(D37&lt;=12,"0-12 Months",IF(D37&lt;=24,"13-24 Months",IF(D37&lt;=48,"25-48 Months","49+ Months")))</f>
        <v>49+ Months</v>
      </c>
      <c r="L37">
        <f>IF(Table134[[#This Row],[Churn]]="Yes",1,0)</f>
        <v>0</v>
      </c>
    </row>
    <row r="38" spans="1:12" x14ac:dyDescent="0.35">
      <c r="A38" t="s">
        <v>60</v>
      </c>
      <c r="B38" t="s">
        <v>17</v>
      </c>
      <c r="C38">
        <v>66</v>
      </c>
      <c r="D38">
        <v>40</v>
      </c>
      <c r="E38" t="s">
        <v>12</v>
      </c>
      <c r="F38" t="s">
        <v>22</v>
      </c>
      <c r="G38" t="s">
        <v>23</v>
      </c>
      <c r="H38">
        <v>60.55</v>
      </c>
      <c r="I38">
        <v>2585.02</v>
      </c>
      <c r="J38" t="s">
        <v>15</v>
      </c>
      <c r="K38" t="str">
        <f>IF(D38&lt;=12,"0-12 Months",IF(D38&lt;=24,"13-24 Months",IF(D38&lt;=48,"25-48 Months","49+ Months")))</f>
        <v>25-48 Months</v>
      </c>
      <c r="L38">
        <f>IF(Table134[[#This Row],[Churn]]="Yes",1,0)</f>
        <v>0</v>
      </c>
    </row>
    <row r="39" spans="1:12" x14ac:dyDescent="0.35">
      <c r="A39" t="s">
        <v>61</v>
      </c>
      <c r="B39" t="s">
        <v>11</v>
      </c>
      <c r="C39">
        <v>30</v>
      </c>
      <c r="D39">
        <v>45</v>
      </c>
      <c r="E39" t="s">
        <v>21</v>
      </c>
      <c r="F39" t="s">
        <v>29</v>
      </c>
      <c r="G39" t="s">
        <v>14</v>
      </c>
      <c r="H39">
        <v>35.869999999999997</v>
      </c>
      <c r="I39">
        <v>1680.12</v>
      </c>
      <c r="J39" t="s">
        <v>15</v>
      </c>
      <c r="K39" t="str">
        <f>IF(D39&lt;=12,"0-12 Months",IF(D39&lt;=24,"13-24 Months",IF(D39&lt;=48,"25-48 Months","49+ Months")))</f>
        <v>25-48 Months</v>
      </c>
      <c r="L39">
        <f>IF(Table134[[#This Row],[Churn]]="Yes",1,0)</f>
        <v>0</v>
      </c>
    </row>
    <row r="40" spans="1:12" x14ac:dyDescent="0.35">
      <c r="A40" t="s">
        <v>62</v>
      </c>
      <c r="B40" t="s">
        <v>11</v>
      </c>
      <c r="C40">
        <v>50</v>
      </c>
      <c r="D40">
        <v>62</v>
      </c>
      <c r="E40" t="s">
        <v>12</v>
      </c>
      <c r="F40" t="s">
        <v>13</v>
      </c>
      <c r="G40" t="s">
        <v>23</v>
      </c>
      <c r="H40">
        <v>34.450000000000003</v>
      </c>
      <c r="I40">
        <v>2318.9899999999998</v>
      </c>
      <c r="J40" t="s">
        <v>27</v>
      </c>
      <c r="K40" t="str">
        <f>IF(D40&lt;=12,"0-12 Months",IF(D40&lt;=24,"13-24 Months",IF(D40&lt;=48,"25-48 Months","49+ Months")))</f>
        <v>49+ Months</v>
      </c>
      <c r="L40">
        <f>IF(Table134[[#This Row],[Churn]]="Yes",1,0)</f>
        <v>1</v>
      </c>
    </row>
    <row r="41" spans="1:12" x14ac:dyDescent="0.35">
      <c r="A41" t="s">
        <v>63</v>
      </c>
      <c r="B41" t="s">
        <v>11</v>
      </c>
      <c r="C41">
        <v>51</v>
      </c>
      <c r="D41">
        <v>58</v>
      </c>
      <c r="E41" t="s">
        <v>12</v>
      </c>
      <c r="F41" t="s">
        <v>1024</v>
      </c>
      <c r="G41" t="s">
        <v>23</v>
      </c>
      <c r="H41">
        <v>104.25</v>
      </c>
      <c r="I41">
        <v>6335.21</v>
      </c>
      <c r="J41" t="s">
        <v>27</v>
      </c>
      <c r="K41" t="str">
        <f>IF(D41&lt;=12,"0-12 Months",IF(D41&lt;=24,"13-24 Months",IF(D41&lt;=48,"25-48 Months","49+ Months")))</f>
        <v>49+ Months</v>
      </c>
      <c r="L41">
        <f>IF(Table134[[#This Row],[Churn]]="Yes",1,0)</f>
        <v>1</v>
      </c>
    </row>
    <row r="42" spans="1:12" x14ac:dyDescent="0.35">
      <c r="A42" t="s">
        <v>64</v>
      </c>
      <c r="B42" t="s">
        <v>11</v>
      </c>
      <c r="C42">
        <v>58</v>
      </c>
      <c r="D42">
        <v>67</v>
      </c>
      <c r="E42" t="s">
        <v>18</v>
      </c>
      <c r="F42" t="s">
        <v>29</v>
      </c>
      <c r="G42" t="s">
        <v>23</v>
      </c>
      <c r="H42">
        <v>133.77000000000001</v>
      </c>
      <c r="I42">
        <v>8615.32</v>
      </c>
      <c r="J42" t="s">
        <v>27</v>
      </c>
      <c r="K42" t="str">
        <f>IF(D42&lt;=12,"0-12 Months",IF(D42&lt;=24,"13-24 Months",IF(D42&lt;=48,"25-48 Months","49+ Months")))</f>
        <v>49+ Months</v>
      </c>
      <c r="L42">
        <f>IF(Table134[[#This Row],[Churn]]="Yes",1,0)</f>
        <v>1</v>
      </c>
    </row>
    <row r="43" spans="1:12" x14ac:dyDescent="0.35">
      <c r="A43" t="s">
        <v>65</v>
      </c>
      <c r="B43" t="s">
        <v>11</v>
      </c>
      <c r="C43">
        <v>52</v>
      </c>
      <c r="D43">
        <v>56</v>
      </c>
      <c r="E43" t="s">
        <v>12</v>
      </c>
      <c r="F43" t="s">
        <v>22</v>
      </c>
      <c r="G43" t="s">
        <v>23</v>
      </c>
      <c r="H43">
        <v>122.77</v>
      </c>
      <c r="I43">
        <v>6552.1</v>
      </c>
      <c r="J43" t="s">
        <v>15</v>
      </c>
      <c r="K43" t="str">
        <f>IF(D43&lt;=12,"0-12 Months",IF(D43&lt;=24,"13-24 Months",IF(D43&lt;=48,"25-48 Months","49+ Months")))</f>
        <v>49+ Months</v>
      </c>
      <c r="L43">
        <f>IF(Table134[[#This Row],[Churn]]="Yes",1,0)</f>
        <v>0</v>
      </c>
    </row>
    <row r="44" spans="1:12" x14ac:dyDescent="0.35">
      <c r="A44" t="s">
        <v>66</v>
      </c>
      <c r="B44" t="s">
        <v>17</v>
      </c>
      <c r="C44">
        <v>18</v>
      </c>
      <c r="D44">
        <v>40</v>
      </c>
      <c r="E44" t="s">
        <v>18</v>
      </c>
      <c r="F44" t="s">
        <v>29</v>
      </c>
      <c r="G44" t="s">
        <v>19</v>
      </c>
      <c r="H44">
        <v>38.340000000000003</v>
      </c>
      <c r="I44">
        <v>1593.78</v>
      </c>
      <c r="J44" t="s">
        <v>15</v>
      </c>
      <c r="K44" t="str">
        <f>IF(D44&lt;=12,"0-12 Months",IF(D44&lt;=24,"13-24 Months",IF(D44&lt;=48,"25-48 Months","49+ Months")))</f>
        <v>25-48 Months</v>
      </c>
      <c r="L44">
        <f>IF(Table134[[#This Row],[Churn]]="Yes",1,0)</f>
        <v>0</v>
      </c>
    </row>
    <row r="45" spans="1:12" x14ac:dyDescent="0.35">
      <c r="A45" t="s">
        <v>67</v>
      </c>
      <c r="B45" t="s">
        <v>17</v>
      </c>
      <c r="C45">
        <v>38</v>
      </c>
      <c r="D45">
        <v>40</v>
      </c>
      <c r="E45" t="s">
        <v>21</v>
      </c>
      <c r="F45" t="s">
        <v>29</v>
      </c>
      <c r="G45" t="s">
        <v>14</v>
      </c>
      <c r="H45">
        <v>90.93</v>
      </c>
      <c r="I45">
        <v>3413.78</v>
      </c>
      <c r="J45" t="s">
        <v>15</v>
      </c>
      <c r="K45" t="str">
        <f>IF(D45&lt;=12,"0-12 Months",IF(D45&lt;=24,"13-24 Months",IF(D45&lt;=48,"25-48 Months","49+ Months")))</f>
        <v>25-48 Months</v>
      </c>
      <c r="L45">
        <f>IF(Table134[[#This Row],[Churn]]="Yes",1,0)</f>
        <v>0</v>
      </c>
    </row>
    <row r="46" spans="1:12" x14ac:dyDescent="0.35">
      <c r="A46" t="s">
        <v>68</v>
      </c>
      <c r="B46" t="s">
        <v>17</v>
      </c>
      <c r="C46">
        <v>65</v>
      </c>
      <c r="D46">
        <v>33</v>
      </c>
      <c r="E46" t="s">
        <v>21</v>
      </c>
      <c r="F46" t="s">
        <v>13</v>
      </c>
      <c r="G46" t="s">
        <v>23</v>
      </c>
      <c r="H46">
        <v>33.729999999999997</v>
      </c>
      <c r="I46">
        <v>1022.42</v>
      </c>
      <c r="J46" t="s">
        <v>27</v>
      </c>
      <c r="K46" t="str">
        <f>IF(D46&lt;=12,"0-12 Months",IF(D46&lt;=24,"13-24 Months",IF(D46&lt;=48,"25-48 Months","49+ Months")))</f>
        <v>25-48 Months</v>
      </c>
      <c r="L46">
        <f>IF(Table134[[#This Row],[Churn]]="Yes",1,0)</f>
        <v>1</v>
      </c>
    </row>
    <row r="47" spans="1:12" x14ac:dyDescent="0.35">
      <c r="A47" t="s">
        <v>69</v>
      </c>
      <c r="B47" t="s">
        <v>17</v>
      </c>
      <c r="C47">
        <v>23</v>
      </c>
      <c r="D47">
        <v>6</v>
      </c>
      <c r="E47" t="s">
        <v>12</v>
      </c>
      <c r="F47" t="s">
        <v>33</v>
      </c>
      <c r="G47" t="s">
        <v>19</v>
      </c>
      <c r="H47">
        <v>25.89</v>
      </c>
      <c r="I47">
        <v>156.34</v>
      </c>
      <c r="J47" t="s">
        <v>15</v>
      </c>
      <c r="K47" t="str">
        <f>IF(D47&lt;=12,"0-12 Months",IF(D47&lt;=24,"13-24 Months",IF(D47&lt;=48,"25-48 Months","49+ Months")))</f>
        <v>0-12 Months</v>
      </c>
      <c r="L47">
        <f>IF(Table134[[#This Row],[Churn]]="Yes",1,0)</f>
        <v>0</v>
      </c>
    </row>
    <row r="48" spans="1:12" x14ac:dyDescent="0.35">
      <c r="A48" t="s">
        <v>70</v>
      </c>
      <c r="B48" t="s">
        <v>17</v>
      </c>
      <c r="C48">
        <v>45</v>
      </c>
      <c r="D48">
        <v>19</v>
      </c>
      <c r="E48" t="s">
        <v>18</v>
      </c>
      <c r="F48" t="s">
        <v>22</v>
      </c>
      <c r="G48" t="s">
        <v>14</v>
      </c>
      <c r="H48">
        <v>105.33</v>
      </c>
      <c r="I48">
        <v>2130.0100000000002</v>
      </c>
      <c r="J48" t="s">
        <v>27</v>
      </c>
      <c r="K48" t="str">
        <f>IF(D48&lt;=12,"0-12 Months",IF(D48&lt;=24,"13-24 Months",IF(D48&lt;=48,"25-48 Months","49+ Months")))</f>
        <v>13-24 Months</v>
      </c>
      <c r="L48">
        <f>IF(Table134[[#This Row],[Churn]]="Yes",1,0)</f>
        <v>1</v>
      </c>
    </row>
    <row r="49" spans="1:12" x14ac:dyDescent="0.35">
      <c r="A49" t="s">
        <v>71</v>
      </c>
      <c r="B49" t="s">
        <v>11</v>
      </c>
      <c r="C49">
        <v>34</v>
      </c>
      <c r="D49">
        <v>40</v>
      </c>
      <c r="E49" t="s">
        <v>12</v>
      </c>
      <c r="F49" t="s">
        <v>22</v>
      </c>
      <c r="G49" t="s">
        <v>14</v>
      </c>
      <c r="H49">
        <v>89.57</v>
      </c>
      <c r="I49">
        <v>3297.16</v>
      </c>
      <c r="J49" t="s">
        <v>27</v>
      </c>
      <c r="K49" t="str">
        <f>IF(D49&lt;=12,"0-12 Months",IF(D49&lt;=24,"13-24 Months",IF(D49&lt;=48,"25-48 Months","49+ Months")))</f>
        <v>25-48 Months</v>
      </c>
      <c r="L49">
        <f>IF(Table134[[#This Row],[Churn]]="Yes",1,0)</f>
        <v>1</v>
      </c>
    </row>
    <row r="50" spans="1:12" x14ac:dyDescent="0.35">
      <c r="A50" t="s">
        <v>72</v>
      </c>
      <c r="B50" t="s">
        <v>17</v>
      </c>
      <c r="C50">
        <v>22</v>
      </c>
      <c r="D50">
        <v>59</v>
      </c>
      <c r="E50" t="s">
        <v>21</v>
      </c>
      <c r="F50" t="s">
        <v>29</v>
      </c>
      <c r="G50" t="s">
        <v>19</v>
      </c>
      <c r="H50">
        <v>30.66</v>
      </c>
      <c r="I50">
        <v>1914.54</v>
      </c>
      <c r="J50" t="s">
        <v>15</v>
      </c>
      <c r="K50" t="str">
        <f>IF(D50&lt;=12,"0-12 Months",IF(D50&lt;=24,"13-24 Months",IF(D50&lt;=48,"25-48 Months","49+ Months")))</f>
        <v>49+ Months</v>
      </c>
      <c r="L50">
        <f>IF(Table134[[#This Row],[Churn]]="Yes",1,0)</f>
        <v>0</v>
      </c>
    </row>
    <row r="51" spans="1:12" x14ac:dyDescent="0.35">
      <c r="A51" t="s">
        <v>73</v>
      </c>
      <c r="B51" t="s">
        <v>17</v>
      </c>
      <c r="C51">
        <v>48</v>
      </c>
      <c r="D51">
        <v>59</v>
      </c>
      <c r="E51" t="s">
        <v>12</v>
      </c>
      <c r="F51" t="s">
        <v>22</v>
      </c>
      <c r="G51" t="s">
        <v>14</v>
      </c>
      <c r="H51">
        <v>24.54</v>
      </c>
      <c r="I51">
        <v>1538.08</v>
      </c>
      <c r="J51" t="s">
        <v>15</v>
      </c>
      <c r="K51" t="str">
        <f>IF(D51&lt;=12,"0-12 Months",IF(D51&lt;=24,"13-24 Months",IF(D51&lt;=48,"25-48 Months","49+ Months")))</f>
        <v>49+ Months</v>
      </c>
      <c r="L51">
        <f>IF(Table134[[#This Row],[Churn]]="Yes",1,0)</f>
        <v>0</v>
      </c>
    </row>
    <row r="52" spans="1:12" x14ac:dyDescent="0.35">
      <c r="A52" t="s">
        <v>74</v>
      </c>
      <c r="B52" t="s">
        <v>11</v>
      </c>
      <c r="C52">
        <v>22</v>
      </c>
      <c r="D52">
        <v>48</v>
      </c>
      <c r="E52" t="s">
        <v>12</v>
      </c>
      <c r="F52" t="s">
        <v>22</v>
      </c>
      <c r="G52" t="s">
        <v>19</v>
      </c>
      <c r="H52">
        <v>148.66999999999999</v>
      </c>
      <c r="I52">
        <v>7110.86</v>
      </c>
      <c r="J52" t="s">
        <v>15</v>
      </c>
      <c r="K52" t="str">
        <f>IF(D52&lt;=12,"0-12 Months",IF(D52&lt;=24,"13-24 Months",IF(D52&lt;=48,"25-48 Months","49+ Months")))</f>
        <v>25-48 Months</v>
      </c>
      <c r="L52">
        <f>IF(Table134[[#This Row],[Churn]]="Yes",1,0)</f>
        <v>0</v>
      </c>
    </row>
    <row r="53" spans="1:12" x14ac:dyDescent="0.35">
      <c r="A53" t="s">
        <v>75</v>
      </c>
      <c r="B53" t="s">
        <v>17</v>
      </c>
      <c r="C53">
        <v>55</v>
      </c>
      <c r="D53">
        <v>41</v>
      </c>
      <c r="E53" t="s">
        <v>12</v>
      </c>
      <c r="F53" t="s">
        <v>22</v>
      </c>
      <c r="G53" t="s">
        <v>23</v>
      </c>
      <c r="H53">
        <v>23.9</v>
      </c>
      <c r="I53">
        <v>893.14</v>
      </c>
      <c r="J53" t="s">
        <v>15</v>
      </c>
      <c r="K53" t="str">
        <f>IF(D53&lt;=12,"0-12 Months",IF(D53&lt;=24,"13-24 Months",IF(D53&lt;=48,"25-48 Months","49+ Months")))</f>
        <v>25-48 Months</v>
      </c>
      <c r="L53">
        <f>IF(Table134[[#This Row],[Churn]]="Yes",1,0)</f>
        <v>0</v>
      </c>
    </row>
    <row r="54" spans="1:12" x14ac:dyDescent="0.35">
      <c r="A54" t="s">
        <v>76</v>
      </c>
      <c r="B54" t="s">
        <v>11</v>
      </c>
      <c r="C54">
        <v>20</v>
      </c>
      <c r="D54">
        <v>13</v>
      </c>
      <c r="E54" t="s">
        <v>18</v>
      </c>
      <c r="F54" t="s">
        <v>33</v>
      </c>
      <c r="G54" t="s">
        <v>19</v>
      </c>
      <c r="H54">
        <v>77.790000000000006</v>
      </c>
      <c r="I54">
        <v>945.45</v>
      </c>
      <c r="J54" t="s">
        <v>27</v>
      </c>
      <c r="K54" t="str">
        <f>IF(D54&lt;=12,"0-12 Months",IF(D54&lt;=24,"13-24 Months",IF(D54&lt;=48,"25-48 Months","49+ Months")))</f>
        <v>13-24 Months</v>
      </c>
      <c r="L54">
        <f>IF(Table134[[#This Row],[Churn]]="Yes",1,0)</f>
        <v>1</v>
      </c>
    </row>
    <row r="55" spans="1:12" x14ac:dyDescent="0.35">
      <c r="A55" t="s">
        <v>77</v>
      </c>
      <c r="B55" t="s">
        <v>17</v>
      </c>
      <c r="C55">
        <v>70</v>
      </c>
      <c r="D55">
        <v>45</v>
      </c>
      <c r="E55" t="s">
        <v>18</v>
      </c>
      <c r="F55" t="s">
        <v>29</v>
      </c>
      <c r="G55" t="s">
        <v>23</v>
      </c>
      <c r="H55">
        <v>85.6</v>
      </c>
      <c r="I55">
        <v>4011.8</v>
      </c>
      <c r="J55" t="s">
        <v>15</v>
      </c>
      <c r="K55" t="str">
        <f>IF(D55&lt;=12,"0-12 Months",IF(D55&lt;=24,"13-24 Months",IF(D55&lt;=48,"25-48 Months","49+ Months")))</f>
        <v>25-48 Months</v>
      </c>
      <c r="L55">
        <f>IF(Table134[[#This Row],[Churn]]="Yes",1,0)</f>
        <v>0</v>
      </c>
    </row>
    <row r="56" spans="1:12" x14ac:dyDescent="0.35">
      <c r="A56" t="s">
        <v>78</v>
      </c>
      <c r="B56" t="s">
        <v>11</v>
      </c>
      <c r="C56">
        <v>40</v>
      </c>
      <c r="D56">
        <v>53</v>
      </c>
      <c r="E56" t="s">
        <v>12</v>
      </c>
      <c r="F56" t="s">
        <v>33</v>
      </c>
      <c r="G56" t="s">
        <v>14</v>
      </c>
      <c r="H56">
        <v>35.25</v>
      </c>
      <c r="I56">
        <v>1947.38</v>
      </c>
      <c r="J56" t="s">
        <v>15</v>
      </c>
      <c r="K56" t="str">
        <f>IF(D56&lt;=12,"0-12 Months",IF(D56&lt;=24,"13-24 Months",IF(D56&lt;=48,"25-48 Months","49+ Months")))</f>
        <v>49+ Months</v>
      </c>
      <c r="L56">
        <f>IF(Table134[[#This Row],[Churn]]="Yes",1,0)</f>
        <v>0</v>
      </c>
    </row>
    <row r="57" spans="1:12" x14ac:dyDescent="0.35">
      <c r="A57" t="s">
        <v>79</v>
      </c>
      <c r="B57" t="s">
        <v>17</v>
      </c>
      <c r="C57">
        <v>54</v>
      </c>
      <c r="D57">
        <v>42</v>
      </c>
      <c r="E57" t="s">
        <v>12</v>
      </c>
      <c r="F57" t="s">
        <v>33</v>
      </c>
      <c r="G57" t="s">
        <v>23</v>
      </c>
      <c r="H57">
        <v>41.98</v>
      </c>
      <c r="I57">
        <v>1903.63</v>
      </c>
      <c r="J57" t="s">
        <v>15</v>
      </c>
      <c r="K57" t="str">
        <f>IF(D57&lt;=12,"0-12 Months",IF(D57&lt;=24,"13-24 Months",IF(D57&lt;=48,"25-48 Months","49+ Months")))</f>
        <v>25-48 Months</v>
      </c>
      <c r="L57">
        <f>IF(Table134[[#This Row],[Churn]]="Yes",1,0)</f>
        <v>0</v>
      </c>
    </row>
    <row r="58" spans="1:12" x14ac:dyDescent="0.35">
      <c r="A58" t="s">
        <v>80</v>
      </c>
      <c r="B58" t="s">
        <v>17</v>
      </c>
      <c r="C58">
        <v>70</v>
      </c>
      <c r="D58">
        <v>63</v>
      </c>
      <c r="E58" t="s">
        <v>21</v>
      </c>
      <c r="F58" t="s">
        <v>29</v>
      </c>
      <c r="G58" t="s">
        <v>23</v>
      </c>
      <c r="H58">
        <v>65.73</v>
      </c>
      <c r="I58">
        <v>4209.47</v>
      </c>
      <c r="J58" t="s">
        <v>15</v>
      </c>
      <c r="K58" t="str">
        <f>IF(D58&lt;=12,"0-12 Months",IF(D58&lt;=24,"13-24 Months",IF(D58&lt;=48,"25-48 Months","49+ Months")))</f>
        <v>49+ Months</v>
      </c>
      <c r="L58">
        <f>IF(Table134[[#This Row],[Churn]]="Yes",1,0)</f>
        <v>0</v>
      </c>
    </row>
    <row r="59" spans="1:12" x14ac:dyDescent="0.35">
      <c r="A59" t="s">
        <v>81</v>
      </c>
      <c r="B59" t="s">
        <v>11</v>
      </c>
      <c r="C59">
        <v>54</v>
      </c>
      <c r="D59">
        <v>27</v>
      </c>
      <c r="E59" t="s">
        <v>12</v>
      </c>
      <c r="F59" t="s">
        <v>13</v>
      </c>
      <c r="G59" t="s">
        <v>23</v>
      </c>
      <c r="H59">
        <v>119.02</v>
      </c>
      <c r="I59">
        <v>2971.95</v>
      </c>
      <c r="J59" t="s">
        <v>15</v>
      </c>
      <c r="K59" t="str">
        <f>IF(D59&lt;=12,"0-12 Months",IF(D59&lt;=24,"13-24 Months",IF(D59&lt;=48,"25-48 Months","49+ Months")))</f>
        <v>25-48 Months</v>
      </c>
      <c r="L59">
        <f>IF(Table134[[#This Row],[Churn]]="Yes",1,0)</f>
        <v>0</v>
      </c>
    </row>
    <row r="60" spans="1:12" x14ac:dyDescent="0.35">
      <c r="A60" t="s">
        <v>82</v>
      </c>
      <c r="B60" t="s">
        <v>11</v>
      </c>
      <c r="C60">
        <v>27</v>
      </c>
      <c r="D60">
        <v>38</v>
      </c>
      <c r="E60" t="s">
        <v>12</v>
      </c>
      <c r="F60" t="s">
        <v>33</v>
      </c>
      <c r="G60" t="s">
        <v>19</v>
      </c>
      <c r="H60">
        <v>85.92</v>
      </c>
      <c r="I60">
        <v>3017.75</v>
      </c>
      <c r="J60" t="s">
        <v>15</v>
      </c>
      <c r="K60" t="str">
        <f>IF(D60&lt;=12,"0-12 Months",IF(D60&lt;=24,"13-24 Months",IF(D60&lt;=48,"25-48 Months","49+ Months")))</f>
        <v>25-48 Months</v>
      </c>
      <c r="L60">
        <f>IF(Table134[[#This Row],[Churn]]="Yes",1,0)</f>
        <v>0</v>
      </c>
    </row>
    <row r="61" spans="1:12" x14ac:dyDescent="0.35">
      <c r="A61" t="s">
        <v>83</v>
      </c>
      <c r="B61" t="s">
        <v>11</v>
      </c>
      <c r="C61">
        <v>27</v>
      </c>
      <c r="D61">
        <v>60</v>
      </c>
      <c r="E61" t="s">
        <v>21</v>
      </c>
      <c r="F61" t="s">
        <v>29</v>
      </c>
      <c r="G61" t="s">
        <v>19</v>
      </c>
      <c r="H61">
        <v>102.93</v>
      </c>
      <c r="I61">
        <v>6448.93</v>
      </c>
      <c r="J61" t="s">
        <v>27</v>
      </c>
      <c r="K61" t="str">
        <f>IF(D61&lt;=12,"0-12 Months",IF(D61&lt;=24,"13-24 Months",IF(D61&lt;=48,"25-48 Months","49+ Months")))</f>
        <v>49+ Months</v>
      </c>
      <c r="L61">
        <f>IF(Table134[[#This Row],[Churn]]="Yes",1,0)</f>
        <v>1</v>
      </c>
    </row>
    <row r="62" spans="1:12" x14ac:dyDescent="0.35">
      <c r="A62" t="s">
        <v>84</v>
      </c>
      <c r="B62" t="s">
        <v>11</v>
      </c>
      <c r="C62">
        <v>36</v>
      </c>
      <c r="D62">
        <v>7</v>
      </c>
      <c r="E62" t="s">
        <v>12</v>
      </c>
      <c r="F62" t="s">
        <v>13</v>
      </c>
      <c r="G62" t="s">
        <v>14</v>
      </c>
      <c r="H62">
        <v>148.07</v>
      </c>
      <c r="I62">
        <v>970.94</v>
      </c>
      <c r="J62" t="s">
        <v>27</v>
      </c>
      <c r="K62" t="str">
        <f>IF(D62&lt;=12,"0-12 Months",IF(D62&lt;=24,"13-24 Months",IF(D62&lt;=48,"25-48 Months","49+ Months")))</f>
        <v>0-12 Months</v>
      </c>
      <c r="L62">
        <f>IF(Table134[[#This Row],[Churn]]="Yes",1,0)</f>
        <v>1</v>
      </c>
    </row>
    <row r="63" spans="1:12" x14ac:dyDescent="0.35">
      <c r="A63" t="s">
        <v>85</v>
      </c>
      <c r="B63" t="s">
        <v>11</v>
      </c>
      <c r="C63">
        <v>34</v>
      </c>
      <c r="D63">
        <v>5</v>
      </c>
      <c r="E63" t="s">
        <v>18</v>
      </c>
      <c r="F63" t="s">
        <v>33</v>
      </c>
      <c r="G63" t="s">
        <v>14</v>
      </c>
      <c r="H63">
        <v>119.84</v>
      </c>
      <c r="I63">
        <v>578.63</v>
      </c>
      <c r="J63" t="s">
        <v>15</v>
      </c>
      <c r="K63" t="str">
        <f>IF(D63&lt;=12,"0-12 Months",IF(D63&lt;=24,"13-24 Months",IF(D63&lt;=48,"25-48 Months","49+ Months")))</f>
        <v>0-12 Months</v>
      </c>
      <c r="L63">
        <f>IF(Table134[[#This Row],[Churn]]="Yes",1,0)</f>
        <v>0</v>
      </c>
    </row>
    <row r="64" spans="1:12" x14ac:dyDescent="0.35">
      <c r="A64" t="s">
        <v>86</v>
      </c>
      <c r="B64" t="s">
        <v>11</v>
      </c>
      <c r="C64">
        <v>38</v>
      </c>
      <c r="D64">
        <v>45</v>
      </c>
      <c r="E64" t="s">
        <v>12</v>
      </c>
      <c r="F64" t="s">
        <v>13</v>
      </c>
      <c r="G64" t="s">
        <v>14</v>
      </c>
      <c r="H64">
        <v>76.47</v>
      </c>
      <c r="I64">
        <v>3432.35</v>
      </c>
      <c r="J64" t="s">
        <v>27</v>
      </c>
      <c r="K64" t="str">
        <f>IF(D64&lt;=12,"0-12 Months",IF(D64&lt;=24,"13-24 Months",IF(D64&lt;=48,"25-48 Months","49+ Months")))</f>
        <v>25-48 Months</v>
      </c>
      <c r="L64">
        <f>IF(Table134[[#This Row],[Churn]]="Yes",1,0)</f>
        <v>1</v>
      </c>
    </row>
    <row r="65" spans="1:12" x14ac:dyDescent="0.35">
      <c r="A65" t="s">
        <v>87</v>
      </c>
      <c r="B65" t="s">
        <v>11</v>
      </c>
      <c r="C65">
        <v>31</v>
      </c>
      <c r="D65">
        <v>58</v>
      </c>
      <c r="E65" t="s">
        <v>12</v>
      </c>
      <c r="F65" t="s">
        <v>29</v>
      </c>
      <c r="G65" t="s">
        <v>14</v>
      </c>
      <c r="H65">
        <v>78.040000000000006</v>
      </c>
      <c r="I65">
        <v>4096.1099999999997</v>
      </c>
      <c r="J65" t="s">
        <v>15</v>
      </c>
      <c r="K65" t="str">
        <f>IF(D65&lt;=12,"0-12 Months",IF(D65&lt;=24,"13-24 Months",IF(D65&lt;=48,"25-48 Months","49+ Months")))</f>
        <v>49+ Months</v>
      </c>
      <c r="L65">
        <f>IF(Table134[[#This Row],[Churn]]="Yes",1,0)</f>
        <v>0</v>
      </c>
    </row>
    <row r="66" spans="1:12" x14ac:dyDescent="0.35">
      <c r="A66" t="s">
        <v>88</v>
      </c>
      <c r="B66" t="s">
        <v>11</v>
      </c>
      <c r="C66">
        <v>26</v>
      </c>
      <c r="D66">
        <v>31</v>
      </c>
      <c r="E66" t="s">
        <v>12</v>
      </c>
      <c r="F66" t="s">
        <v>13</v>
      </c>
      <c r="G66" t="s">
        <v>19</v>
      </c>
      <c r="H66">
        <v>100.44</v>
      </c>
      <c r="I66">
        <v>2957.22</v>
      </c>
      <c r="J66" t="s">
        <v>15</v>
      </c>
      <c r="K66" t="str">
        <f>IF(D66&lt;=12,"0-12 Months",IF(D66&lt;=24,"13-24 Months",IF(D66&lt;=48,"25-48 Months","49+ Months")))</f>
        <v>25-48 Months</v>
      </c>
      <c r="L66">
        <f>IF(Table134[[#This Row],[Churn]]="Yes",1,0)</f>
        <v>0</v>
      </c>
    </row>
    <row r="67" spans="1:12" x14ac:dyDescent="0.35">
      <c r="A67" t="s">
        <v>89</v>
      </c>
      <c r="B67" t="s">
        <v>17</v>
      </c>
      <c r="C67">
        <v>63</v>
      </c>
      <c r="D67">
        <v>23</v>
      </c>
      <c r="E67" t="s">
        <v>21</v>
      </c>
      <c r="F67" t="s">
        <v>29</v>
      </c>
      <c r="G67" t="s">
        <v>23</v>
      </c>
      <c r="H67">
        <v>83.07</v>
      </c>
      <c r="I67">
        <v>2404.38</v>
      </c>
      <c r="J67" t="s">
        <v>15</v>
      </c>
      <c r="K67" t="str">
        <f>IF(D67&lt;=12,"0-12 Months",IF(D67&lt;=24,"13-24 Months",IF(D67&lt;=48,"25-48 Months","49+ Months")))</f>
        <v>13-24 Months</v>
      </c>
      <c r="L67">
        <f>IF(Table134[[#This Row],[Churn]]="Yes",1,0)</f>
        <v>0</v>
      </c>
    </row>
    <row r="68" spans="1:12" x14ac:dyDescent="0.35">
      <c r="A68" t="s">
        <v>90</v>
      </c>
      <c r="B68" t="s">
        <v>17</v>
      </c>
      <c r="C68">
        <v>18</v>
      </c>
      <c r="D68">
        <v>42</v>
      </c>
      <c r="E68" t="s">
        <v>12</v>
      </c>
      <c r="F68" t="s">
        <v>13</v>
      </c>
      <c r="G68" t="s">
        <v>19</v>
      </c>
      <c r="H68">
        <v>85.09</v>
      </c>
      <c r="I68">
        <v>3416.27</v>
      </c>
      <c r="J68" t="s">
        <v>27</v>
      </c>
      <c r="K68" t="str">
        <f>IF(D68&lt;=12,"0-12 Months",IF(D68&lt;=24,"13-24 Months",IF(D68&lt;=48,"25-48 Months","49+ Months")))</f>
        <v>25-48 Months</v>
      </c>
      <c r="L68">
        <f>IF(Table134[[#This Row],[Churn]]="Yes",1,0)</f>
        <v>1</v>
      </c>
    </row>
    <row r="69" spans="1:12" x14ac:dyDescent="0.35">
      <c r="A69" t="s">
        <v>91</v>
      </c>
      <c r="B69" t="s">
        <v>11</v>
      </c>
      <c r="C69">
        <v>68</v>
      </c>
      <c r="D69">
        <v>10</v>
      </c>
      <c r="E69" t="s">
        <v>21</v>
      </c>
      <c r="F69" t="s">
        <v>29</v>
      </c>
      <c r="G69" t="s">
        <v>23</v>
      </c>
      <c r="H69">
        <v>103.83</v>
      </c>
      <c r="I69">
        <v>962.79</v>
      </c>
      <c r="J69" t="s">
        <v>27</v>
      </c>
      <c r="K69" t="str">
        <f>IF(D69&lt;=12,"0-12 Months",IF(D69&lt;=24,"13-24 Months",IF(D69&lt;=48,"25-48 Months","49+ Months")))</f>
        <v>0-12 Months</v>
      </c>
      <c r="L69">
        <f>IF(Table134[[#This Row],[Churn]]="Yes",1,0)</f>
        <v>1</v>
      </c>
    </row>
    <row r="70" spans="1:12" x14ac:dyDescent="0.35">
      <c r="A70" t="s">
        <v>92</v>
      </c>
      <c r="B70" t="s">
        <v>17</v>
      </c>
      <c r="C70">
        <v>62</v>
      </c>
      <c r="D70">
        <v>32</v>
      </c>
      <c r="E70" t="s">
        <v>12</v>
      </c>
      <c r="F70" t="s">
        <v>22</v>
      </c>
      <c r="G70" t="s">
        <v>23</v>
      </c>
      <c r="H70">
        <v>23.06</v>
      </c>
      <c r="I70">
        <v>771.57</v>
      </c>
      <c r="J70" t="s">
        <v>15</v>
      </c>
      <c r="K70" t="str">
        <f>IF(D70&lt;=12,"0-12 Months",IF(D70&lt;=24,"13-24 Months",IF(D70&lt;=48,"25-48 Months","49+ Months")))</f>
        <v>25-48 Months</v>
      </c>
      <c r="L70">
        <f>IF(Table134[[#This Row],[Churn]]="Yes",1,0)</f>
        <v>0</v>
      </c>
    </row>
    <row r="71" spans="1:12" x14ac:dyDescent="0.35">
      <c r="A71" t="s">
        <v>93</v>
      </c>
      <c r="B71" t="s">
        <v>17</v>
      </c>
      <c r="C71">
        <v>30</v>
      </c>
      <c r="D71">
        <v>53</v>
      </c>
      <c r="E71" t="s">
        <v>18</v>
      </c>
      <c r="F71" t="s">
        <v>13</v>
      </c>
      <c r="G71" t="s">
        <v>14</v>
      </c>
      <c r="H71">
        <v>75.849999999999994</v>
      </c>
      <c r="I71">
        <v>4271.82</v>
      </c>
      <c r="J71" t="s">
        <v>15</v>
      </c>
      <c r="K71" t="str">
        <f>IF(D71&lt;=12,"0-12 Months",IF(D71&lt;=24,"13-24 Months",IF(D71&lt;=48,"25-48 Months","49+ Months")))</f>
        <v>49+ Months</v>
      </c>
      <c r="L71">
        <f>IF(Table134[[#This Row],[Churn]]="Yes",1,0)</f>
        <v>0</v>
      </c>
    </row>
    <row r="72" spans="1:12" x14ac:dyDescent="0.35">
      <c r="A72" t="s">
        <v>94</v>
      </c>
      <c r="B72" t="s">
        <v>17</v>
      </c>
      <c r="C72">
        <v>21</v>
      </c>
      <c r="D72">
        <v>30</v>
      </c>
      <c r="E72" t="s">
        <v>12</v>
      </c>
      <c r="F72" t="s">
        <v>22</v>
      </c>
      <c r="G72" t="s">
        <v>19</v>
      </c>
      <c r="H72">
        <v>56.26</v>
      </c>
      <c r="I72">
        <v>1605.93</v>
      </c>
      <c r="J72" t="s">
        <v>15</v>
      </c>
      <c r="K72" t="str">
        <f>IF(D72&lt;=12,"0-12 Months",IF(D72&lt;=24,"13-24 Months",IF(D72&lt;=48,"25-48 Months","49+ Months")))</f>
        <v>25-48 Months</v>
      </c>
      <c r="L72">
        <f>IF(Table134[[#This Row],[Churn]]="Yes",1,0)</f>
        <v>0</v>
      </c>
    </row>
    <row r="73" spans="1:12" x14ac:dyDescent="0.35">
      <c r="A73" t="s">
        <v>95</v>
      </c>
      <c r="B73" t="s">
        <v>17</v>
      </c>
      <c r="C73">
        <v>18</v>
      </c>
      <c r="D73">
        <v>39</v>
      </c>
      <c r="E73" t="s">
        <v>12</v>
      </c>
      <c r="F73" t="s">
        <v>22</v>
      </c>
      <c r="G73" t="s">
        <v>19</v>
      </c>
      <c r="H73">
        <v>36.79</v>
      </c>
      <c r="I73">
        <v>1513.56</v>
      </c>
      <c r="J73" t="s">
        <v>15</v>
      </c>
      <c r="K73" t="str">
        <f>IF(D73&lt;=12,"0-12 Months",IF(D73&lt;=24,"13-24 Months",IF(D73&lt;=48,"25-48 Months","49+ Months")))</f>
        <v>25-48 Months</v>
      </c>
      <c r="L73">
        <f>IF(Table134[[#This Row],[Churn]]="Yes",1,0)</f>
        <v>0</v>
      </c>
    </row>
    <row r="74" spans="1:12" x14ac:dyDescent="0.35">
      <c r="A74" t="s">
        <v>96</v>
      </c>
      <c r="B74" t="s">
        <v>11</v>
      </c>
      <c r="C74">
        <v>66</v>
      </c>
      <c r="D74">
        <v>31</v>
      </c>
      <c r="E74" t="s">
        <v>21</v>
      </c>
      <c r="F74" t="s">
        <v>13</v>
      </c>
      <c r="G74" t="s">
        <v>23</v>
      </c>
      <c r="H74">
        <v>32.94</v>
      </c>
      <c r="I74">
        <v>997.77</v>
      </c>
      <c r="J74" t="s">
        <v>15</v>
      </c>
      <c r="K74" t="str">
        <f>IF(D74&lt;=12,"0-12 Months",IF(D74&lt;=24,"13-24 Months",IF(D74&lt;=48,"25-48 Months","49+ Months")))</f>
        <v>25-48 Months</v>
      </c>
      <c r="L74">
        <f>IF(Table134[[#This Row],[Churn]]="Yes",1,0)</f>
        <v>0</v>
      </c>
    </row>
    <row r="75" spans="1:12" x14ac:dyDescent="0.35">
      <c r="A75" t="s">
        <v>97</v>
      </c>
      <c r="B75" t="s">
        <v>17</v>
      </c>
      <c r="C75">
        <v>57</v>
      </c>
      <c r="D75">
        <v>2</v>
      </c>
      <c r="E75" t="s">
        <v>12</v>
      </c>
      <c r="F75" t="s">
        <v>22</v>
      </c>
      <c r="G75" t="s">
        <v>23</v>
      </c>
      <c r="H75">
        <v>98.41</v>
      </c>
      <c r="I75">
        <v>197.08</v>
      </c>
      <c r="J75" t="s">
        <v>15</v>
      </c>
      <c r="K75" t="str">
        <f>IF(D75&lt;=12,"0-12 Months",IF(D75&lt;=24,"13-24 Months",IF(D75&lt;=48,"25-48 Months","49+ Months")))</f>
        <v>0-12 Months</v>
      </c>
      <c r="L75">
        <f>IF(Table134[[#This Row],[Churn]]="Yes",1,0)</f>
        <v>0</v>
      </c>
    </row>
    <row r="76" spans="1:12" x14ac:dyDescent="0.35">
      <c r="A76" t="s">
        <v>98</v>
      </c>
      <c r="B76" t="s">
        <v>11</v>
      </c>
      <c r="C76">
        <v>49</v>
      </c>
      <c r="D76">
        <v>12</v>
      </c>
      <c r="E76" t="s">
        <v>12</v>
      </c>
      <c r="F76" t="s">
        <v>29</v>
      </c>
      <c r="G76" t="s">
        <v>14</v>
      </c>
      <c r="H76">
        <v>88.07</v>
      </c>
      <c r="I76">
        <v>1132.0899999999999</v>
      </c>
      <c r="J76" t="s">
        <v>27</v>
      </c>
      <c r="K76" t="str">
        <f>IF(D76&lt;=12,"0-12 Months",IF(D76&lt;=24,"13-24 Months",IF(D76&lt;=48,"25-48 Months","49+ Months")))</f>
        <v>0-12 Months</v>
      </c>
      <c r="L76">
        <f>IF(Table134[[#This Row],[Churn]]="Yes",1,0)</f>
        <v>1</v>
      </c>
    </row>
    <row r="77" spans="1:12" x14ac:dyDescent="0.35">
      <c r="A77" t="s">
        <v>99</v>
      </c>
      <c r="B77" t="s">
        <v>17</v>
      </c>
      <c r="C77">
        <v>51</v>
      </c>
      <c r="D77">
        <v>39</v>
      </c>
      <c r="E77" t="s">
        <v>18</v>
      </c>
      <c r="F77" t="s">
        <v>13</v>
      </c>
      <c r="G77" t="s">
        <v>23</v>
      </c>
      <c r="H77">
        <v>52.97</v>
      </c>
      <c r="I77">
        <v>2169.1</v>
      </c>
      <c r="J77" t="s">
        <v>15</v>
      </c>
      <c r="K77" t="str">
        <f>IF(D77&lt;=12,"0-12 Months",IF(D77&lt;=24,"13-24 Months",IF(D77&lt;=48,"25-48 Months","49+ Months")))</f>
        <v>25-48 Months</v>
      </c>
      <c r="L77">
        <f>IF(Table134[[#This Row],[Churn]]="Yes",1,0)</f>
        <v>0</v>
      </c>
    </row>
    <row r="78" spans="1:12" x14ac:dyDescent="0.35">
      <c r="A78" t="s">
        <v>100</v>
      </c>
      <c r="B78" t="s">
        <v>17</v>
      </c>
      <c r="C78">
        <v>45</v>
      </c>
      <c r="D78">
        <v>66</v>
      </c>
      <c r="E78" t="s">
        <v>12</v>
      </c>
      <c r="F78" t="s">
        <v>29</v>
      </c>
      <c r="G78" t="s">
        <v>14</v>
      </c>
      <c r="H78">
        <v>81.22</v>
      </c>
      <c r="I78">
        <v>5687.64</v>
      </c>
      <c r="J78" t="s">
        <v>15</v>
      </c>
      <c r="K78" t="str">
        <f>IF(D78&lt;=12,"0-12 Months",IF(D78&lt;=24,"13-24 Months",IF(D78&lt;=48,"25-48 Months","49+ Months")))</f>
        <v>49+ Months</v>
      </c>
      <c r="L78">
        <f>IF(Table134[[#This Row],[Churn]]="Yes",1,0)</f>
        <v>0</v>
      </c>
    </row>
    <row r="79" spans="1:12" x14ac:dyDescent="0.35">
      <c r="A79" t="s">
        <v>101</v>
      </c>
      <c r="B79" t="s">
        <v>17</v>
      </c>
      <c r="C79">
        <v>48</v>
      </c>
      <c r="D79">
        <v>13</v>
      </c>
      <c r="E79" t="s">
        <v>21</v>
      </c>
      <c r="F79" t="s">
        <v>33</v>
      </c>
      <c r="G79" t="s">
        <v>14</v>
      </c>
      <c r="H79">
        <v>83.99</v>
      </c>
      <c r="I79">
        <v>1012.57</v>
      </c>
      <c r="J79" t="s">
        <v>27</v>
      </c>
      <c r="K79" t="str">
        <f>IF(D79&lt;=12,"0-12 Months",IF(D79&lt;=24,"13-24 Months",IF(D79&lt;=48,"25-48 Months","49+ Months")))</f>
        <v>13-24 Months</v>
      </c>
      <c r="L79">
        <f>IF(Table134[[#This Row],[Churn]]="Yes",1,0)</f>
        <v>1</v>
      </c>
    </row>
    <row r="80" spans="1:12" x14ac:dyDescent="0.35">
      <c r="A80" t="s">
        <v>102</v>
      </c>
      <c r="B80" t="s">
        <v>11</v>
      </c>
      <c r="C80">
        <v>25</v>
      </c>
      <c r="D80">
        <v>46</v>
      </c>
      <c r="E80" t="s">
        <v>12</v>
      </c>
      <c r="F80" t="s">
        <v>29</v>
      </c>
      <c r="G80" t="s">
        <v>19</v>
      </c>
      <c r="H80">
        <v>45.35</v>
      </c>
      <c r="I80">
        <v>1906.58</v>
      </c>
      <c r="J80" t="s">
        <v>15</v>
      </c>
      <c r="K80" t="str">
        <f>IF(D80&lt;=12,"0-12 Months",IF(D80&lt;=24,"13-24 Months",IF(D80&lt;=48,"25-48 Months","49+ Months")))</f>
        <v>25-48 Months</v>
      </c>
      <c r="L80">
        <f>IF(Table134[[#This Row],[Churn]]="Yes",1,0)</f>
        <v>0</v>
      </c>
    </row>
    <row r="81" spans="1:12" x14ac:dyDescent="0.35">
      <c r="A81" t="s">
        <v>103</v>
      </c>
      <c r="B81" t="s">
        <v>17</v>
      </c>
      <c r="C81">
        <v>56</v>
      </c>
      <c r="D81">
        <v>27</v>
      </c>
      <c r="E81" t="s">
        <v>21</v>
      </c>
      <c r="F81" t="s">
        <v>13</v>
      </c>
      <c r="G81" t="s">
        <v>23</v>
      </c>
      <c r="H81">
        <v>104.77</v>
      </c>
      <c r="I81">
        <v>3051.36</v>
      </c>
      <c r="J81" t="s">
        <v>15</v>
      </c>
      <c r="K81" t="str">
        <f>IF(D81&lt;=12,"0-12 Months",IF(D81&lt;=24,"13-24 Months",IF(D81&lt;=48,"25-48 Months","49+ Months")))</f>
        <v>25-48 Months</v>
      </c>
      <c r="L81">
        <f>IF(Table134[[#This Row],[Churn]]="Yes",1,0)</f>
        <v>0</v>
      </c>
    </row>
    <row r="82" spans="1:12" x14ac:dyDescent="0.35">
      <c r="A82" t="s">
        <v>104</v>
      </c>
      <c r="B82" t="s">
        <v>11</v>
      </c>
      <c r="C82">
        <v>43</v>
      </c>
      <c r="D82">
        <v>17</v>
      </c>
      <c r="E82" t="s">
        <v>12</v>
      </c>
      <c r="F82" t="s">
        <v>22</v>
      </c>
      <c r="G82" t="s">
        <v>14</v>
      </c>
      <c r="H82">
        <v>121.52</v>
      </c>
      <c r="I82">
        <v>2019.5</v>
      </c>
      <c r="J82" t="s">
        <v>15</v>
      </c>
      <c r="K82" t="str">
        <f>IF(D82&lt;=12,"0-12 Months",IF(D82&lt;=24,"13-24 Months",IF(D82&lt;=48,"25-48 Months","49+ Months")))</f>
        <v>13-24 Months</v>
      </c>
      <c r="L82">
        <f>IF(Table134[[#This Row],[Churn]]="Yes",1,0)</f>
        <v>0</v>
      </c>
    </row>
    <row r="83" spans="1:12" x14ac:dyDescent="0.35">
      <c r="A83" t="s">
        <v>105</v>
      </c>
      <c r="B83" t="s">
        <v>17</v>
      </c>
      <c r="C83">
        <v>51</v>
      </c>
      <c r="D83">
        <v>60</v>
      </c>
      <c r="E83" t="s">
        <v>12</v>
      </c>
      <c r="F83" t="s">
        <v>13</v>
      </c>
      <c r="G83" t="s">
        <v>23</v>
      </c>
      <c r="H83">
        <v>122.89</v>
      </c>
      <c r="I83">
        <v>7060.59</v>
      </c>
      <c r="J83" t="s">
        <v>15</v>
      </c>
      <c r="K83" t="str">
        <f>IF(D83&lt;=12,"0-12 Months",IF(D83&lt;=24,"13-24 Months",IF(D83&lt;=48,"25-48 Months","49+ Months")))</f>
        <v>49+ Months</v>
      </c>
      <c r="L83">
        <f>IF(Table134[[#This Row],[Churn]]="Yes",1,0)</f>
        <v>0</v>
      </c>
    </row>
    <row r="84" spans="1:12" x14ac:dyDescent="0.35">
      <c r="A84" t="s">
        <v>106</v>
      </c>
      <c r="B84" t="s">
        <v>11</v>
      </c>
      <c r="C84">
        <v>20</v>
      </c>
      <c r="D84">
        <v>64</v>
      </c>
      <c r="E84" t="s">
        <v>18</v>
      </c>
      <c r="F84" t="s">
        <v>29</v>
      </c>
      <c r="G84" t="s">
        <v>19</v>
      </c>
      <c r="H84">
        <v>98.32</v>
      </c>
      <c r="I84">
        <v>6575.26</v>
      </c>
      <c r="J84" t="s">
        <v>15</v>
      </c>
      <c r="K84" t="str">
        <f>IF(D84&lt;=12,"0-12 Months",IF(D84&lt;=24,"13-24 Months",IF(D84&lt;=48,"25-48 Months","49+ Months")))</f>
        <v>49+ Months</v>
      </c>
      <c r="L84">
        <f>IF(Table134[[#This Row],[Churn]]="Yes",1,0)</f>
        <v>0</v>
      </c>
    </row>
    <row r="85" spans="1:12" x14ac:dyDescent="0.35">
      <c r="A85" t="s">
        <v>107</v>
      </c>
      <c r="B85" t="s">
        <v>17</v>
      </c>
      <c r="C85">
        <v>67</v>
      </c>
      <c r="D85">
        <v>35</v>
      </c>
      <c r="E85" t="s">
        <v>21</v>
      </c>
      <c r="F85" t="s">
        <v>13</v>
      </c>
      <c r="G85" t="s">
        <v>23</v>
      </c>
      <c r="H85">
        <v>86.51</v>
      </c>
      <c r="I85">
        <v>3231.57</v>
      </c>
      <c r="J85" t="s">
        <v>15</v>
      </c>
      <c r="K85" t="str">
        <f>IF(D85&lt;=12,"0-12 Months",IF(D85&lt;=24,"13-24 Months",IF(D85&lt;=48,"25-48 Months","49+ Months")))</f>
        <v>25-48 Months</v>
      </c>
      <c r="L85">
        <f>IF(Table134[[#This Row],[Churn]]="Yes",1,0)</f>
        <v>0</v>
      </c>
    </row>
    <row r="86" spans="1:12" x14ac:dyDescent="0.35">
      <c r="A86" t="s">
        <v>108</v>
      </c>
      <c r="B86" t="s">
        <v>11</v>
      </c>
      <c r="C86">
        <v>29</v>
      </c>
      <c r="D86">
        <v>70</v>
      </c>
      <c r="E86" t="s">
        <v>12</v>
      </c>
      <c r="F86" t="s">
        <v>22</v>
      </c>
      <c r="G86" t="s">
        <v>19</v>
      </c>
      <c r="H86">
        <v>27.93</v>
      </c>
      <c r="I86">
        <v>2096.84</v>
      </c>
      <c r="J86" t="s">
        <v>15</v>
      </c>
      <c r="K86" t="str">
        <f>IF(D86&lt;=12,"0-12 Months",IF(D86&lt;=24,"13-24 Months",IF(D86&lt;=48,"25-48 Months","49+ Months")))</f>
        <v>49+ Months</v>
      </c>
      <c r="L86">
        <f>IF(Table134[[#This Row],[Churn]]="Yes",1,0)</f>
        <v>0</v>
      </c>
    </row>
    <row r="87" spans="1:12" x14ac:dyDescent="0.35">
      <c r="A87" t="s">
        <v>109</v>
      </c>
      <c r="B87" t="s">
        <v>11</v>
      </c>
      <c r="C87">
        <v>18</v>
      </c>
      <c r="D87">
        <v>30</v>
      </c>
      <c r="E87" t="s">
        <v>12</v>
      </c>
      <c r="F87" t="s">
        <v>22</v>
      </c>
      <c r="G87" t="s">
        <v>19</v>
      </c>
      <c r="H87">
        <v>57.42</v>
      </c>
      <c r="I87">
        <v>1659.21</v>
      </c>
      <c r="J87" t="s">
        <v>15</v>
      </c>
      <c r="K87" t="str">
        <f>IF(D87&lt;=12,"0-12 Months",IF(D87&lt;=24,"13-24 Months",IF(D87&lt;=48,"25-48 Months","49+ Months")))</f>
        <v>25-48 Months</v>
      </c>
      <c r="L87">
        <f>IF(Table134[[#This Row],[Churn]]="Yes",1,0)</f>
        <v>0</v>
      </c>
    </row>
    <row r="88" spans="1:12" x14ac:dyDescent="0.35">
      <c r="A88" t="s">
        <v>110</v>
      </c>
      <c r="B88" t="s">
        <v>17</v>
      </c>
      <c r="C88">
        <v>61</v>
      </c>
      <c r="D88">
        <v>71</v>
      </c>
      <c r="E88" t="s">
        <v>18</v>
      </c>
      <c r="F88" t="s">
        <v>13</v>
      </c>
      <c r="G88" t="s">
        <v>23</v>
      </c>
      <c r="H88">
        <v>32.130000000000003</v>
      </c>
      <c r="I88">
        <v>2441.9299999999998</v>
      </c>
      <c r="J88" t="s">
        <v>15</v>
      </c>
      <c r="K88" t="str">
        <f>IF(D88&lt;=12,"0-12 Months",IF(D88&lt;=24,"13-24 Months",IF(D88&lt;=48,"25-48 Months","49+ Months")))</f>
        <v>49+ Months</v>
      </c>
      <c r="L88">
        <f>IF(Table134[[#This Row],[Churn]]="Yes",1,0)</f>
        <v>0</v>
      </c>
    </row>
    <row r="89" spans="1:12" x14ac:dyDescent="0.35">
      <c r="A89" t="s">
        <v>111</v>
      </c>
      <c r="B89" t="s">
        <v>11</v>
      </c>
      <c r="C89">
        <v>22</v>
      </c>
      <c r="D89">
        <v>63</v>
      </c>
      <c r="E89" t="s">
        <v>12</v>
      </c>
      <c r="F89" t="s">
        <v>13</v>
      </c>
      <c r="G89" t="s">
        <v>19</v>
      </c>
      <c r="H89">
        <v>145.30000000000001</v>
      </c>
      <c r="I89">
        <v>8313.4500000000007</v>
      </c>
      <c r="J89" t="s">
        <v>15</v>
      </c>
      <c r="K89" t="str">
        <f>IF(D89&lt;=12,"0-12 Months",IF(D89&lt;=24,"13-24 Months",IF(D89&lt;=48,"25-48 Months","49+ Months")))</f>
        <v>49+ Months</v>
      </c>
      <c r="L89">
        <f>IF(Table134[[#This Row],[Churn]]="Yes",1,0)</f>
        <v>0</v>
      </c>
    </row>
    <row r="90" spans="1:12" x14ac:dyDescent="0.35">
      <c r="A90" t="s">
        <v>112</v>
      </c>
      <c r="B90" t="s">
        <v>17</v>
      </c>
      <c r="C90">
        <v>47</v>
      </c>
      <c r="D90">
        <v>28</v>
      </c>
      <c r="E90" t="s">
        <v>21</v>
      </c>
      <c r="F90" t="s">
        <v>13</v>
      </c>
      <c r="G90" t="s">
        <v>14</v>
      </c>
      <c r="H90">
        <v>37.56</v>
      </c>
      <c r="I90">
        <v>956.96</v>
      </c>
      <c r="J90" t="s">
        <v>15</v>
      </c>
      <c r="K90" t="str">
        <f>IF(D90&lt;=12,"0-12 Months",IF(D90&lt;=24,"13-24 Months",IF(D90&lt;=48,"25-48 Months","49+ Months")))</f>
        <v>25-48 Months</v>
      </c>
      <c r="L90">
        <f>IF(Table134[[#This Row],[Churn]]="Yes",1,0)</f>
        <v>0</v>
      </c>
    </row>
    <row r="91" spans="1:12" x14ac:dyDescent="0.35">
      <c r="A91" t="s">
        <v>113</v>
      </c>
      <c r="B91" t="s">
        <v>17</v>
      </c>
      <c r="C91">
        <v>47</v>
      </c>
      <c r="D91">
        <v>60</v>
      </c>
      <c r="E91" t="s">
        <v>21</v>
      </c>
      <c r="F91" t="s">
        <v>22</v>
      </c>
      <c r="G91" t="s">
        <v>14</v>
      </c>
      <c r="H91">
        <v>39.729999999999997</v>
      </c>
      <c r="I91">
        <v>2442.69</v>
      </c>
      <c r="J91" t="s">
        <v>15</v>
      </c>
      <c r="K91" t="str">
        <f>IF(D91&lt;=12,"0-12 Months",IF(D91&lt;=24,"13-24 Months",IF(D91&lt;=48,"25-48 Months","49+ Months")))</f>
        <v>49+ Months</v>
      </c>
      <c r="L91">
        <f>IF(Table134[[#This Row],[Churn]]="Yes",1,0)</f>
        <v>0</v>
      </c>
    </row>
    <row r="92" spans="1:12" x14ac:dyDescent="0.35">
      <c r="A92" t="s">
        <v>114</v>
      </c>
      <c r="B92" t="s">
        <v>17</v>
      </c>
      <c r="C92">
        <v>34</v>
      </c>
      <c r="D92">
        <v>37</v>
      </c>
      <c r="E92" t="s">
        <v>12</v>
      </c>
      <c r="F92" t="s">
        <v>13</v>
      </c>
      <c r="G92" t="s">
        <v>14</v>
      </c>
      <c r="H92">
        <v>135.63999999999999</v>
      </c>
      <c r="I92">
        <v>4580.1499999999996</v>
      </c>
      <c r="J92" t="s">
        <v>15</v>
      </c>
      <c r="K92" t="str">
        <f>IF(D92&lt;=12,"0-12 Months",IF(D92&lt;=24,"13-24 Months",IF(D92&lt;=48,"25-48 Months","49+ Months")))</f>
        <v>25-48 Months</v>
      </c>
      <c r="L92">
        <f>IF(Table134[[#This Row],[Churn]]="Yes",1,0)</f>
        <v>0</v>
      </c>
    </row>
    <row r="93" spans="1:12" x14ac:dyDescent="0.35">
      <c r="A93" t="s">
        <v>115</v>
      </c>
      <c r="B93" t="s">
        <v>17</v>
      </c>
      <c r="C93">
        <v>65</v>
      </c>
      <c r="D93">
        <v>22</v>
      </c>
      <c r="E93" t="s">
        <v>12</v>
      </c>
      <c r="F93" t="s">
        <v>13</v>
      </c>
      <c r="G93" t="s">
        <v>23</v>
      </c>
      <c r="H93">
        <v>142.71</v>
      </c>
      <c r="I93">
        <v>3029.49</v>
      </c>
      <c r="J93" t="s">
        <v>27</v>
      </c>
      <c r="K93" t="str">
        <f>IF(D93&lt;=12,"0-12 Months",IF(D93&lt;=24,"13-24 Months",IF(D93&lt;=48,"25-48 Months","49+ Months")))</f>
        <v>13-24 Months</v>
      </c>
      <c r="L93">
        <f>IF(Table134[[#This Row],[Churn]]="Yes",1,0)</f>
        <v>1</v>
      </c>
    </row>
    <row r="94" spans="1:12" x14ac:dyDescent="0.35">
      <c r="A94" t="s">
        <v>116</v>
      </c>
      <c r="B94" t="s">
        <v>17</v>
      </c>
      <c r="C94">
        <v>64</v>
      </c>
      <c r="D94">
        <v>68</v>
      </c>
      <c r="E94" t="s">
        <v>21</v>
      </c>
      <c r="F94" t="s">
        <v>29</v>
      </c>
      <c r="G94" t="s">
        <v>23</v>
      </c>
      <c r="H94">
        <v>119.56</v>
      </c>
      <c r="I94">
        <v>8410.98</v>
      </c>
      <c r="J94" t="s">
        <v>15</v>
      </c>
      <c r="K94" t="str">
        <f>IF(D94&lt;=12,"0-12 Months",IF(D94&lt;=24,"13-24 Months",IF(D94&lt;=48,"25-48 Months","49+ Months")))</f>
        <v>49+ Months</v>
      </c>
      <c r="L94">
        <f>IF(Table134[[#This Row],[Churn]]="Yes",1,0)</f>
        <v>0</v>
      </c>
    </row>
    <row r="95" spans="1:12" x14ac:dyDescent="0.35">
      <c r="A95" t="s">
        <v>117</v>
      </c>
      <c r="B95" t="s">
        <v>17</v>
      </c>
      <c r="C95">
        <v>40</v>
      </c>
      <c r="D95">
        <v>20</v>
      </c>
      <c r="E95" t="s">
        <v>12</v>
      </c>
      <c r="F95" t="s">
        <v>29</v>
      </c>
      <c r="G95" t="s">
        <v>14</v>
      </c>
      <c r="H95">
        <v>20.7</v>
      </c>
      <c r="I95">
        <v>400.53</v>
      </c>
      <c r="J95" t="s">
        <v>27</v>
      </c>
      <c r="K95" t="str">
        <f>IF(D95&lt;=12,"0-12 Months",IF(D95&lt;=24,"13-24 Months",IF(D95&lt;=48,"25-48 Months","49+ Months")))</f>
        <v>13-24 Months</v>
      </c>
      <c r="L95">
        <f>IF(Table134[[#This Row],[Churn]]="Yes",1,0)</f>
        <v>1</v>
      </c>
    </row>
    <row r="96" spans="1:12" x14ac:dyDescent="0.35">
      <c r="A96" t="s">
        <v>118</v>
      </c>
      <c r="B96" t="s">
        <v>17</v>
      </c>
      <c r="C96">
        <v>32</v>
      </c>
      <c r="D96">
        <v>68</v>
      </c>
      <c r="E96" t="s">
        <v>12</v>
      </c>
      <c r="F96" t="s">
        <v>29</v>
      </c>
      <c r="G96" t="s">
        <v>14</v>
      </c>
      <c r="H96">
        <v>20.18</v>
      </c>
      <c r="I96">
        <v>1284.31</v>
      </c>
      <c r="J96" t="s">
        <v>15</v>
      </c>
      <c r="K96" t="str">
        <f>IF(D96&lt;=12,"0-12 Months",IF(D96&lt;=24,"13-24 Months",IF(D96&lt;=48,"25-48 Months","49+ Months")))</f>
        <v>49+ Months</v>
      </c>
      <c r="L96">
        <f>IF(Table134[[#This Row],[Churn]]="Yes",1,0)</f>
        <v>0</v>
      </c>
    </row>
    <row r="97" spans="1:12" x14ac:dyDescent="0.35">
      <c r="A97" t="s">
        <v>119</v>
      </c>
      <c r="B97" t="s">
        <v>17</v>
      </c>
      <c r="C97">
        <v>54</v>
      </c>
      <c r="D97">
        <v>64</v>
      </c>
      <c r="E97" t="s">
        <v>18</v>
      </c>
      <c r="F97" t="s">
        <v>29</v>
      </c>
      <c r="G97" t="s">
        <v>23</v>
      </c>
      <c r="H97">
        <v>69.150000000000006</v>
      </c>
      <c r="I97">
        <v>4232.07</v>
      </c>
      <c r="J97" t="s">
        <v>15</v>
      </c>
      <c r="K97" t="str">
        <f>IF(D97&lt;=12,"0-12 Months",IF(D97&lt;=24,"13-24 Months",IF(D97&lt;=48,"25-48 Months","49+ Months")))</f>
        <v>49+ Months</v>
      </c>
      <c r="L97">
        <f>IF(Table134[[#This Row],[Churn]]="Yes",1,0)</f>
        <v>0</v>
      </c>
    </row>
    <row r="98" spans="1:12" x14ac:dyDescent="0.35">
      <c r="A98" t="s">
        <v>120</v>
      </c>
      <c r="B98" t="s">
        <v>17</v>
      </c>
      <c r="C98">
        <v>38</v>
      </c>
      <c r="D98">
        <v>17</v>
      </c>
      <c r="E98" t="s">
        <v>21</v>
      </c>
      <c r="F98" t="s">
        <v>13</v>
      </c>
      <c r="G98" t="s">
        <v>14</v>
      </c>
      <c r="H98">
        <v>38.64</v>
      </c>
      <c r="I98">
        <v>651.30999999999995</v>
      </c>
      <c r="J98" t="s">
        <v>15</v>
      </c>
      <c r="K98" t="str">
        <f>IF(D98&lt;=12,"0-12 Months",IF(D98&lt;=24,"13-24 Months",IF(D98&lt;=48,"25-48 Months","49+ Months")))</f>
        <v>13-24 Months</v>
      </c>
      <c r="L98">
        <f>IF(Table134[[#This Row],[Churn]]="Yes",1,0)</f>
        <v>0</v>
      </c>
    </row>
    <row r="99" spans="1:12" x14ac:dyDescent="0.35">
      <c r="A99" t="s">
        <v>121</v>
      </c>
      <c r="B99" t="s">
        <v>17</v>
      </c>
      <c r="C99">
        <v>31</v>
      </c>
      <c r="D99">
        <v>12</v>
      </c>
      <c r="E99" t="s">
        <v>21</v>
      </c>
      <c r="F99" t="s">
        <v>22</v>
      </c>
      <c r="G99" t="s">
        <v>14</v>
      </c>
      <c r="H99">
        <v>22.39</v>
      </c>
      <c r="I99">
        <v>267.36</v>
      </c>
      <c r="J99" t="s">
        <v>27</v>
      </c>
      <c r="K99" t="str">
        <f>IF(D99&lt;=12,"0-12 Months",IF(D99&lt;=24,"13-24 Months",IF(D99&lt;=48,"25-48 Months","49+ Months")))</f>
        <v>0-12 Months</v>
      </c>
      <c r="L99">
        <f>IF(Table134[[#This Row],[Churn]]="Yes",1,0)</f>
        <v>1</v>
      </c>
    </row>
    <row r="100" spans="1:12" x14ac:dyDescent="0.35">
      <c r="A100" t="s">
        <v>122</v>
      </c>
      <c r="B100" t="s">
        <v>17</v>
      </c>
      <c r="C100">
        <v>19</v>
      </c>
      <c r="D100">
        <v>22</v>
      </c>
      <c r="E100" t="s">
        <v>21</v>
      </c>
      <c r="F100" t="s">
        <v>29</v>
      </c>
      <c r="G100" t="s">
        <v>19</v>
      </c>
      <c r="H100">
        <v>80.33</v>
      </c>
      <c r="I100">
        <v>1867.29</v>
      </c>
      <c r="J100" t="s">
        <v>15</v>
      </c>
      <c r="K100" t="str">
        <f>IF(D100&lt;=12,"0-12 Months",IF(D100&lt;=24,"13-24 Months",IF(D100&lt;=48,"25-48 Months","49+ Months")))</f>
        <v>13-24 Months</v>
      </c>
      <c r="L100">
        <f>IF(Table134[[#This Row],[Churn]]="Yes",1,0)</f>
        <v>0</v>
      </c>
    </row>
    <row r="101" spans="1:12" x14ac:dyDescent="0.35">
      <c r="A101" t="s">
        <v>123</v>
      </c>
      <c r="B101" t="s">
        <v>11</v>
      </c>
      <c r="C101">
        <v>28</v>
      </c>
      <c r="D101">
        <v>17</v>
      </c>
      <c r="E101" t="s">
        <v>21</v>
      </c>
      <c r="F101" t="s">
        <v>33</v>
      </c>
      <c r="G101" t="s">
        <v>19</v>
      </c>
      <c r="H101">
        <v>142.6</v>
      </c>
      <c r="I101">
        <v>2545.48</v>
      </c>
      <c r="J101" t="s">
        <v>15</v>
      </c>
      <c r="K101" t="str">
        <f>IF(D101&lt;=12,"0-12 Months",IF(D101&lt;=24,"13-24 Months",IF(D101&lt;=48,"25-48 Months","49+ Months")))</f>
        <v>13-24 Months</v>
      </c>
      <c r="L101">
        <f>IF(Table134[[#This Row],[Churn]]="Yes",1,0)</f>
        <v>0</v>
      </c>
    </row>
    <row r="102" spans="1:12" x14ac:dyDescent="0.35">
      <c r="A102" t="s">
        <v>124</v>
      </c>
      <c r="B102" t="s">
        <v>11</v>
      </c>
      <c r="C102">
        <v>68</v>
      </c>
      <c r="D102">
        <v>10</v>
      </c>
      <c r="E102" t="s">
        <v>12</v>
      </c>
      <c r="F102" t="s">
        <v>29</v>
      </c>
      <c r="G102" t="s">
        <v>23</v>
      </c>
      <c r="H102">
        <v>62.1</v>
      </c>
      <c r="I102">
        <v>615.64</v>
      </c>
      <c r="J102" t="s">
        <v>27</v>
      </c>
      <c r="K102" t="str">
        <f>IF(D102&lt;=12,"0-12 Months",IF(D102&lt;=24,"13-24 Months",IF(D102&lt;=48,"25-48 Months","49+ Months")))</f>
        <v>0-12 Months</v>
      </c>
      <c r="L102">
        <f>IF(Table134[[#This Row],[Churn]]="Yes",1,0)</f>
        <v>1</v>
      </c>
    </row>
    <row r="103" spans="1:12" x14ac:dyDescent="0.35">
      <c r="A103" t="s">
        <v>125</v>
      </c>
      <c r="B103" t="s">
        <v>17</v>
      </c>
      <c r="C103">
        <v>56</v>
      </c>
      <c r="D103">
        <v>65</v>
      </c>
      <c r="E103" t="s">
        <v>12</v>
      </c>
      <c r="F103" t="s">
        <v>22</v>
      </c>
      <c r="G103" t="s">
        <v>23</v>
      </c>
      <c r="H103">
        <v>105.95</v>
      </c>
      <c r="I103">
        <v>7362.85</v>
      </c>
      <c r="J103" t="s">
        <v>27</v>
      </c>
      <c r="K103" t="str">
        <f>IF(D103&lt;=12,"0-12 Months",IF(D103&lt;=24,"13-24 Months",IF(D103&lt;=48,"25-48 Months","49+ Months")))</f>
        <v>49+ Months</v>
      </c>
      <c r="L103">
        <f>IF(Table134[[#This Row],[Churn]]="Yes",1,0)</f>
        <v>1</v>
      </c>
    </row>
    <row r="104" spans="1:12" x14ac:dyDescent="0.35">
      <c r="A104" t="s">
        <v>126</v>
      </c>
      <c r="B104" t="s">
        <v>17</v>
      </c>
      <c r="C104">
        <v>55</v>
      </c>
      <c r="D104">
        <v>22</v>
      </c>
      <c r="E104" t="s">
        <v>12</v>
      </c>
      <c r="F104" t="s">
        <v>22</v>
      </c>
      <c r="G104" t="s">
        <v>23</v>
      </c>
      <c r="H104">
        <v>104.79</v>
      </c>
      <c r="I104">
        <v>2127.5100000000002</v>
      </c>
      <c r="J104" t="s">
        <v>27</v>
      </c>
      <c r="K104" t="str">
        <f>IF(D104&lt;=12,"0-12 Months",IF(D104&lt;=24,"13-24 Months",IF(D104&lt;=48,"25-48 Months","49+ Months")))</f>
        <v>13-24 Months</v>
      </c>
      <c r="L104">
        <f>IF(Table134[[#This Row],[Churn]]="Yes",1,0)</f>
        <v>1</v>
      </c>
    </row>
    <row r="105" spans="1:12" x14ac:dyDescent="0.35">
      <c r="A105" t="s">
        <v>127</v>
      </c>
      <c r="B105" t="s">
        <v>17</v>
      </c>
      <c r="C105">
        <v>51</v>
      </c>
      <c r="D105">
        <v>50</v>
      </c>
      <c r="E105" t="s">
        <v>12</v>
      </c>
      <c r="F105" t="s">
        <v>13</v>
      </c>
      <c r="G105" t="s">
        <v>23</v>
      </c>
      <c r="H105">
        <v>52.64</v>
      </c>
      <c r="I105">
        <v>2503.2199999999998</v>
      </c>
      <c r="J105" t="s">
        <v>15</v>
      </c>
      <c r="K105" t="str">
        <f>IF(D105&lt;=12,"0-12 Months",IF(D105&lt;=24,"13-24 Months",IF(D105&lt;=48,"25-48 Months","49+ Months")))</f>
        <v>49+ Months</v>
      </c>
      <c r="L105">
        <f>IF(Table134[[#This Row],[Churn]]="Yes",1,0)</f>
        <v>0</v>
      </c>
    </row>
    <row r="106" spans="1:12" x14ac:dyDescent="0.35">
      <c r="A106" t="s">
        <v>128</v>
      </c>
      <c r="B106" t="s">
        <v>17</v>
      </c>
      <c r="C106">
        <v>55</v>
      </c>
      <c r="D106">
        <v>14</v>
      </c>
      <c r="E106" t="s">
        <v>21</v>
      </c>
      <c r="F106" t="s">
        <v>29</v>
      </c>
      <c r="G106" t="s">
        <v>23</v>
      </c>
      <c r="H106">
        <v>104.56</v>
      </c>
      <c r="I106">
        <v>1559.86</v>
      </c>
      <c r="J106" t="s">
        <v>15</v>
      </c>
      <c r="K106" t="str">
        <f>IF(D106&lt;=12,"0-12 Months",IF(D106&lt;=24,"13-24 Months",IF(D106&lt;=48,"25-48 Months","49+ Months")))</f>
        <v>13-24 Months</v>
      </c>
      <c r="L106">
        <f>IF(Table134[[#This Row],[Churn]]="Yes",1,0)</f>
        <v>0</v>
      </c>
    </row>
    <row r="107" spans="1:12" x14ac:dyDescent="0.35">
      <c r="A107" t="s">
        <v>129</v>
      </c>
      <c r="B107" t="s">
        <v>17</v>
      </c>
      <c r="C107">
        <v>67</v>
      </c>
      <c r="D107">
        <v>64</v>
      </c>
      <c r="E107" t="s">
        <v>12</v>
      </c>
      <c r="F107" t="s">
        <v>22</v>
      </c>
      <c r="G107" t="s">
        <v>23</v>
      </c>
      <c r="H107">
        <v>47.6</v>
      </c>
      <c r="I107">
        <v>2972.06</v>
      </c>
      <c r="J107" t="s">
        <v>15</v>
      </c>
      <c r="K107" t="str">
        <f>IF(D107&lt;=12,"0-12 Months",IF(D107&lt;=24,"13-24 Months",IF(D107&lt;=48,"25-48 Months","49+ Months")))</f>
        <v>49+ Months</v>
      </c>
      <c r="L107">
        <f>IF(Table134[[#This Row],[Churn]]="Yes",1,0)</f>
        <v>0</v>
      </c>
    </row>
    <row r="108" spans="1:12" x14ac:dyDescent="0.35">
      <c r="A108" t="s">
        <v>130</v>
      </c>
      <c r="B108" t="s">
        <v>17</v>
      </c>
      <c r="C108">
        <v>51</v>
      </c>
      <c r="D108">
        <v>47</v>
      </c>
      <c r="E108" t="s">
        <v>12</v>
      </c>
      <c r="F108" t="s">
        <v>13</v>
      </c>
      <c r="G108" t="s">
        <v>23</v>
      </c>
      <c r="H108">
        <v>35.86</v>
      </c>
      <c r="I108">
        <v>1847.62</v>
      </c>
      <c r="J108" t="s">
        <v>27</v>
      </c>
      <c r="K108" t="str">
        <f>IF(D108&lt;=12,"0-12 Months",IF(D108&lt;=24,"13-24 Months",IF(D108&lt;=48,"25-48 Months","49+ Months")))</f>
        <v>25-48 Months</v>
      </c>
      <c r="L108">
        <f>IF(Table134[[#This Row],[Churn]]="Yes",1,0)</f>
        <v>1</v>
      </c>
    </row>
    <row r="109" spans="1:12" x14ac:dyDescent="0.35">
      <c r="A109" t="s">
        <v>131</v>
      </c>
      <c r="B109" t="s">
        <v>17</v>
      </c>
      <c r="C109">
        <v>35</v>
      </c>
      <c r="D109">
        <v>29</v>
      </c>
      <c r="E109" t="s">
        <v>12</v>
      </c>
      <c r="F109" t="s">
        <v>33</v>
      </c>
      <c r="G109" t="s">
        <v>14</v>
      </c>
      <c r="H109">
        <v>111.18</v>
      </c>
      <c r="I109">
        <v>3202.46</v>
      </c>
      <c r="J109" t="s">
        <v>15</v>
      </c>
      <c r="K109" t="str">
        <f>IF(D109&lt;=12,"0-12 Months",IF(D109&lt;=24,"13-24 Months",IF(D109&lt;=48,"25-48 Months","49+ Months")))</f>
        <v>25-48 Months</v>
      </c>
      <c r="L109">
        <f>IF(Table134[[#This Row],[Churn]]="Yes",1,0)</f>
        <v>0</v>
      </c>
    </row>
    <row r="110" spans="1:12" x14ac:dyDescent="0.35">
      <c r="A110" t="s">
        <v>132</v>
      </c>
      <c r="B110" t="s">
        <v>17</v>
      </c>
      <c r="C110">
        <v>47</v>
      </c>
      <c r="D110">
        <v>36</v>
      </c>
      <c r="E110" t="s">
        <v>12</v>
      </c>
      <c r="F110" t="s">
        <v>13</v>
      </c>
      <c r="G110" t="s">
        <v>14</v>
      </c>
      <c r="H110">
        <v>34.75</v>
      </c>
      <c r="I110">
        <v>1324.04</v>
      </c>
      <c r="J110" t="s">
        <v>27</v>
      </c>
      <c r="K110" t="str">
        <f>IF(D110&lt;=12,"0-12 Months",IF(D110&lt;=24,"13-24 Months",IF(D110&lt;=48,"25-48 Months","49+ Months")))</f>
        <v>25-48 Months</v>
      </c>
      <c r="L110">
        <f>IF(Table134[[#This Row],[Churn]]="Yes",1,0)</f>
        <v>1</v>
      </c>
    </row>
    <row r="111" spans="1:12" x14ac:dyDescent="0.35">
      <c r="A111" t="s">
        <v>133</v>
      </c>
      <c r="B111" t="s">
        <v>11</v>
      </c>
      <c r="C111">
        <v>32</v>
      </c>
      <c r="D111">
        <v>52</v>
      </c>
      <c r="E111" t="s">
        <v>12</v>
      </c>
      <c r="F111" t="s">
        <v>33</v>
      </c>
      <c r="G111" t="s">
        <v>14</v>
      </c>
      <c r="H111">
        <v>149.6</v>
      </c>
      <c r="I111">
        <v>7627.21</v>
      </c>
      <c r="J111" t="s">
        <v>15</v>
      </c>
      <c r="K111" t="str">
        <f>IF(D111&lt;=12,"0-12 Months",IF(D111&lt;=24,"13-24 Months",IF(D111&lt;=48,"25-48 Months","49+ Months")))</f>
        <v>49+ Months</v>
      </c>
      <c r="L111">
        <f>IF(Table134[[#This Row],[Churn]]="Yes",1,0)</f>
        <v>0</v>
      </c>
    </row>
    <row r="112" spans="1:12" x14ac:dyDescent="0.35">
      <c r="A112" t="s">
        <v>134</v>
      </c>
      <c r="B112" t="s">
        <v>17</v>
      </c>
      <c r="C112">
        <v>44</v>
      </c>
      <c r="D112">
        <v>7</v>
      </c>
      <c r="E112" t="s">
        <v>12</v>
      </c>
      <c r="F112" t="s">
        <v>29</v>
      </c>
      <c r="G112" t="s">
        <v>14</v>
      </c>
      <c r="H112">
        <v>43.85</v>
      </c>
      <c r="I112">
        <v>302.33999999999997</v>
      </c>
      <c r="J112" t="s">
        <v>27</v>
      </c>
      <c r="K112" t="str">
        <f>IF(D112&lt;=12,"0-12 Months",IF(D112&lt;=24,"13-24 Months",IF(D112&lt;=48,"25-48 Months","49+ Months")))</f>
        <v>0-12 Months</v>
      </c>
      <c r="L112">
        <f>IF(Table134[[#This Row],[Churn]]="Yes",1,0)</f>
        <v>1</v>
      </c>
    </row>
    <row r="113" spans="1:12" x14ac:dyDescent="0.35">
      <c r="A113" t="s">
        <v>135</v>
      </c>
      <c r="B113" t="s">
        <v>11</v>
      </c>
      <c r="C113">
        <v>68</v>
      </c>
      <c r="D113">
        <v>29</v>
      </c>
      <c r="E113" t="s">
        <v>12</v>
      </c>
      <c r="F113" t="s">
        <v>22</v>
      </c>
      <c r="G113" t="s">
        <v>23</v>
      </c>
      <c r="H113">
        <v>97.24</v>
      </c>
      <c r="I113">
        <v>2753.91</v>
      </c>
      <c r="J113" t="s">
        <v>15</v>
      </c>
      <c r="K113" t="str">
        <f>IF(D113&lt;=12,"0-12 Months",IF(D113&lt;=24,"13-24 Months",IF(D113&lt;=48,"25-48 Months","49+ Months")))</f>
        <v>25-48 Months</v>
      </c>
      <c r="L113">
        <f>IF(Table134[[#This Row],[Churn]]="Yes",1,0)</f>
        <v>0</v>
      </c>
    </row>
    <row r="114" spans="1:12" x14ac:dyDescent="0.35">
      <c r="A114" t="s">
        <v>136</v>
      </c>
      <c r="B114" t="s">
        <v>17</v>
      </c>
      <c r="C114">
        <v>51</v>
      </c>
      <c r="D114">
        <v>11</v>
      </c>
      <c r="E114" t="s">
        <v>12</v>
      </c>
      <c r="F114" t="s">
        <v>22</v>
      </c>
      <c r="G114" t="s">
        <v>23</v>
      </c>
      <c r="H114">
        <v>73.48</v>
      </c>
      <c r="I114">
        <v>843.69</v>
      </c>
      <c r="J114" t="s">
        <v>15</v>
      </c>
      <c r="K114" t="str">
        <f>IF(D114&lt;=12,"0-12 Months",IF(D114&lt;=24,"13-24 Months",IF(D114&lt;=48,"25-48 Months","49+ Months")))</f>
        <v>0-12 Months</v>
      </c>
      <c r="L114">
        <f>IF(Table134[[#This Row],[Churn]]="Yes",1,0)</f>
        <v>0</v>
      </c>
    </row>
    <row r="115" spans="1:12" x14ac:dyDescent="0.35">
      <c r="A115" t="s">
        <v>137</v>
      </c>
      <c r="B115" t="s">
        <v>17</v>
      </c>
      <c r="C115">
        <v>69</v>
      </c>
      <c r="D115">
        <v>33</v>
      </c>
      <c r="E115" t="s">
        <v>12</v>
      </c>
      <c r="F115" t="s">
        <v>22</v>
      </c>
      <c r="G115" t="s">
        <v>23</v>
      </c>
      <c r="H115">
        <v>36.43</v>
      </c>
      <c r="I115">
        <v>1213.6199999999999</v>
      </c>
      <c r="J115" t="s">
        <v>15</v>
      </c>
      <c r="K115" t="str">
        <f>IF(D115&lt;=12,"0-12 Months",IF(D115&lt;=24,"13-24 Months",IF(D115&lt;=48,"25-48 Months","49+ Months")))</f>
        <v>25-48 Months</v>
      </c>
      <c r="L115">
        <f>IF(Table134[[#This Row],[Churn]]="Yes",1,0)</f>
        <v>0</v>
      </c>
    </row>
    <row r="116" spans="1:12" x14ac:dyDescent="0.35">
      <c r="A116" t="s">
        <v>138</v>
      </c>
      <c r="B116" t="s">
        <v>11</v>
      </c>
      <c r="C116">
        <v>55</v>
      </c>
      <c r="D116">
        <v>6</v>
      </c>
      <c r="E116" t="s">
        <v>21</v>
      </c>
      <c r="F116" t="s">
        <v>29</v>
      </c>
      <c r="G116" t="s">
        <v>23</v>
      </c>
      <c r="H116">
        <v>23.62</v>
      </c>
      <c r="I116">
        <v>154.30000000000001</v>
      </c>
      <c r="J116" t="s">
        <v>15</v>
      </c>
      <c r="K116" t="str">
        <f>IF(D116&lt;=12,"0-12 Months",IF(D116&lt;=24,"13-24 Months",IF(D116&lt;=48,"25-48 Months","49+ Months")))</f>
        <v>0-12 Months</v>
      </c>
      <c r="L116">
        <f>IF(Table134[[#This Row],[Churn]]="Yes",1,0)</f>
        <v>0</v>
      </c>
    </row>
    <row r="117" spans="1:12" x14ac:dyDescent="0.35">
      <c r="A117" t="s">
        <v>139</v>
      </c>
      <c r="B117" t="s">
        <v>17</v>
      </c>
      <c r="C117">
        <v>50</v>
      </c>
      <c r="D117">
        <v>32</v>
      </c>
      <c r="E117" t="s">
        <v>12</v>
      </c>
      <c r="F117" t="s">
        <v>22</v>
      </c>
      <c r="G117" t="s">
        <v>23</v>
      </c>
      <c r="H117">
        <v>100.96</v>
      </c>
      <c r="I117">
        <v>3069.76</v>
      </c>
      <c r="J117" t="s">
        <v>15</v>
      </c>
      <c r="K117" t="str">
        <f>IF(D117&lt;=12,"0-12 Months",IF(D117&lt;=24,"13-24 Months",IF(D117&lt;=48,"25-48 Months","49+ Months")))</f>
        <v>25-48 Months</v>
      </c>
      <c r="L117">
        <f>IF(Table134[[#This Row],[Churn]]="Yes",1,0)</f>
        <v>0</v>
      </c>
    </row>
    <row r="118" spans="1:12" x14ac:dyDescent="0.35">
      <c r="A118" t="s">
        <v>140</v>
      </c>
      <c r="B118" t="s">
        <v>11</v>
      </c>
      <c r="C118">
        <v>41</v>
      </c>
      <c r="D118">
        <v>51</v>
      </c>
      <c r="E118" t="s">
        <v>12</v>
      </c>
      <c r="F118" t="s">
        <v>13</v>
      </c>
      <c r="G118" t="s">
        <v>14</v>
      </c>
      <c r="H118">
        <v>124.88</v>
      </c>
      <c r="I118">
        <v>5860.09</v>
      </c>
      <c r="J118" t="s">
        <v>15</v>
      </c>
      <c r="K118" t="str">
        <f>IF(D118&lt;=12,"0-12 Months",IF(D118&lt;=24,"13-24 Months",IF(D118&lt;=48,"25-48 Months","49+ Months")))</f>
        <v>49+ Months</v>
      </c>
      <c r="L118">
        <f>IF(Table134[[#This Row],[Churn]]="Yes",1,0)</f>
        <v>0</v>
      </c>
    </row>
    <row r="119" spans="1:12" x14ac:dyDescent="0.35">
      <c r="A119" t="s">
        <v>141</v>
      </c>
      <c r="B119" t="s">
        <v>17</v>
      </c>
      <c r="C119">
        <v>32</v>
      </c>
      <c r="D119">
        <v>58</v>
      </c>
      <c r="E119" t="s">
        <v>21</v>
      </c>
      <c r="F119" t="s">
        <v>22</v>
      </c>
      <c r="G119" t="s">
        <v>14</v>
      </c>
      <c r="H119">
        <v>129.46</v>
      </c>
      <c r="I119">
        <v>7348.39</v>
      </c>
      <c r="J119" t="s">
        <v>15</v>
      </c>
      <c r="K119" t="str">
        <f>IF(D119&lt;=12,"0-12 Months",IF(D119&lt;=24,"13-24 Months",IF(D119&lt;=48,"25-48 Months","49+ Months")))</f>
        <v>49+ Months</v>
      </c>
      <c r="L119">
        <f>IF(Table134[[#This Row],[Churn]]="Yes",1,0)</f>
        <v>0</v>
      </c>
    </row>
    <row r="120" spans="1:12" x14ac:dyDescent="0.35">
      <c r="A120" t="s">
        <v>142</v>
      </c>
      <c r="B120" t="s">
        <v>17</v>
      </c>
      <c r="C120">
        <v>47</v>
      </c>
      <c r="D120">
        <v>26</v>
      </c>
      <c r="E120" t="s">
        <v>12</v>
      </c>
      <c r="F120" t="s">
        <v>29</v>
      </c>
      <c r="G120" t="s">
        <v>14</v>
      </c>
      <c r="H120">
        <v>82.75</v>
      </c>
      <c r="I120">
        <v>2201.7199999999998</v>
      </c>
      <c r="J120" t="s">
        <v>27</v>
      </c>
      <c r="K120" t="str">
        <f>IF(D120&lt;=12,"0-12 Months",IF(D120&lt;=24,"13-24 Months",IF(D120&lt;=48,"25-48 Months","49+ Months")))</f>
        <v>25-48 Months</v>
      </c>
      <c r="L120">
        <f>IF(Table134[[#This Row],[Churn]]="Yes",1,0)</f>
        <v>1</v>
      </c>
    </row>
    <row r="121" spans="1:12" x14ac:dyDescent="0.35">
      <c r="A121" t="s">
        <v>143</v>
      </c>
      <c r="B121" t="s">
        <v>11</v>
      </c>
      <c r="C121">
        <v>59</v>
      </c>
      <c r="D121">
        <v>46</v>
      </c>
      <c r="E121" t="s">
        <v>18</v>
      </c>
      <c r="F121" t="s">
        <v>33</v>
      </c>
      <c r="G121" t="s">
        <v>23</v>
      </c>
      <c r="H121">
        <v>121.07</v>
      </c>
      <c r="I121">
        <v>5971.09</v>
      </c>
      <c r="J121" t="s">
        <v>15</v>
      </c>
      <c r="K121" t="str">
        <f>IF(D121&lt;=12,"0-12 Months",IF(D121&lt;=24,"13-24 Months",IF(D121&lt;=48,"25-48 Months","49+ Months")))</f>
        <v>25-48 Months</v>
      </c>
      <c r="L121">
        <f>IF(Table134[[#This Row],[Churn]]="Yes",1,0)</f>
        <v>0</v>
      </c>
    </row>
    <row r="122" spans="1:12" x14ac:dyDescent="0.35">
      <c r="A122" t="s">
        <v>144</v>
      </c>
      <c r="B122" t="s">
        <v>17</v>
      </c>
      <c r="C122">
        <v>68</v>
      </c>
      <c r="D122">
        <v>29</v>
      </c>
      <c r="E122" t="s">
        <v>12</v>
      </c>
      <c r="F122" t="s">
        <v>29</v>
      </c>
      <c r="G122" t="s">
        <v>23</v>
      </c>
      <c r="H122">
        <v>107.47</v>
      </c>
      <c r="I122">
        <v>3020.76</v>
      </c>
      <c r="J122" t="s">
        <v>15</v>
      </c>
      <c r="K122" t="str">
        <f>IF(D122&lt;=12,"0-12 Months",IF(D122&lt;=24,"13-24 Months",IF(D122&lt;=48,"25-48 Months","49+ Months")))</f>
        <v>25-48 Months</v>
      </c>
      <c r="L122">
        <f>IF(Table134[[#This Row],[Churn]]="Yes",1,0)</f>
        <v>0</v>
      </c>
    </row>
    <row r="123" spans="1:12" x14ac:dyDescent="0.35">
      <c r="A123" t="s">
        <v>145</v>
      </c>
      <c r="B123" t="s">
        <v>11</v>
      </c>
      <c r="C123">
        <v>34</v>
      </c>
      <c r="D123">
        <v>4</v>
      </c>
      <c r="E123" t="s">
        <v>12</v>
      </c>
      <c r="F123" t="s">
        <v>33</v>
      </c>
      <c r="G123" t="s">
        <v>14</v>
      </c>
      <c r="H123">
        <v>114.15</v>
      </c>
      <c r="I123">
        <v>470.64</v>
      </c>
      <c r="J123" t="s">
        <v>27</v>
      </c>
      <c r="K123" t="str">
        <f>IF(D123&lt;=12,"0-12 Months",IF(D123&lt;=24,"13-24 Months",IF(D123&lt;=48,"25-48 Months","49+ Months")))</f>
        <v>0-12 Months</v>
      </c>
      <c r="L123">
        <f>IF(Table134[[#This Row],[Churn]]="Yes",1,0)</f>
        <v>1</v>
      </c>
    </row>
    <row r="124" spans="1:12" x14ac:dyDescent="0.35">
      <c r="A124" t="s">
        <v>146</v>
      </c>
      <c r="B124" t="s">
        <v>17</v>
      </c>
      <c r="C124">
        <v>22</v>
      </c>
      <c r="D124">
        <v>13</v>
      </c>
      <c r="E124" t="s">
        <v>21</v>
      </c>
      <c r="F124" t="s">
        <v>33</v>
      </c>
      <c r="G124" t="s">
        <v>19</v>
      </c>
      <c r="H124">
        <v>84.04</v>
      </c>
      <c r="I124">
        <v>1059.79</v>
      </c>
      <c r="J124" t="s">
        <v>15</v>
      </c>
      <c r="K124" t="str">
        <f>IF(D124&lt;=12,"0-12 Months",IF(D124&lt;=24,"13-24 Months",IF(D124&lt;=48,"25-48 Months","49+ Months")))</f>
        <v>13-24 Months</v>
      </c>
      <c r="L124">
        <f>IF(Table134[[#This Row],[Churn]]="Yes",1,0)</f>
        <v>0</v>
      </c>
    </row>
    <row r="125" spans="1:12" x14ac:dyDescent="0.35">
      <c r="A125" t="s">
        <v>147</v>
      </c>
      <c r="B125" t="s">
        <v>11</v>
      </c>
      <c r="C125">
        <v>46</v>
      </c>
      <c r="D125">
        <v>39</v>
      </c>
      <c r="E125" t="s">
        <v>12</v>
      </c>
      <c r="F125" t="s">
        <v>33</v>
      </c>
      <c r="G125" t="s">
        <v>14</v>
      </c>
      <c r="H125">
        <v>102.34</v>
      </c>
      <c r="I125">
        <v>4084.83</v>
      </c>
      <c r="J125" t="s">
        <v>27</v>
      </c>
      <c r="K125" t="str">
        <f>IF(D125&lt;=12,"0-12 Months",IF(D125&lt;=24,"13-24 Months",IF(D125&lt;=48,"25-48 Months","49+ Months")))</f>
        <v>25-48 Months</v>
      </c>
      <c r="L125">
        <f>IF(Table134[[#This Row],[Churn]]="Yes",1,0)</f>
        <v>1</v>
      </c>
    </row>
    <row r="126" spans="1:12" x14ac:dyDescent="0.35">
      <c r="A126" t="s">
        <v>148</v>
      </c>
      <c r="B126" t="s">
        <v>11</v>
      </c>
      <c r="C126">
        <v>21</v>
      </c>
      <c r="D126">
        <v>15</v>
      </c>
      <c r="E126" t="s">
        <v>21</v>
      </c>
      <c r="F126" t="s">
        <v>13</v>
      </c>
      <c r="G126" t="s">
        <v>19</v>
      </c>
      <c r="H126">
        <v>124.72</v>
      </c>
      <c r="I126">
        <v>2014.78</v>
      </c>
      <c r="J126" t="s">
        <v>15</v>
      </c>
      <c r="K126" t="str">
        <f>IF(D126&lt;=12,"0-12 Months",IF(D126&lt;=24,"13-24 Months",IF(D126&lt;=48,"25-48 Months","49+ Months")))</f>
        <v>13-24 Months</v>
      </c>
      <c r="L126">
        <f>IF(Table134[[#This Row],[Churn]]="Yes",1,0)</f>
        <v>0</v>
      </c>
    </row>
    <row r="127" spans="1:12" x14ac:dyDescent="0.35">
      <c r="A127" t="s">
        <v>149</v>
      </c>
      <c r="B127" t="s">
        <v>17</v>
      </c>
      <c r="C127">
        <v>27</v>
      </c>
      <c r="D127">
        <v>29</v>
      </c>
      <c r="E127" t="s">
        <v>12</v>
      </c>
      <c r="F127" t="s">
        <v>13</v>
      </c>
      <c r="G127" t="s">
        <v>19</v>
      </c>
      <c r="H127">
        <v>71.72</v>
      </c>
      <c r="I127">
        <v>1968.13</v>
      </c>
      <c r="J127" t="s">
        <v>27</v>
      </c>
      <c r="K127" t="str">
        <f>IF(D127&lt;=12,"0-12 Months",IF(D127&lt;=24,"13-24 Months",IF(D127&lt;=48,"25-48 Months","49+ Months")))</f>
        <v>25-48 Months</v>
      </c>
      <c r="L127">
        <f>IF(Table134[[#This Row],[Churn]]="Yes",1,0)</f>
        <v>1</v>
      </c>
    </row>
    <row r="128" spans="1:12" x14ac:dyDescent="0.35">
      <c r="A128" t="s">
        <v>150</v>
      </c>
      <c r="B128" t="s">
        <v>17</v>
      </c>
      <c r="C128">
        <v>34</v>
      </c>
      <c r="D128">
        <v>29</v>
      </c>
      <c r="E128" t="s">
        <v>18</v>
      </c>
      <c r="F128" t="s">
        <v>33</v>
      </c>
      <c r="G128" t="s">
        <v>14</v>
      </c>
      <c r="H128">
        <v>124.78</v>
      </c>
      <c r="I128">
        <v>3549.32</v>
      </c>
      <c r="J128" t="s">
        <v>27</v>
      </c>
      <c r="K128" t="str">
        <f>IF(D128&lt;=12,"0-12 Months",IF(D128&lt;=24,"13-24 Months",IF(D128&lt;=48,"25-48 Months","49+ Months")))</f>
        <v>25-48 Months</v>
      </c>
      <c r="L128">
        <f>IF(Table134[[#This Row],[Churn]]="Yes",1,0)</f>
        <v>1</v>
      </c>
    </row>
    <row r="129" spans="1:12" x14ac:dyDescent="0.35">
      <c r="A129" t="s">
        <v>151</v>
      </c>
      <c r="B129" t="s">
        <v>11</v>
      </c>
      <c r="C129">
        <v>27</v>
      </c>
      <c r="D129">
        <v>32</v>
      </c>
      <c r="E129" t="s">
        <v>12</v>
      </c>
      <c r="F129" t="s">
        <v>29</v>
      </c>
      <c r="G129" t="s">
        <v>19</v>
      </c>
      <c r="H129">
        <v>96.96</v>
      </c>
      <c r="I129">
        <v>3408.81</v>
      </c>
      <c r="J129" t="s">
        <v>27</v>
      </c>
      <c r="K129" t="str">
        <f>IF(D129&lt;=12,"0-12 Months",IF(D129&lt;=24,"13-24 Months",IF(D129&lt;=48,"25-48 Months","49+ Months")))</f>
        <v>25-48 Months</v>
      </c>
      <c r="L129">
        <f>IF(Table134[[#This Row],[Churn]]="Yes",1,0)</f>
        <v>1</v>
      </c>
    </row>
    <row r="130" spans="1:12" x14ac:dyDescent="0.35">
      <c r="A130" t="s">
        <v>152</v>
      </c>
      <c r="B130" t="s">
        <v>17</v>
      </c>
      <c r="C130">
        <v>34</v>
      </c>
      <c r="D130">
        <v>2</v>
      </c>
      <c r="E130" t="s">
        <v>12</v>
      </c>
      <c r="F130" t="s">
        <v>13</v>
      </c>
      <c r="G130" t="s">
        <v>14</v>
      </c>
      <c r="H130">
        <v>41.57</v>
      </c>
      <c r="I130">
        <v>89.27</v>
      </c>
      <c r="J130" t="s">
        <v>15</v>
      </c>
      <c r="K130" t="str">
        <f>IF(D130&lt;=12,"0-12 Months",IF(D130&lt;=24,"13-24 Months",IF(D130&lt;=48,"25-48 Months","49+ Months")))</f>
        <v>0-12 Months</v>
      </c>
      <c r="L130">
        <f>IF(Table134[[#This Row],[Churn]]="Yes",1,0)</f>
        <v>0</v>
      </c>
    </row>
    <row r="131" spans="1:12" x14ac:dyDescent="0.35">
      <c r="A131" t="s">
        <v>153</v>
      </c>
      <c r="B131" t="s">
        <v>17</v>
      </c>
      <c r="C131">
        <v>37</v>
      </c>
      <c r="D131">
        <v>47</v>
      </c>
      <c r="E131" t="s">
        <v>21</v>
      </c>
      <c r="F131" t="s">
        <v>22</v>
      </c>
      <c r="G131" t="s">
        <v>14</v>
      </c>
      <c r="H131">
        <v>23.21</v>
      </c>
      <c r="I131">
        <v>1104.97</v>
      </c>
      <c r="J131" t="s">
        <v>15</v>
      </c>
      <c r="K131" t="str">
        <f>IF(D131&lt;=12,"0-12 Months",IF(D131&lt;=24,"13-24 Months",IF(D131&lt;=48,"25-48 Months","49+ Months")))</f>
        <v>25-48 Months</v>
      </c>
      <c r="L131">
        <f>IF(Table134[[#This Row],[Churn]]="Yes",1,0)</f>
        <v>0</v>
      </c>
    </row>
    <row r="132" spans="1:12" x14ac:dyDescent="0.35">
      <c r="A132" t="s">
        <v>154</v>
      </c>
      <c r="B132" t="s">
        <v>17</v>
      </c>
      <c r="C132">
        <v>41</v>
      </c>
      <c r="D132">
        <v>22</v>
      </c>
      <c r="E132" t="s">
        <v>12</v>
      </c>
      <c r="F132" t="s">
        <v>22</v>
      </c>
      <c r="G132" t="s">
        <v>14</v>
      </c>
      <c r="H132">
        <v>67.16</v>
      </c>
      <c r="I132">
        <v>1482.43</v>
      </c>
      <c r="J132" t="s">
        <v>15</v>
      </c>
      <c r="K132" t="str">
        <f>IF(D132&lt;=12,"0-12 Months",IF(D132&lt;=24,"13-24 Months",IF(D132&lt;=48,"25-48 Months","49+ Months")))</f>
        <v>13-24 Months</v>
      </c>
      <c r="L132">
        <f>IF(Table134[[#This Row],[Churn]]="Yes",1,0)</f>
        <v>0</v>
      </c>
    </row>
    <row r="133" spans="1:12" x14ac:dyDescent="0.35">
      <c r="A133" t="s">
        <v>155</v>
      </c>
      <c r="B133" t="s">
        <v>11</v>
      </c>
      <c r="C133">
        <v>22</v>
      </c>
      <c r="D133">
        <v>27</v>
      </c>
      <c r="E133" t="s">
        <v>12</v>
      </c>
      <c r="F133" t="s">
        <v>29</v>
      </c>
      <c r="G133" t="s">
        <v>19</v>
      </c>
      <c r="H133">
        <v>91.07</v>
      </c>
      <c r="I133">
        <v>2352.96</v>
      </c>
      <c r="J133" t="s">
        <v>27</v>
      </c>
      <c r="K133" t="str">
        <f>IF(D133&lt;=12,"0-12 Months",IF(D133&lt;=24,"13-24 Months",IF(D133&lt;=48,"25-48 Months","49+ Months")))</f>
        <v>25-48 Months</v>
      </c>
      <c r="L133">
        <f>IF(Table134[[#This Row],[Churn]]="Yes",1,0)</f>
        <v>1</v>
      </c>
    </row>
    <row r="134" spans="1:12" x14ac:dyDescent="0.35">
      <c r="A134" t="s">
        <v>156</v>
      </c>
      <c r="B134" t="s">
        <v>11</v>
      </c>
      <c r="C134">
        <v>51</v>
      </c>
      <c r="D134">
        <v>67</v>
      </c>
      <c r="E134" t="s">
        <v>21</v>
      </c>
      <c r="F134" t="s">
        <v>22</v>
      </c>
      <c r="G134" t="s">
        <v>23</v>
      </c>
      <c r="H134">
        <v>129.18</v>
      </c>
      <c r="I134">
        <v>8684.85</v>
      </c>
      <c r="J134" t="s">
        <v>27</v>
      </c>
      <c r="K134" t="str">
        <f>IF(D134&lt;=12,"0-12 Months",IF(D134&lt;=24,"13-24 Months",IF(D134&lt;=48,"25-48 Months","49+ Months")))</f>
        <v>49+ Months</v>
      </c>
      <c r="L134">
        <f>IF(Table134[[#This Row],[Churn]]="Yes",1,0)</f>
        <v>1</v>
      </c>
    </row>
    <row r="135" spans="1:12" x14ac:dyDescent="0.35">
      <c r="A135" t="s">
        <v>157</v>
      </c>
      <c r="B135" t="s">
        <v>11</v>
      </c>
      <c r="C135">
        <v>23</v>
      </c>
      <c r="D135">
        <v>56</v>
      </c>
      <c r="E135" t="s">
        <v>18</v>
      </c>
      <c r="F135" t="s">
        <v>33</v>
      </c>
      <c r="G135" t="s">
        <v>19</v>
      </c>
      <c r="H135">
        <v>36.57</v>
      </c>
      <c r="I135">
        <v>2190.5300000000002</v>
      </c>
      <c r="J135" t="s">
        <v>15</v>
      </c>
      <c r="K135" t="str">
        <f>IF(D135&lt;=12,"0-12 Months",IF(D135&lt;=24,"13-24 Months",IF(D135&lt;=48,"25-48 Months","49+ Months")))</f>
        <v>49+ Months</v>
      </c>
      <c r="L135">
        <f>IF(Table134[[#This Row],[Churn]]="Yes",1,0)</f>
        <v>0</v>
      </c>
    </row>
    <row r="136" spans="1:12" x14ac:dyDescent="0.35">
      <c r="A136" t="s">
        <v>158</v>
      </c>
      <c r="B136" t="s">
        <v>11</v>
      </c>
      <c r="C136">
        <v>70</v>
      </c>
      <c r="D136">
        <v>21</v>
      </c>
      <c r="E136" t="s">
        <v>12</v>
      </c>
      <c r="F136" t="s">
        <v>29</v>
      </c>
      <c r="G136" t="s">
        <v>23</v>
      </c>
      <c r="H136">
        <v>124.03</v>
      </c>
      <c r="I136">
        <v>2701.09</v>
      </c>
      <c r="J136" t="s">
        <v>15</v>
      </c>
      <c r="K136" t="str">
        <f>IF(D136&lt;=12,"0-12 Months",IF(D136&lt;=24,"13-24 Months",IF(D136&lt;=48,"25-48 Months","49+ Months")))</f>
        <v>13-24 Months</v>
      </c>
      <c r="L136">
        <f>IF(Table134[[#This Row],[Churn]]="Yes",1,0)</f>
        <v>0</v>
      </c>
    </row>
    <row r="137" spans="1:12" x14ac:dyDescent="0.35">
      <c r="A137" t="s">
        <v>159</v>
      </c>
      <c r="B137" t="s">
        <v>11</v>
      </c>
      <c r="C137">
        <v>19</v>
      </c>
      <c r="D137">
        <v>47</v>
      </c>
      <c r="E137" t="s">
        <v>21</v>
      </c>
      <c r="F137" t="s">
        <v>33</v>
      </c>
      <c r="G137" t="s">
        <v>19</v>
      </c>
      <c r="H137">
        <v>132.19</v>
      </c>
      <c r="I137">
        <v>5952.04</v>
      </c>
      <c r="J137" t="s">
        <v>15</v>
      </c>
      <c r="K137" t="str">
        <f>IF(D137&lt;=12,"0-12 Months",IF(D137&lt;=24,"13-24 Months",IF(D137&lt;=48,"25-48 Months","49+ Months")))</f>
        <v>25-48 Months</v>
      </c>
      <c r="L137">
        <f>IF(Table134[[#This Row],[Churn]]="Yes",1,0)</f>
        <v>0</v>
      </c>
    </row>
    <row r="138" spans="1:12" x14ac:dyDescent="0.35">
      <c r="A138" t="s">
        <v>160</v>
      </c>
      <c r="B138" t="s">
        <v>11</v>
      </c>
      <c r="C138">
        <v>30</v>
      </c>
      <c r="D138">
        <v>59</v>
      </c>
      <c r="E138" t="s">
        <v>18</v>
      </c>
      <c r="F138" t="s">
        <v>29</v>
      </c>
      <c r="G138" t="s">
        <v>14</v>
      </c>
      <c r="H138">
        <v>39.590000000000003</v>
      </c>
      <c r="I138">
        <v>2196.35</v>
      </c>
      <c r="J138" t="s">
        <v>27</v>
      </c>
      <c r="K138" t="str">
        <f>IF(D138&lt;=12,"0-12 Months",IF(D138&lt;=24,"13-24 Months",IF(D138&lt;=48,"25-48 Months","49+ Months")))</f>
        <v>49+ Months</v>
      </c>
      <c r="L138">
        <f>IF(Table134[[#This Row],[Churn]]="Yes",1,0)</f>
        <v>1</v>
      </c>
    </row>
    <row r="139" spans="1:12" x14ac:dyDescent="0.35">
      <c r="A139" t="s">
        <v>161</v>
      </c>
      <c r="B139" t="s">
        <v>11</v>
      </c>
      <c r="C139">
        <v>60</v>
      </c>
      <c r="D139">
        <v>6</v>
      </c>
      <c r="E139" t="s">
        <v>18</v>
      </c>
      <c r="F139" t="s">
        <v>13</v>
      </c>
      <c r="G139" t="s">
        <v>23</v>
      </c>
      <c r="H139">
        <v>130.71</v>
      </c>
      <c r="I139">
        <v>747.43</v>
      </c>
      <c r="J139" t="s">
        <v>15</v>
      </c>
      <c r="K139" t="str">
        <f>IF(D139&lt;=12,"0-12 Months",IF(D139&lt;=24,"13-24 Months",IF(D139&lt;=48,"25-48 Months","49+ Months")))</f>
        <v>0-12 Months</v>
      </c>
      <c r="L139">
        <f>IF(Table134[[#This Row],[Churn]]="Yes",1,0)</f>
        <v>0</v>
      </c>
    </row>
    <row r="140" spans="1:12" x14ac:dyDescent="0.35">
      <c r="A140" t="s">
        <v>162</v>
      </c>
      <c r="B140" t="s">
        <v>11</v>
      </c>
      <c r="C140">
        <v>60</v>
      </c>
      <c r="D140">
        <v>19</v>
      </c>
      <c r="E140" t="s">
        <v>12</v>
      </c>
      <c r="F140" t="s">
        <v>29</v>
      </c>
      <c r="G140" t="s">
        <v>23</v>
      </c>
      <c r="H140">
        <v>148.88999999999999</v>
      </c>
      <c r="I140">
        <v>2642.07</v>
      </c>
      <c r="J140" t="s">
        <v>15</v>
      </c>
      <c r="K140" t="str">
        <f>IF(D140&lt;=12,"0-12 Months",IF(D140&lt;=24,"13-24 Months",IF(D140&lt;=48,"25-48 Months","49+ Months")))</f>
        <v>13-24 Months</v>
      </c>
      <c r="L140">
        <f>IF(Table134[[#This Row],[Churn]]="Yes",1,0)</f>
        <v>0</v>
      </c>
    </row>
    <row r="141" spans="1:12" x14ac:dyDescent="0.35">
      <c r="A141" t="s">
        <v>163</v>
      </c>
      <c r="B141" t="s">
        <v>11</v>
      </c>
      <c r="C141">
        <v>65</v>
      </c>
      <c r="D141">
        <v>57</v>
      </c>
      <c r="E141" t="s">
        <v>21</v>
      </c>
      <c r="F141" t="s">
        <v>29</v>
      </c>
      <c r="G141" t="s">
        <v>23</v>
      </c>
      <c r="H141">
        <v>114.49</v>
      </c>
      <c r="I141">
        <v>5998.17</v>
      </c>
      <c r="J141" t="s">
        <v>27</v>
      </c>
      <c r="K141" t="str">
        <f>IF(D141&lt;=12,"0-12 Months",IF(D141&lt;=24,"13-24 Months",IF(D141&lt;=48,"25-48 Months","49+ Months")))</f>
        <v>49+ Months</v>
      </c>
      <c r="L141">
        <f>IF(Table134[[#This Row],[Churn]]="Yes",1,0)</f>
        <v>1</v>
      </c>
    </row>
    <row r="142" spans="1:12" x14ac:dyDescent="0.35">
      <c r="A142" t="s">
        <v>164</v>
      </c>
      <c r="B142" t="s">
        <v>17</v>
      </c>
      <c r="C142">
        <v>28</v>
      </c>
      <c r="D142">
        <v>69</v>
      </c>
      <c r="E142" t="s">
        <v>12</v>
      </c>
      <c r="F142" t="s">
        <v>33</v>
      </c>
      <c r="G142" t="s">
        <v>19</v>
      </c>
      <c r="H142">
        <v>122.02</v>
      </c>
      <c r="I142">
        <v>8283.2199999999993</v>
      </c>
      <c r="J142" t="s">
        <v>27</v>
      </c>
      <c r="K142" t="str">
        <f>IF(D142&lt;=12,"0-12 Months",IF(D142&lt;=24,"13-24 Months",IF(D142&lt;=48,"25-48 Months","49+ Months")))</f>
        <v>49+ Months</v>
      </c>
      <c r="L142">
        <f>IF(Table134[[#This Row],[Churn]]="Yes",1,0)</f>
        <v>1</v>
      </c>
    </row>
    <row r="143" spans="1:12" x14ac:dyDescent="0.35">
      <c r="A143" t="s">
        <v>165</v>
      </c>
      <c r="B143" t="s">
        <v>11</v>
      </c>
      <c r="C143">
        <v>68</v>
      </c>
      <c r="D143">
        <v>3</v>
      </c>
      <c r="E143" t="s">
        <v>18</v>
      </c>
      <c r="F143" t="s">
        <v>13</v>
      </c>
      <c r="G143" t="s">
        <v>23</v>
      </c>
      <c r="H143">
        <v>149.27000000000001</v>
      </c>
      <c r="I143">
        <v>413.18</v>
      </c>
      <c r="J143" t="s">
        <v>15</v>
      </c>
      <c r="K143" t="str">
        <f>IF(D143&lt;=12,"0-12 Months",IF(D143&lt;=24,"13-24 Months",IF(D143&lt;=48,"25-48 Months","49+ Months")))</f>
        <v>0-12 Months</v>
      </c>
      <c r="L143">
        <f>IF(Table134[[#This Row],[Churn]]="Yes",1,0)</f>
        <v>0</v>
      </c>
    </row>
    <row r="144" spans="1:12" x14ac:dyDescent="0.35">
      <c r="A144" t="s">
        <v>166</v>
      </c>
      <c r="B144" t="s">
        <v>17</v>
      </c>
      <c r="C144">
        <v>64</v>
      </c>
      <c r="D144">
        <v>1</v>
      </c>
      <c r="E144" t="s">
        <v>12</v>
      </c>
      <c r="F144" t="s">
        <v>13</v>
      </c>
      <c r="G144" t="s">
        <v>23</v>
      </c>
      <c r="H144">
        <v>98.71</v>
      </c>
      <c r="I144">
        <v>92.23</v>
      </c>
      <c r="J144" t="s">
        <v>15</v>
      </c>
      <c r="K144" t="str">
        <f>IF(D144&lt;=12,"0-12 Months",IF(D144&lt;=24,"13-24 Months",IF(D144&lt;=48,"25-48 Months","49+ Months")))</f>
        <v>0-12 Months</v>
      </c>
      <c r="L144">
        <f>IF(Table134[[#This Row],[Churn]]="Yes",1,0)</f>
        <v>0</v>
      </c>
    </row>
    <row r="145" spans="1:12" x14ac:dyDescent="0.35">
      <c r="A145" t="s">
        <v>167</v>
      </c>
      <c r="B145" t="s">
        <v>17</v>
      </c>
      <c r="C145">
        <v>40</v>
      </c>
      <c r="D145">
        <v>58</v>
      </c>
      <c r="E145" t="s">
        <v>12</v>
      </c>
      <c r="F145" t="s">
        <v>29</v>
      </c>
      <c r="G145" t="s">
        <v>14</v>
      </c>
      <c r="H145">
        <v>60.03</v>
      </c>
      <c r="I145">
        <v>3514.69</v>
      </c>
      <c r="J145" t="s">
        <v>15</v>
      </c>
      <c r="K145" t="str">
        <f>IF(D145&lt;=12,"0-12 Months",IF(D145&lt;=24,"13-24 Months",IF(D145&lt;=48,"25-48 Months","49+ Months")))</f>
        <v>49+ Months</v>
      </c>
      <c r="L145">
        <f>IF(Table134[[#This Row],[Churn]]="Yes",1,0)</f>
        <v>0</v>
      </c>
    </row>
    <row r="146" spans="1:12" x14ac:dyDescent="0.35">
      <c r="A146" t="s">
        <v>168</v>
      </c>
      <c r="B146" t="s">
        <v>17</v>
      </c>
      <c r="C146">
        <v>33</v>
      </c>
      <c r="D146">
        <v>38</v>
      </c>
      <c r="E146" t="s">
        <v>21</v>
      </c>
      <c r="F146" t="s">
        <v>13</v>
      </c>
      <c r="G146" t="s">
        <v>14</v>
      </c>
      <c r="H146">
        <v>128.88</v>
      </c>
      <c r="I146">
        <v>4568.92</v>
      </c>
      <c r="J146" t="s">
        <v>15</v>
      </c>
      <c r="K146" t="str">
        <f>IF(D146&lt;=12,"0-12 Months",IF(D146&lt;=24,"13-24 Months",IF(D146&lt;=48,"25-48 Months","49+ Months")))</f>
        <v>25-48 Months</v>
      </c>
      <c r="L146">
        <f>IF(Table134[[#This Row],[Churn]]="Yes",1,0)</f>
        <v>0</v>
      </c>
    </row>
    <row r="147" spans="1:12" x14ac:dyDescent="0.35">
      <c r="A147" t="s">
        <v>169</v>
      </c>
      <c r="B147" t="s">
        <v>11</v>
      </c>
      <c r="C147">
        <v>48</v>
      </c>
      <c r="D147">
        <v>15</v>
      </c>
      <c r="E147" t="s">
        <v>12</v>
      </c>
      <c r="F147" t="s">
        <v>13</v>
      </c>
      <c r="G147" t="s">
        <v>14</v>
      </c>
      <c r="H147">
        <v>99.88</v>
      </c>
      <c r="I147">
        <v>1367.52</v>
      </c>
      <c r="J147" t="s">
        <v>15</v>
      </c>
      <c r="K147" t="str">
        <f>IF(D147&lt;=12,"0-12 Months",IF(D147&lt;=24,"13-24 Months",IF(D147&lt;=48,"25-48 Months","49+ Months")))</f>
        <v>13-24 Months</v>
      </c>
      <c r="L147">
        <f>IF(Table134[[#This Row],[Churn]]="Yes",1,0)</f>
        <v>0</v>
      </c>
    </row>
    <row r="148" spans="1:12" x14ac:dyDescent="0.35">
      <c r="A148" t="s">
        <v>170</v>
      </c>
      <c r="B148" t="s">
        <v>11</v>
      </c>
      <c r="C148">
        <v>28</v>
      </c>
      <c r="D148">
        <v>34</v>
      </c>
      <c r="E148" t="s">
        <v>18</v>
      </c>
      <c r="F148" t="s">
        <v>13</v>
      </c>
      <c r="G148" t="s">
        <v>19</v>
      </c>
      <c r="H148">
        <v>95.56</v>
      </c>
      <c r="I148">
        <v>3130.38</v>
      </c>
      <c r="J148" t="s">
        <v>15</v>
      </c>
      <c r="K148" t="str">
        <f>IF(D148&lt;=12,"0-12 Months",IF(D148&lt;=24,"13-24 Months",IF(D148&lt;=48,"25-48 Months","49+ Months")))</f>
        <v>25-48 Months</v>
      </c>
      <c r="L148">
        <f>IF(Table134[[#This Row],[Churn]]="Yes",1,0)</f>
        <v>0</v>
      </c>
    </row>
    <row r="149" spans="1:12" x14ac:dyDescent="0.35">
      <c r="A149" t="s">
        <v>171</v>
      </c>
      <c r="B149" t="s">
        <v>11</v>
      </c>
      <c r="C149">
        <v>33</v>
      </c>
      <c r="D149">
        <v>61</v>
      </c>
      <c r="E149" t="s">
        <v>18</v>
      </c>
      <c r="F149" t="s">
        <v>29</v>
      </c>
      <c r="G149" t="s">
        <v>14</v>
      </c>
      <c r="H149">
        <v>52.97</v>
      </c>
      <c r="I149">
        <v>3050.43</v>
      </c>
      <c r="J149" t="s">
        <v>15</v>
      </c>
      <c r="K149" t="str">
        <f>IF(D149&lt;=12,"0-12 Months",IF(D149&lt;=24,"13-24 Months",IF(D149&lt;=48,"25-48 Months","49+ Months")))</f>
        <v>49+ Months</v>
      </c>
      <c r="L149">
        <f>IF(Table134[[#This Row],[Churn]]="Yes",1,0)</f>
        <v>0</v>
      </c>
    </row>
    <row r="150" spans="1:12" x14ac:dyDescent="0.35">
      <c r="A150" t="s">
        <v>172</v>
      </c>
      <c r="B150" t="s">
        <v>11</v>
      </c>
      <c r="C150">
        <v>25</v>
      </c>
      <c r="D150">
        <v>35</v>
      </c>
      <c r="E150" t="s">
        <v>21</v>
      </c>
      <c r="F150" t="s">
        <v>33</v>
      </c>
      <c r="G150" t="s">
        <v>19</v>
      </c>
      <c r="H150">
        <v>118.32</v>
      </c>
      <c r="I150">
        <v>4153.88</v>
      </c>
      <c r="J150" t="s">
        <v>15</v>
      </c>
      <c r="K150" t="str">
        <f>IF(D150&lt;=12,"0-12 Months",IF(D150&lt;=24,"13-24 Months",IF(D150&lt;=48,"25-48 Months","49+ Months")))</f>
        <v>25-48 Months</v>
      </c>
      <c r="L150">
        <f>IF(Table134[[#This Row],[Churn]]="Yes",1,0)</f>
        <v>0</v>
      </c>
    </row>
    <row r="151" spans="1:12" x14ac:dyDescent="0.35">
      <c r="A151" t="s">
        <v>173</v>
      </c>
      <c r="B151" t="s">
        <v>17</v>
      </c>
      <c r="C151">
        <v>21</v>
      </c>
      <c r="D151">
        <v>64</v>
      </c>
      <c r="E151" t="s">
        <v>12</v>
      </c>
      <c r="F151" t="s">
        <v>13</v>
      </c>
      <c r="G151" t="s">
        <v>19</v>
      </c>
      <c r="H151">
        <v>30.62</v>
      </c>
      <c r="I151">
        <v>1803.83</v>
      </c>
      <c r="J151" t="s">
        <v>27</v>
      </c>
      <c r="K151" t="str">
        <f>IF(D151&lt;=12,"0-12 Months",IF(D151&lt;=24,"13-24 Months",IF(D151&lt;=48,"25-48 Months","49+ Months")))</f>
        <v>49+ Months</v>
      </c>
      <c r="L151">
        <f>IF(Table134[[#This Row],[Churn]]="Yes",1,0)</f>
        <v>1</v>
      </c>
    </row>
    <row r="152" spans="1:12" x14ac:dyDescent="0.35">
      <c r="A152" t="s">
        <v>174</v>
      </c>
      <c r="B152" t="s">
        <v>11</v>
      </c>
      <c r="C152">
        <v>57</v>
      </c>
      <c r="D152">
        <v>25</v>
      </c>
      <c r="E152" t="s">
        <v>21</v>
      </c>
      <c r="F152" t="s">
        <v>13</v>
      </c>
      <c r="G152" t="s">
        <v>23</v>
      </c>
      <c r="H152">
        <v>140.16</v>
      </c>
      <c r="I152">
        <v>3680.44</v>
      </c>
      <c r="J152" t="s">
        <v>15</v>
      </c>
      <c r="K152" t="str">
        <f>IF(D152&lt;=12,"0-12 Months",IF(D152&lt;=24,"13-24 Months",IF(D152&lt;=48,"25-48 Months","49+ Months")))</f>
        <v>25-48 Months</v>
      </c>
      <c r="L152">
        <f>IF(Table134[[#This Row],[Churn]]="Yes",1,0)</f>
        <v>0</v>
      </c>
    </row>
    <row r="153" spans="1:12" x14ac:dyDescent="0.35">
      <c r="A153" t="s">
        <v>175</v>
      </c>
      <c r="B153" t="s">
        <v>11</v>
      </c>
      <c r="C153">
        <v>21</v>
      </c>
      <c r="D153">
        <v>24</v>
      </c>
      <c r="E153" t="s">
        <v>12</v>
      </c>
      <c r="F153" t="s">
        <v>29</v>
      </c>
      <c r="G153" t="s">
        <v>19</v>
      </c>
      <c r="H153">
        <v>62.36</v>
      </c>
      <c r="I153">
        <v>1618.24</v>
      </c>
      <c r="J153" t="s">
        <v>27</v>
      </c>
      <c r="K153" t="str">
        <f>IF(D153&lt;=12,"0-12 Months",IF(D153&lt;=24,"13-24 Months",IF(D153&lt;=48,"25-48 Months","49+ Months")))</f>
        <v>13-24 Months</v>
      </c>
      <c r="L153">
        <f>IF(Table134[[#This Row],[Churn]]="Yes",1,0)</f>
        <v>1</v>
      </c>
    </row>
    <row r="154" spans="1:12" x14ac:dyDescent="0.35">
      <c r="A154" t="s">
        <v>176</v>
      </c>
      <c r="B154" t="s">
        <v>11</v>
      </c>
      <c r="C154">
        <v>42</v>
      </c>
      <c r="D154">
        <v>12</v>
      </c>
      <c r="E154" t="s">
        <v>12</v>
      </c>
      <c r="F154" t="s">
        <v>22</v>
      </c>
      <c r="G154" t="s">
        <v>14</v>
      </c>
      <c r="H154">
        <v>36.61</v>
      </c>
      <c r="I154">
        <v>460.71</v>
      </c>
      <c r="J154" t="s">
        <v>27</v>
      </c>
      <c r="K154" t="str">
        <f>IF(D154&lt;=12,"0-12 Months",IF(D154&lt;=24,"13-24 Months",IF(D154&lt;=48,"25-48 Months","49+ Months")))</f>
        <v>0-12 Months</v>
      </c>
      <c r="L154">
        <f>IF(Table134[[#This Row],[Churn]]="Yes",1,0)</f>
        <v>1</v>
      </c>
    </row>
    <row r="155" spans="1:12" x14ac:dyDescent="0.35">
      <c r="A155" t="s">
        <v>177</v>
      </c>
      <c r="B155" t="s">
        <v>11</v>
      </c>
      <c r="C155">
        <v>20</v>
      </c>
      <c r="D155">
        <v>18</v>
      </c>
      <c r="E155" t="s">
        <v>18</v>
      </c>
      <c r="F155" t="s">
        <v>13</v>
      </c>
      <c r="G155" t="s">
        <v>19</v>
      </c>
      <c r="H155">
        <v>77.510000000000005</v>
      </c>
      <c r="I155">
        <v>1404.34</v>
      </c>
      <c r="J155" t="s">
        <v>15</v>
      </c>
      <c r="K155" t="str">
        <f>IF(D155&lt;=12,"0-12 Months",IF(D155&lt;=24,"13-24 Months",IF(D155&lt;=48,"25-48 Months","49+ Months")))</f>
        <v>13-24 Months</v>
      </c>
      <c r="L155">
        <f>IF(Table134[[#This Row],[Churn]]="Yes",1,0)</f>
        <v>0</v>
      </c>
    </row>
    <row r="156" spans="1:12" x14ac:dyDescent="0.35">
      <c r="A156" t="s">
        <v>178</v>
      </c>
      <c r="B156" t="s">
        <v>11</v>
      </c>
      <c r="C156">
        <v>49</v>
      </c>
      <c r="D156">
        <v>15</v>
      </c>
      <c r="E156" t="s">
        <v>12</v>
      </c>
      <c r="F156" t="s">
        <v>13</v>
      </c>
      <c r="G156" t="s">
        <v>14</v>
      </c>
      <c r="H156">
        <v>25.52</v>
      </c>
      <c r="I156">
        <v>410.41</v>
      </c>
      <c r="J156" t="s">
        <v>15</v>
      </c>
      <c r="K156" t="str">
        <f>IF(D156&lt;=12,"0-12 Months",IF(D156&lt;=24,"13-24 Months",IF(D156&lt;=48,"25-48 Months","49+ Months")))</f>
        <v>13-24 Months</v>
      </c>
      <c r="L156">
        <f>IF(Table134[[#This Row],[Churn]]="Yes",1,0)</f>
        <v>0</v>
      </c>
    </row>
    <row r="157" spans="1:12" x14ac:dyDescent="0.35">
      <c r="A157" t="s">
        <v>179</v>
      </c>
      <c r="B157" t="s">
        <v>17</v>
      </c>
      <c r="C157">
        <v>20</v>
      </c>
      <c r="D157">
        <v>27</v>
      </c>
      <c r="E157" t="s">
        <v>12</v>
      </c>
      <c r="F157" t="s">
        <v>29</v>
      </c>
      <c r="G157" t="s">
        <v>19</v>
      </c>
      <c r="H157">
        <v>109</v>
      </c>
      <c r="I157">
        <v>3057.73</v>
      </c>
      <c r="J157" t="s">
        <v>15</v>
      </c>
      <c r="K157" t="str">
        <f>IF(D157&lt;=12,"0-12 Months",IF(D157&lt;=24,"13-24 Months",IF(D157&lt;=48,"25-48 Months","49+ Months")))</f>
        <v>25-48 Months</v>
      </c>
      <c r="L157">
        <f>IF(Table134[[#This Row],[Churn]]="Yes",1,0)</f>
        <v>0</v>
      </c>
    </row>
    <row r="158" spans="1:12" x14ac:dyDescent="0.35">
      <c r="A158" t="s">
        <v>180</v>
      </c>
      <c r="B158" t="s">
        <v>11</v>
      </c>
      <c r="C158">
        <v>44</v>
      </c>
      <c r="D158">
        <v>72</v>
      </c>
      <c r="E158" t="s">
        <v>18</v>
      </c>
      <c r="F158" t="s">
        <v>33</v>
      </c>
      <c r="G158" t="s">
        <v>14</v>
      </c>
      <c r="H158">
        <v>137.35</v>
      </c>
      <c r="I158">
        <v>8921.15</v>
      </c>
      <c r="J158" t="s">
        <v>27</v>
      </c>
      <c r="K158" t="str">
        <f>IF(D158&lt;=12,"0-12 Months",IF(D158&lt;=24,"13-24 Months",IF(D158&lt;=48,"25-48 Months","49+ Months")))</f>
        <v>49+ Months</v>
      </c>
      <c r="L158">
        <f>IF(Table134[[#This Row],[Churn]]="Yes",1,0)</f>
        <v>1</v>
      </c>
    </row>
    <row r="159" spans="1:12" x14ac:dyDescent="0.35">
      <c r="A159" t="s">
        <v>181</v>
      </c>
      <c r="B159" t="s">
        <v>17</v>
      </c>
      <c r="C159">
        <v>46</v>
      </c>
      <c r="D159">
        <v>60</v>
      </c>
      <c r="E159" t="s">
        <v>12</v>
      </c>
      <c r="F159" t="s">
        <v>29</v>
      </c>
      <c r="G159" t="s">
        <v>14</v>
      </c>
      <c r="H159">
        <v>128.84</v>
      </c>
      <c r="I159">
        <v>7566.65</v>
      </c>
      <c r="J159" t="s">
        <v>15</v>
      </c>
      <c r="K159" t="str">
        <f>IF(D159&lt;=12,"0-12 Months",IF(D159&lt;=24,"13-24 Months",IF(D159&lt;=48,"25-48 Months","49+ Months")))</f>
        <v>49+ Months</v>
      </c>
      <c r="L159">
        <f>IF(Table134[[#This Row],[Churn]]="Yes",1,0)</f>
        <v>0</v>
      </c>
    </row>
    <row r="160" spans="1:12" x14ac:dyDescent="0.35">
      <c r="A160" t="s">
        <v>182</v>
      </c>
      <c r="B160" t="s">
        <v>11</v>
      </c>
      <c r="C160">
        <v>49</v>
      </c>
      <c r="D160">
        <v>46</v>
      </c>
      <c r="E160" t="s">
        <v>12</v>
      </c>
      <c r="F160" t="s">
        <v>22</v>
      </c>
      <c r="G160" t="s">
        <v>14</v>
      </c>
      <c r="H160">
        <v>36.56</v>
      </c>
      <c r="I160">
        <v>1799.8</v>
      </c>
      <c r="J160" t="s">
        <v>15</v>
      </c>
      <c r="K160" t="str">
        <f>IF(D160&lt;=12,"0-12 Months",IF(D160&lt;=24,"13-24 Months",IF(D160&lt;=48,"25-48 Months","49+ Months")))</f>
        <v>25-48 Months</v>
      </c>
      <c r="L160">
        <f>IF(Table134[[#This Row],[Churn]]="Yes",1,0)</f>
        <v>0</v>
      </c>
    </row>
    <row r="161" spans="1:12" x14ac:dyDescent="0.35">
      <c r="A161" t="s">
        <v>183</v>
      </c>
      <c r="B161" t="s">
        <v>17</v>
      </c>
      <c r="C161">
        <v>67</v>
      </c>
      <c r="D161">
        <v>17</v>
      </c>
      <c r="E161" t="s">
        <v>18</v>
      </c>
      <c r="F161" t="s">
        <v>13</v>
      </c>
      <c r="G161" t="s">
        <v>23</v>
      </c>
      <c r="H161">
        <v>36.42</v>
      </c>
      <c r="I161">
        <v>600.04999999999995</v>
      </c>
      <c r="J161" t="s">
        <v>15</v>
      </c>
      <c r="K161" t="str">
        <f>IF(D161&lt;=12,"0-12 Months",IF(D161&lt;=24,"13-24 Months",IF(D161&lt;=48,"25-48 Months","49+ Months")))</f>
        <v>13-24 Months</v>
      </c>
      <c r="L161">
        <f>IF(Table134[[#This Row],[Churn]]="Yes",1,0)</f>
        <v>0</v>
      </c>
    </row>
    <row r="162" spans="1:12" x14ac:dyDescent="0.35">
      <c r="A162" t="s">
        <v>184</v>
      </c>
      <c r="B162" t="s">
        <v>11</v>
      </c>
      <c r="C162">
        <v>68</v>
      </c>
      <c r="D162">
        <v>53</v>
      </c>
      <c r="E162" t="s">
        <v>12</v>
      </c>
      <c r="F162" t="s">
        <v>29</v>
      </c>
      <c r="G162" t="s">
        <v>23</v>
      </c>
      <c r="H162">
        <v>125.75</v>
      </c>
      <c r="I162">
        <v>6045.22</v>
      </c>
      <c r="J162" t="s">
        <v>15</v>
      </c>
      <c r="K162" t="str">
        <f>IF(D162&lt;=12,"0-12 Months",IF(D162&lt;=24,"13-24 Months",IF(D162&lt;=48,"25-48 Months","49+ Months")))</f>
        <v>49+ Months</v>
      </c>
      <c r="L162">
        <f>IF(Table134[[#This Row],[Churn]]="Yes",1,0)</f>
        <v>0</v>
      </c>
    </row>
    <row r="163" spans="1:12" x14ac:dyDescent="0.35">
      <c r="A163" t="s">
        <v>185</v>
      </c>
      <c r="B163" t="s">
        <v>11</v>
      </c>
      <c r="C163">
        <v>36</v>
      </c>
      <c r="D163">
        <v>8</v>
      </c>
      <c r="E163" t="s">
        <v>21</v>
      </c>
      <c r="F163" t="s">
        <v>22</v>
      </c>
      <c r="G163" t="s">
        <v>14</v>
      </c>
      <c r="H163">
        <v>140.15</v>
      </c>
      <c r="I163">
        <v>1176.4000000000001</v>
      </c>
      <c r="J163" t="s">
        <v>15</v>
      </c>
      <c r="K163" t="str">
        <f>IF(D163&lt;=12,"0-12 Months",IF(D163&lt;=24,"13-24 Months",IF(D163&lt;=48,"25-48 Months","49+ Months")))</f>
        <v>0-12 Months</v>
      </c>
      <c r="L163">
        <f>IF(Table134[[#This Row],[Churn]]="Yes",1,0)</f>
        <v>0</v>
      </c>
    </row>
    <row r="164" spans="1:12" x14ac:dyDescent="0.35">
      <c r="A164" t="s">
        <v>186</v>
      </c>
      <c r="B164" t="s">
        <v>17</v>
      </c>
      <c r="C164">
        <v>38</v>
      </c>
      <c r="D164">
        <v>27</v>
      </c>
      <c r="E164" t="s">
        <v>18</v>
      </c>
      <c r="F164" t="s">
        <v>29</v>
      </c>
      <c r="G164" t="s">
        <v>14</v>
      </c>
      <c r="H164">
        <v>79.89</v>
      </c>
      <c r="I164">
        <v>2287.33</v>
      </c>
      <c r="J164" t="s">
        <v>27</v>
      </c>
      <c r="K164" t="str">
        <f>IF(D164&lt;=12,"0-12 Months",IF(D164&lt;=24,"13-24 Months",IF(D164&lt;=48,"25-48 Months","49+ Months")))</f>
        <v>25-48 Months</v>
      </c>
      <c r="L164">
        <f>IF(Table134[[#This Row],[Churn]]="Yes",1,0)</f>
        <v>1</v>
      </c>
    </row>
    <row r="165" spans="1:12" x14ac:dyDescent="0.35">
      <c r="A165" t="s">
        <v>187</v>
      </c>
      <c r="B165" t="s">
        <v>17</v>
      </c>
      <c r="C165">
        <v>22</v>
      </c>
      <c r="D165">
        <v>46</v>
      </c>
      <c r="E165" t="s">
        <v>18</v>
      </c>
      <c r="F165" t="s">
        <v>33</v>
      </c>
      <c r="G165" t="s">
        <v>19</v>
      </c>
      <c r="H165">
        <v>84.87</v>
      </c>
      <c r="I165">
        <v>3639.01</v>
      </c>
      <c r="J165" t="s">
        <v>15</v>
      </c>
      <c r="K165" t="str">
        <f>IF(D165&lt;=12,"0-12 Months",IF(D165&lt;=24,"13-24 Months",IF(D165&lt;=48,"25-48 Months","49+ Months")))</f>
        <v>25-48 Months</v>
      </c>
      <c r="L165">
        <f>IF(Table134[[#This Row],[Churn]]="Yes",1,0)</f>
        <v>0</v>
      </c>
    </row>
    <row r="166" spans="1:12" x14ac:dyDescent="0.35">
      <c r="A166" t="s">
        <v>188</v>
      </c>
      <c r="B166" t="s">
        <v>17</v>
      </c>
      <c r="C166">
        <v>35</v>
      </c>
      <c r="D166">
        <v>50</v>
      </c>
      <c r="E166" t="s">
        <v>21</v>
      </c>
      <c r="F166" t="s">
        <v>33</v>
      </c>
      <c r="G166" t="s">
        <v>14</v>
      </c>
      <c r="H166">
        <v>61.37</v>
      </c>
      <c r="I166">
        <v>3091.42</v>
      </c>
      <c r="J166" t="s">
        <v>27</v>
      </c>
      <c r="K166" t="str">
        <f>IF(D166&lt;=12,"0-12 Months",IF(D166&lt;=24,"13-24 Months",IF(D166&lt;=48,"25-48 Months","49+ Months")))</f>
        <v>49+ Months</v>
      </c>
      <c r="L166">
        <f>IF(Table134[[#This Row],[Churn]]="Yes",1,0)</f>
        <v>1</v>
      </c>
    </row>
    <row r="167" spans="1:12" x14ac:dyDescent="0.35">
      <c r="A167" t="s">
        <v>189</v>
      </c>
      <c r="B167" t="s">
        <v>11</v>
      </c>
      <c r="C167">
        <v>45</v>
      </c>
      <c r="D167">
        <v>71</v>
      </c>
      <c r="E167" t="s">
        <v>12</v>
      </c>
      <c r="F167" t="s">
        <v>33</v>
      </c>
      <c r="G167" t="s">
        <v>14</v>
      </c>
      <c r="H167">
        <v>136.25</v>
      </c>
      <c r="I167">
        <v>9077.76</v>
      </c>
      <c r="J167" t="s">
        <v>27</v>
      </c>
      <c r="K167" t="str">
        <f>IF(D167&lt;=12,"0-12 Months",IF(D167&lt;=24,"13-24 Months",IF(D167&lt;=48,"25-48 Months","49+ Months")))</f>
        <v>49+ Months</v>
      </c>
      <c r="L167">
        <f>IF(Table134[[#This Row],[Churn]]="Yes",1,0)</f>
        <v>1</v>
      </c>
    </row>
    <row r="168" spans="1:12" x14ac:dyDescent="0.35">
      <c r="A168" t="s">
        <v>190</v>
      </c>
      <c r="B168" t="s">
        <v>17</v>
      </c>
      <c r="C168">
        <v>59</v>
      </c>
      <c r="D168">
        <v>3</v>
      </c>
      <c r="E168" t="s">
        <v>12</v>
      </c>
      <c r="F168" t="s">
        <v>29</v>
      </c>
      <c r="G168" t="s">
        <v>23</v>
      </c>
      <c r="H168">
        <v>103.84</v>
      </c>
      <c r="I168">
        <v>325.18</v>
      </c>
      <c r="J168" t="s">
        <v>27</v>
      </c>
      <c r="K168" t="str">
        <f>IF(D168&lt;=12,"0-12 Months",IF(D168&lt;=24,"13-24 Months",IF(D168&lt;=48,"25-48 Months","49+ Months")))</f>
        <v>0-12 Months</v>
      </c>
      <c r="L168">
        <f>IF(Table134[[#This Row],[Churn]]="Yes",1,0)</f>
        <v>1</v>
      </c>
    </row>
    <row r="169" spans="1:12" x14ac:dyDescent="0.35">
      <c r="A169" t="s">
        <v>191</v>
      </c>
      <c r="B169" t="s">
        <v>11</v>
      </c>
      <c r="C169">
        <v>39</v>
      </c>
      <c r="D169">
        <v>64</v>
      </c>
      <c r="E169" t="s">
        <v>18</v>
      </c>
      <c r="F169" t="s">
        <v>22</v>
      </c>
      <c r="G169" t="s">
        <v>14</v>
      </c>
      <c r="H169">
        <v>57.47</v>
      </c>
      <c r="I169">
        <v>3510.03</v>
      </c>
      <c r="J169" t="s">
        <v>15</v>
      </c>
      <c r="K169" t="str">
        <f>IF(D169&lt;=12,"0-12 Months",IF(D169&lt;=24,"13-24 Months",IF(D169&lt;=48,"25-48 Months","49+ Months")))</f>
        <v>49+ Months</v>
      </c>
      <c r="L169">
        <f>IF(Table134[[#This Row],[Churn]]="Yes",1,0)</f>
        <v>0</v>
      </c>
    </row>
    <row r="170" spans="1:12" x14ac:dyDescent="0.35">
      <c r="A170" t="s">
        <v>192</v>
      </c>
      <c r="B170" t="s">
        <v>11</v>
      </c>
      <c r="C170">
        <v>38</v>
      </c>
      <c r="D170">
        <v>44</v>
      </c>
      <c r="E170" t="s">
        <v>18</v>
      </c>
      <c r="F170" t="s">
        <v>13</v>
      </c>
      <c r="G170" t="s">
        <v>14</v>
      </c>
      <c r="H170">
        <v>58.84</v>
      </c>
      <c r="I170">
        <v>2493.8000000000002</v>
      </c>
      <c r="J170" t="s">
        <v>15</v>
      </c>
      <c r="K170" t="str">
        <f>IF(D170&lt;=12,"0-12 Months",IF(D170&lt;=24,"13-24 Months",IF(D170&lt;=48,"25-48 Months","49+ Months")))</f>
        <v>25-48 Months</v>
      </c>
      <c r="L170">
        <f>IF(Table134[[#This Row],[Churn]]="Yes",1,0)</f>
        <v>0</v>
      </c>
    </row>
    <row r="171" spans="1:12" x14ac:dyDescent="0.35">
      <c r="A171" t="s">
        <v>193</v>
      </c>
      <c r="B171" t="s">
        <v>17</v>
      </c>
      <c r="C171">
        <v>23</v>
      </c>
      <c r="D171">
        <v>53</v>
      </c>
      <c r="E171" t="s">
        <v>12</v>
      </c>
      <c r="F171" t="s">
        <v>33</v>
      </c>
      <c r="G171" t="s">
        <v>19</v>
      </c>
      <c r="H171">
        <v>135.86000000000001</v>
      </c>
      <c r="I171">
        <v>7697.38</v>
      </c>
      <c r="J171" t="s">
        <v>15</v>
      </c>
      <c r="K171" t="str">
        <f>IF(D171&lt;=12,"0-12 Months",IF(D171&lt;=24,"13-24 Months",IF(D171&lt;=48,"25-48 Months","49+ Months")))</f>
        <v>49+ Months</v>
      </c>
      <c r="L171">
        <f>IF(Table134[[#This Row],[Churn]]="Yes",1,0)</f>
        <v>0</v>
      </c>
    </row>
    <row r="172" spans="1:12" x14ac:dyDescent="0.35">
      <c r="A172" t="s">
        <v>194</v>
      </c>
      <c r="B172" t="s">
        <v>17</v>
      </c>
      <c r="C172">
        <v>18</v>
      </c>
      <c r="D172">
        <v>24</v>
      </c>
      <c r="E172" t="s">
        <v>12</v>
      </c>
      <c r="F172" t="s">
        <v>22</v>
      </c>
      <c r="G172" t="s">
        <v>19</v>
      </c>
      <c r="H172">
        <v>21.77</v>
      </c>
      <c r="I172">
        <v>520.01</v>
      </c>
      <c r="J172" t="s">
        <v>27</v>
      </c>
      <c r="K172" t="str">
        <f>IF(D172&lt;=12,"0-12 Months",IF(D172&lt;=24,"13-24 Months",IF(D172&lt;=48,"25-48 Months","49+ Months")))</f>
        <v>13-24 Months</v>
      </c>
      <c r="L172">
        <f>IF(Table134[[#This Row],[Churn]]="Yes",1,0)</f>
        <v>1</v>
      </c>
    </row>
    <row r="173" spans="1:12" x14ac:dyDescent="0.35">
      <c r="A173" t="s">
        <v>195</v>
      </c>
      <c r="B173" t="s">
        <v>11</v>
      </c>
      <c r="C173">
        <v>22</v>
      </c>
      <c r="D173">
        <v>60</v>
      </c>
      <c r="E173" t="s">
        <v>12</v>
      </c>
      <c r="F173" t="s">
        <v>33</v>
      </c>
      <c r="G173" t="s">
        <v>19</v>
      </c>
      <c r="H173">
        <v>61.95</v>
      </c>
      <c r="I173">
        <v>3843.2</v>
      </c>
      <c r="J173" t="s">
        <v>15</v>
      </c>
      <c r="K173" t="str">
        <f>IF(D173&lt;=12,"0-12 Months",IF(D173&lt;=24,"13-24 Months",IF(D173&lt;=48,"25-48 Months","49+ Months")))</f>
        <v>49+ Months</v>
      </c>
      <c r="L173">
        <f>IF(Table134[[#This Row],[Churn]]="Yes",1,0)</f>
        <v>0</v>
      </c>
    </row>
    <row r="174" spans="1:12" x14ac:dyDescent="0.35">
      <c r="A174" t="s">
        <v>196</v>
      </c>
      <c r="B174" t="s">
        <v>11</v>
      </c>
      <c r="C174">
        <v>58</v>
      </c>
      <c r="D174">
        <v>3</v>
      </c>
      <c r="E174" t="s">
        <v>12</v>
      </c>
      <c r="F174" t="s">
        <v>13</v>
      </c>
      <c r="G174" t="s">
        <v>23</v>
      </c>
      <c r="H174">
        <v>92.07</v>
      </c>
      <c r="I174">
        <v>270.82</v>
      </c>
      <c r="J174" t="s">
        <v>15</v>
      </c>
      <c r="K174" t="str">
        <f>IF(D174&lt;=12,"0-12 Months",IF(D174&lt;=24,"13-24 Months",IF(D174&lt;=48,"25-48 Months","49+ Months")))</f>
        <v>0-12 Months</v>
      </c>
      <c r="L174">
        <f>IF(Table134[[#This Row],[Churn]]="Yes",1,0)</f>
        <v>0</v>
      </c>
    </row>
    <row r="175" spans="1:12" x14ac:dyDescent="0.35">
      <c r="A175" t="s">
        <v>197</v>
      </c>
      <c r="B175" t="s">
        <v>17</v>
      </c>
      <c r="C175">
        <v>29</v>
      </c>
      <c r="D175">
        <v>20</v>
      </c>
      <c r="E175" t="s">
        <v>21</v>
      </c>
      <c r="F175" t="s">
        <v>13</v>
      </c>
      <c r="G175" t="s">
        <v>19</v>
      </c>
      <c r="H175">
        <v>39.270000000000003</v>
      </c>
      <c r="I175">
        <v>753.67</v>
      </c>
      <c r="J175" t="s">
        <v>15</v>
      </c>
      <c r="K175" t="str">
        <f>IF(D175&lt;=12,"0-12 Months",IF(D175&lt;=24,"13-24 Months",IF(D175&lt;=48,"25-48 Months","49+ Months")))</f>
        <v>13-24 Months</v>
      </c>
      <c r="L175">
        <f>IF(Table134[[#This Row],[Churn]]="Yes",1,0)</f>
        <v>0</v>
      </c>
    </row>
    <row r="176" spans="1:12" x14ac:dyDescent="0.35">
      <c r="A176" t="s">
        <v>198</v>
      </c>
      <c r="B176" t="s">
        <v>17</v>
      </c>
      <c r="C176">
        <v>43</v>
      </c>
      <c r="D176">
        <v>46</v>
      </c>
      <c r="E176" t="s">
        <v>12</v>
      </c>
      <c r="F176" t="s">
        <v>29</v>
      </c>
      <c r="G176" t="s">
        <v>14</v>
      </c>
      <c r="H176">
        <v>31.97</v>
      </c>
      <c r="I176">
        <v>1507.53</v>
      </c>
      <c r="J176" t="s">
        <v>27</v>
      </c>
      <c r="K176" t="str">
        <f>IF(D176&lt;=12,"0-12 Months",IF(D176&lt;=24,"13-24 Months",IF(D176&lt;=48,"25-48 Months","49+ Months")))</f>
        <v>25-48 Months</v>
      </c>
      <c r="L176">
        <f>IF(Table134[[#This Row],[Churn]]="Yes",1,0)</f>
        <v>1</v>
      </c>
    </row>
    <row r="177" spans="1:12" x14ac:dyDescent="0.35">
      <c r="A177" t="s">
        <v>199</v>
      </c>
      <c r="B177" t="s">
        <v>17</v>
      </c>
      <c r="C177">
        <v>63</v>
      </c>
      <c r="D177">
        <v>15</v>
      </c>
      <c r="E177" t="s">
        <v>18</v>
      </c>
      <c r="F177" t="s">
        <v>22</v>
      </c>
      <c r="G177" t="s">
        <v>23</v>
      </c>
      <c r="H177">
        <v>125.99</v>
      </c>
      <c r="I177">
        <v>1759.4</v>
      </c>
      <c r="J177" t="s">
        <v>15</v>
      </c>
      <c r="K177" t="str">
        <f>IF(D177&lt;=12,"0-12 Months",IF(D177&lt;=24,"13-24 Months",IF(D177&lt;=48,"25-48 Months","49+ Months")))</f>
        <v>13-24 Months</v>
      </c>
      <c r="L177">
        <f>IF(Table134[[#This Row],[Churn]]="Yes",1,0)</f>
        <v>0</v>
      </c>
    </row>
    <row r="178" spans="1:12" x14ac:dyDescent="0.35">
      <c r="A178" t="s">
        <v>200</v>
      </c>
      <c r="B178" t="s">
        <v>11</v>
      </c>
      <c r="C178">
        <v>51</v>
      </c>
      <c r="D178">
        <v>25</v>
      </c>
      <c r="E178" t="s">
        <v>21</v>
      </c>
      <c r="F178" t="s">
        <v>13</v>
      </c>
      <c r="G178" t="s">
        <v>23</v>
      </c>
      <c r="H178">
        <v>136.27000000000001</v>
      </c>
      <c r="I178">
        <v>3320.22</v>
      </c>
      <c r="J178" t="s">
        <v>15</v>
      </c>
      <c r="K178" t="str">
        <f>IF(D178&lt;=12,"0-12 Months",IF(D178&lt;=24,"13-24 Months",IF(D178&lt;=48,"25-48 Months","49+ Months")))</f>
        <v>25-48 Months</v>
      </c>
      <c r="L178">
        <f>IF(Table134[[#This Row],[Churn]]="Yes",1,0)</f>
        <v>0</v>
      </c>
    </row>
    <row r="179" spans="1:12" x14ac:dyDescent="0.35">
      <c r="A179" t="s">
        <v>201</v>
      </c>
      <c r="B179" t="s">
        <v>11</v>
      </c>
      <c r="C179">
        <v>66</v>
      </c>
      <c r="D179">
        <v>71</v>
      </c>
      <c r="E179" t="s">
        <v>12</v>
      </c>
      <c r="F179" t="s">
        <v>13</v>
      </c>
      <c r="G179" t="s">
        <v>23</v>
      </c>
      <c r="H179">
        <v>127.07</v>
      </c>
      <c r="I179">
        <v>8496.9599999999991</v>
      </c>
      <c r="J179" t="s">
        <v>15</v>
      </c>
      <c r="K179" t="str">
        <f>IF(D179&lt;=12,"0-12 Months",IF(D179&lt;=24,"13-24 Months",IF(D179&lt;=48,"25-48 Months","49+ Months")))</f>
        <v>49+ Months</v>
      </c>
      <c r="L179">
        <f>IF(Table134[[#This Row],[Churn]]="Yes",1,0)</f>
        <v>0</v>
      </c>
    </row>
    <row r="180" spans="1:12" x14ac:dyDescent="0.35">
      <c r="A180" t="s">
        <v>202</v>
      </c>
      <c r="B180" t="s">
        <v>11</v>
      </c>
      <c r="C180">
        <v>31</v>
      </c>
      <c r="D180">
        <v>17</v>
      </c>
      <c r="E180" t="s">
        <v>21</v>
      </c>
      <c r="F180" t="s">
        <v>22</v>
      </c>
      <c r="G180" t="s">
        <v>14</v>
      </c>
      <c r="H180">
        <v>136.84</v>
      </c>
      <c r="I180">
        <v>2417.37</v>
      </c>
      <c r="J180" t="s">
        <v>15</v>
      </c>
      <c r="K180" t="str">
        <f>IF(D180&lt;=12,"0-12 Months",IF(D180&lt;=24,"13-24 Months",IF(D180&lt;=48,"25-48 Months","49+ Months")))</f>
        <v>13-24 Months</v>
      </c>
      <c r="L180">
        <f>IF(Table134[[#This Row],[Churn]]="Yes",1,0)</f>
        <v>0</v>
      </c>
    </row>
    <row r="181" spans="1:12" x14ac:dyDescent="0.35">
      <c r="A181" t="s">
        <v>203</v>
      </c>
      <c r="B181" t="s">
        <v>11</v>
      </c>
      <c r="C181">
        <v>43</v>
      </c>
      <c r="D181">
        <v>9</v>
      </c>
      <c r="E181" t="s">
        <v>12</v>
      </c>
      <c r="F181" t="s">
        <v>13</v>
      </c>
      <c r="G181" t="s">
        <v>14</v>
      </c>
      <c r="H181">
        <v>91.9</v>
      </c>
      <c r="I181">
        <v>900.58</v>
      </c>
      <c r="J181" t="s">
        <v>15</v>
      </c>
      <c r="K181" t="str">
        <f>IF(D181&lt;=12,"0-12 Months",IF(D181&lt;=24,"13-24 Months",IF(D181&lt;=48,"25-48 Months","49+ Months")))</f>
        <v>0-12 Months</v>
      </c>
      <c r="L181">
        <f>IF(Table134[[#This Row],[Churn]]="Yes",1,0)</f>
        <v>0</v>
      </c>
    </row>
    <row r="182" spans="1:12" x14ac:dyDescent="0.35">
      <c r="A182" t="s">
        <v>204</v>
      </c>
      <c r="B182" t="s">
        <v>11</v>
      </c>
      <c r="C182">
        <v>62</v>
      </c>
      <c r="D182">
        <v>38</v>
      </c>
      <c r="E182" t="s">
        <v>21</v>
      </c>
      <c r="F182" t="s">
        <v>29</v>
      </c>
      <c r="G182" t="s">
        <v>23</v>
      </c>
      <c r="H182">
        <v>125.59</v>
      </c>
      <c r="I182">
        <v>5245.38</v>
      </c>
      <c r="J182" t="s">
        <v>27</v>
      </c>
      <c r="K182" t="str">
        <f>IF(D182&lt;=12,"0-12 Months",IF(D182&lt;=24,"13-24 Months",IF(D182&lt;=48,"25-48 Months","49+ Months")))</f>
        <v>25-48 Months</v>
      </c>
      <c r="L182">
        <f>IF(Table134[[#This Row],[Churn]]="Yes",1,0)</f>
        <v>1</v>
      </c>
    </row>
    <row r="183" spans="1:12" x14ac:dyDescent="0.35">
      <c r="A183" t="s">
        <v>205</v>
      </c>
      <c r="B183" t="s">
        <v>11</v>
      </c>
      <c r="C183">
        <v>44</v>
      </c>
      <c r="D183">
        <v>48</v>
      </c>
      <c r="E183" t="s">
        <v>21</v>
      </c>
      <c r="F183" t="s">
        <v>13</v>
      </c>
      <c r="G183" t="s">
        <v>14</v>
      </c>
      <c r="H183">
        <v>69.930000000000007</v>
      </c>
      <c r="I183">
        <v>3323.26</v>
      </c>
      <c r="J183" t="s">
        <v>15</v>
      </c>
      <c r="K183" t="str">
        <f>IF(D183&lt;=12,"0-12 Months",IF(D183&lt;=24,"13-24 Months",IF(D183&lt;=48,"25-48 Months","49+ Months")))</f>
        <v>25-48 Months</v>
      </c>
      <c r="L183">
        <f>IF(Table134[[#This Row],[Churn]]="Yes",1,0)</f>
        <v>0</v>
      </c>
    </row>
    <row r="184" spans="1:12" x14ac:dyDescent="0.35">
      <c r="A184" t="s">
        <v>206</v>
      </c>
      <c r="B184" t="s">
        <v>17</v>
      </c>
      <c r="C184">
        <v>26</v>
      </c>
      <c r="D184">
        <v>60</v>
      </c>
      <c r="E184" t="s">
        <v>18</v>
      </c>
      <c r="F184" t="s">
        <v>13</v>
      </c>
      <c r="G184" t="s">
        <v>19</v>
      </c>
      <c r="H184">
        <v>106.61</v>
      </c>
      <c r="I184">
        <v>6080.01</v>
      </c>
      <c r="J184" t="s">
        <v>15</v>
      </c>
      <c r="K184" t="str">
        <f>IF(D184&lt;=12,"0-12 Months",IF(D184&lt;=24,"13-24 Months",IF(D184&lt;=48,"25-48 Months","49+ Months")))</f>
        <v>49+ Months</v>
      </c>
      <c r="L184">
        <f>IF(Table134[[#This Row],[Churn]]="Yes",1,0)</f>
        <v>0</v>
      </c>
    </row>
    <row r="185" spans="1:12" x14ac:dyDescent="0.35">
      <c r="A185" t="s">
        <v>207</v>
      </c>
      <c r="B185" t="s">
        <v>11</v>
      </c>
      <c r="C185">
        <v>43</v>
      </c>
      <c r="D185">
        <v>63</v>
      </c>
      <c r="E185" t="s">
        <v>18</v>
      </c>
      <c r="F185" t="s">
        <v>13</v>
      </c>
      <c r="G185" t="s">
        <v>14</v>
      </c>
      <c r="H185">
        <v>148.55000000000001</v>
      </c>
      <c r="I185">
        <v>9251.64</v>
      </c>
      <c r="J185" t="s">
        <v>27</v>
      </c>
      <c r="K185" t="str">
        <f>IF(D185&lt;=12,"0-12 Months",IF(D185&lt;=24,"13-24 Months",IF(D185&lt;=48,"25-48 Months","49+ Months")))</f>
        <v>49+ Months</v>
      </c>
      <c r="L185">
        <f>IF(Table134[[#This Row],[Churn]]="Yes",1,0)</f>
        <v>1</v>
      </c>
    </row>
    <row r="186" spans="1:12" x14ac:dyDescent="0.35">
      <c r="A186" t="s">
        <v>208</v>
      </c>
      <c r="B186" t="s">
        <v>11</v>
      </c>
      <c r="C186">
        <v>64</v>
      </c>
      <c r="D186">
        <v>2</v>
      </c>
      <c r="E186" t="s">
        <v>12</v>
      </c>
      <c r="F186" t="s">
        <v>29</v>
      </c>
      <c r="G186" t="s">
        <v>23</v>
      </c>
      <c r="H186">
        <v>49.34</v>
      </c>
      <c r="I186">
        <v>105.53</v>
      </c>
      <c r="J186" t="s">
        <v>27</v>
      </c>
      <c r="K186" t="str">
        <f>IF(D186&lt;=12,"0-12 Months",IF(D186&lt;=24,"13-24 Months",IF(D186&lt;=48,"25-48 Months","49+ Months")))</f>
        <v>0-12 Months</v>
      </c>
      <c r="L186">
        <f>IF(Table134[[#This Row],[Churn]]="Yes",1,0)</f>
        <v>1</v>
      </c>
    </row>
    <row r="187" spans="1:12" x14ac:dyDescent="0.35">
      <c r="A187" t="s">
        <v>209</v>
      </c>
      <c r="B187" t="s">
        <v>11</v>
      </c>
      <c r="C187">
        <v>39</v>
      </c>
      <c r="D187">
        <v>72</v>
      </c>
      <c r="E187" t="s">
        <v>12</v>
      </c>
      <c r="F187" t="s">
        <v>29</v>
      </c>
      <c r="G187" t="s">
        <v>14</v>
      </c>
      <c r="H187">
        <v>70.69</v>
      </c>
      <c r="I187">
        <v>4790.41</v>
      </c>
      <c r="J187" t="s">
        <v>27</v>
      </c>
      <c r="K187" t="str">
        <f>IF(D187&lt;=12,"0-12 Months",IF(D187&lt;=24,"13-24 Months",IF(D187&lt;=48,"25-48 Months","49+ Months")))</f>
        <v>49+ Months</v>
      </c>
      <c r="L187">
        <f>IF(Table134[[#This Row],[Churn]]="Yes",1,0)</f>
        <v>1</v>
      </c>
    </row>
    <row r="188" spans="1:12" x14ac:dyDescent="0.35">
      <c r="A188" t="s">
        <v>210</v>
      </c>
      <c r="B188" t="s">
        <v>17</v>
      </c>
      <c r="C188">
        <v>64</v>
      </c>
      <c r="D188">
        <v>11</v>
      </c>
      <c r="E188" t="s">
        <v>21</v>
      </c>
      <c r="F188" t="s">
        <v>29</v>
      </c>
      <c r="G188" t="s">
        <v>23</v>
      </c>
      <c r="H188">
        <v>82.41</v>
      </c>
      <c r="I188">
        <v>988.48</v>
      </c>
      <c r="J188" t="s">
        <v>15</v>
      </c>
      <c r="K188" t="str">
        <f>IF(D188&lt;=12,"0-12 Months",IF(D188&lt;=24,"13-24 Months",IF(D188&lt;=48,"25-48 Months","49+ Months")))</f>
        <v>0-12 Months</v>
      </c>
      <c r="L188">
        <f>IF(Table134[[#This Row],[Churn]]="Yes",1,0)</f>
        <v>0</v>
      </c>
    </row>
    <row r="189" spans="1:12" x14ac:dyDescent="0.35">
      <c r="A189" t="s">
        <v>211</v>
      </c>
      <c r="B189" t="s">
        <v>11</v>
      </c>
      <c r="C189">
        <v>47</v>
      </c>
      <c r="D189">
        <v>64</v>
      </c>
      <c r="E189" t="s">
        <v>12</v>
      </c>
      <c r="F189" t="s">
        <v>22</v>
      </c>
      <c r="G189" t="s">
        <v>14</v>
      </c>
      <c r="H189">
        <v>37.94</v>
      </c>
      <c r="I189">
        <v>2351.36</v>
      </c>
      <c r="J189" t="s">
        <v>15</v>
      </c>
      <c r="K189" t="str">
        <f>IF(D189&lt;=12,"0-12 Months",IF(D189&lt;=24,"13-24 Months",IF(D189&lt;=48,"25-48 Months","49+ Months")))</f>
        <v>49+ Months</v>
      </c>
      <c r="L189">
        <f>IF(Table134[[#This Row],[Churn]]="Yes",1,0)</f>
        <v>0</v>
      </c>
    </row>
    <row r="190" spans="1:12" x14ac:dyDescent="0.35">
      <c r="A190" t="s">
        <v>212</v>
      </c>
      <c r="B190" t="s">
        <v>11</v>
      </c>
      <c r="C190">
        <v>60</v>
      </c>
      <c r="D190">
        <v>72</v>
      </c>
      <c r="E190" t="s">
        <v>12</v>
      </c>
      <c r="F190" t="s">
        <v>29</v>
      </c>
      <c r="G190" t="s">
        <v>23</v>
      </c>
      <c r="H190">
        <v>30.54</v>
      </c>
      <c r="I190">
        <v>2412.52</v>
      </c>
      <c r="J190" t="s">
        <v>27</v>
      </c>
      <c r="K190" t="str">
        <f>IF(D190&lt;=12,"0-12 Months",IF(D190&lt;=24,"13-24 Months",IF(D190&lt;=48,"25-48 Months","49+ Months")))</f>
        <v>49+ Months</v>
      </c>
      <c r="L190">
        <f>IF(Table134[[#This Row],[Churn]]="Yes",1,0)</f>
        <v>1</v>
      </c>
    </row>
    <row r="191" spans="1:12" x14ac:dyDescent="0.35">
      <c r="A191" t="s">
        <v>213</v>
      </c>
      <c r="B191" t="s">
        <v>17</v>
      </c>
      <c r="C191">
        <v>65</v>
      </c>
      <c r="D191">
        <v>21</v>
      </c>
      <c r="E191" t="s">
        <v>12</v>
      </c>
      <c r="F191" t="s">
        <v>13</v>
      </c>
      <c r="G191" t="s">
        <v>23</v>
      </c>
      <c r="H191">
        <v>127.86</v>
      </c>
      <c r="I191">
        <v>2866.9</v>
      </c>
      <c r="J191" t="s">
        <v>15</v>
      </c>
      <c r="K191" t="str">
        <f>IF(D191&lt;=12,"0-12 Months",IF(D191&lt;=24,"13-24 Months",IF(D191&lt;=48,"25-48 Months","49+ Months")))</f>
        <v>13-24 Months</v>
      </c>
      <c r="L191">
        <f>IF(Table134[[#This Row],[Churn]]="Yes",1,0)</f>
        <v>0</v>
      </c>
    </row>
    <row r="192" spans="1:12" x14ac:dyDescent="0.35">
      <c r="A192" t="s">
        <v>214</v>
      </c>
      <c r="B192" t="s">
        <v>11</v>
      </c>
      <c r="C192">
        <v>34</v>
      </c>
      <c r="D192">
        <v>18</v>
      </c>
      <c r="E192" t="s">
        <v>21</v>
      </c>
      <c r="F192" t="s">
        <v>33</v>
      </c>
      <c r="G192" t="s">
        <v>14</v>
      </c>
      <c r="H192">
        <v>146.97999999999999</v>
      </c>
      <c r="I192">
        <v>2808.91</v>
      </c>
      <c r="J192" t="s">
        <v>15</v>
      </c>
      <c r="K192" t="str">
        <f>IF(D192&lt;=12,"0-12 Months",IF(D192&lt;=24,"13-24 Months",IF(D192&lt;=48,"25-48 Months","49+ Months")))</f>
        <v>13-24 Months</v>
      </c>
      <c r="L192">
        <f>IF(Table134[[#This Row],[Churn]]="Yes",1,0)</f>
        <v>0</v>
      </c>
    </row>
    <row r="193" spans="1:12" x14ac:dyDescent="0.35">
      <c r="A193" t="s">
        <v>215</v>
      </c>
      <c r="B193" t="s">
        <v>11</v>
      </c>
      <c r="C193">
        <v>43</v>
      </c>
      <c r="D193">
        <v>64</v>
      </c>
      <c r="E193" t="s">
        <v>12</v>
      </c>
      <c r="F193" t="s">
        <v>29</v>
      </c>
      <c r="G193" t="s">
        <v>14</v>
      </c>
      <c r="H193">
        <v>72.61</v>
      </c>
      <c r="I193">
        <v>4477.8</v>
      </c>
      <c r="J193" t="s">
        <v>15</v>
      </c>
      <c r="K193" t="str">
        <f>IF(D193&lt;=12,"0-12 Months",IF(D193&lt;=24,"13-24 Months",IF(D193&lt;=48,"25-48 Months","49+ Months")))</f>
        <v>49+ Months</v>
      </c>
      <c r="L193">
        <f>IF(Table134[[#This Row],[Churn]]="Yes",1,0)</f>
        <v>0</v>
      </c>
    </row>
    <row r="194" spans="1:12" x14ac:dyDescent="0.35">
      <c r="A194" t="s">
        <v>216</v>
      </c>
      <c r="B194" t="s">
        <v>11</v>
      </c>
      <c r="C194">
        <v>53</v>
      </c>
      <c r="D194">
        <v>38</v>
      </c>
      <c r="E194" t="s">
        <v>21</v>
      </c>
      <c r="F194" t="s">
        <v>13</v>
      </c>
      <c r="G194" t="s">
        <v>23</v>
      </c>
      <c r="H194">
        <v>31.39</v>
      </c>
      <c r="I194">
        <v>1075.6300000000001</v>
      </c>
      <c r="J194" t="s">
        <v>15</v>
      </c>
      <c r="K194" t="str">
        <f>IF(D194&lt;=12,"0-12 Months",IF(D194&lt;=24,"13-24 Months",IF(D194&lt;=48,"25-48 Months","49+ Months")))</f>
        <v>25-48 Months</v>
      </c>
      <c r="L194">
        <f>IF(Table134[[#This Row],[Churn]]="Yes",1,0)</f>
        <v>0</v>
      </c>
    </row>
    <row r="195" spans="1:12" x14ac:dyDescent="0.35">
      <c r="A195" t="s">
        <v>217</v>
      </c>
      <c r="B195" t="s">
        <v>11</v>
      </c>
      <c r="C195">
        <v>18</v>
      </c>
      <c r="D195">
        <v>32</v>
      </c>
      <c r="E195" t="s">
        <v>18</v>
      </c>
      <c r="F195" t="s">
        <v>22</v>
      </c>
      <c r="G195" t="s">
        <v>19</v>
      </c>
      <c r="H195">
        <v>28.56</v>
      </c>
      <c r="I195">
        <v>892.38</v>
      </c>
      <c r="J195" t="s">
        <v>15</v>
      </c>
      <c r="K195" t="str">
        <f>IF(D195&lt;=12,"0-12 Months",IF(D195&lt;=24,"13-24 Months",IF(D195&lt;=48,"25-48 Months","49+ Months")))</f>
        <v>25-48 Months</v>
      </c>
      <c r="L195">
        <f>IF(Table134[[#This Row],[Churn]]="Yes",1,0)</f>
        <v>0</v>
      </c>
    </row>
    <row r="196" spans="1:12" x14ac:dyDescent="0.35">
      <c r="A196" t="s">
        <v>218</v>
      </c>
      <c r="B196" t="s">
        <v>11</v>
      </c>
      <c r="C196">
        <v>25</v>
      </c>
      <c r="D196">
        <v>11</v>
      </c>
      <c r="E196" t="s">
        <v>12</v>
      </c>
      <c r="F196" t="s">
        <v>33</v>
      </c>
      <c r="G196" t="s">
        <v>19</v>
      </c>
      <c r="H196">
        <v>135.87</v>
      </c>
      <c r="I196">
        <v>1435.33</v>
      </c>
      <c r="J196" t="s">
        <v>27</v>
      </c>
      <c r="K196" t="str">
        <f>IF(D196&lt;=12,"0-12 Months",IF(D196&lt;=24,"13-24 Months",IF(D196&lt;=48,"25-48 Months","49+ Months")))</f>
        <v>0-12 Months</v>
      </c>
      <c r="L196">
        <f>IF(Table134[[#This Row],[Churn]]="Yes",1,0)</f>
        <v>1</v>
      </c>
    </row>
    <row r="197" spans="1:12" x14ac:dyDescent="0.35">
      <c r="A197" t="s">
        <v>219</v>
      </c>
      <c r="B197" t="s">
        <v>17</v>
      </c>
      <c r="C197">
        <v>66</v>
      </c>
      <c r="D197">
        <v>45</v>
      </c>
      <c r="E197" t="s">
        <v>12</v>
      </c>
      <c r="F197" t="s">
        <v>22</v>
      </c>
      <c r="G197" t="s">
        <v>23</v>
      </c>
      <c r="H197">
        <v>80.3</v>
      </c>
      <c r="I197">
        <v>3279.18</v>
      </c>
      <c r="J197" t="s">
        <v>15</v>
      </c>
      <c r="K197" t="str">
        <f>IF(D197&lt;=12,"0-12 Months",IF(D197&lt;=24,"13-24 Months",IF(D197&lt;=48,"25-48 Months","49+ Months")))</f>
        <v>25-48 Months</v>
      </c>
      <c r="L197">
        <f>IF(Table134[[#This Row],[Churn]]="Yes",1,0)</f>
        <v>0</v>
      </c>
    </row>
    <row r="198" spans="1:12" x14ac:dyDescent="0.35">
      <c r="A198" t="s">
        <v>220</v>
      </c>
      <c r="B198" t="s">
        <v>17</v>
      </c>
      <c r="C198">
        <v>52</v>
      </c>
      <c r="D198">
        <v>33</v>
      </c>
      <c r="E198" t="s">
        <v>12</v>
      </c>
      <c r="F198" t="s">
        <v>22</v>
      </c>
      <c r="G198" t="s">
        <v>23</v>
      </c>
      <c r="H198">
        <v>61.6</v>
      </c>
      <c r="I198">
        <v>2034.98</v>
      </c>
      <c r="J198" t="s">
        <v>15</v>
      </c>
      <c r="K198" t="str">
        <f>IF(D198&lt;=12,"0-12 Months",IF(D198&lt;=24,"13-24 Months",IF(D198&lt;=48,"25-48 Months","49+ Months")))</f>
        <v>25-48 Months</v>
      </c>
      <c r="L198">
        <f>IF(Table134[[#This Row],[Churn]]="Yes",1,0)</f>
        <v>0</v>
      </c>
    </row>
    <row r="199" spans="1:12" x14ac:dyDescent="0.35">
      <c r="A199" t="s">
        <v>221</v>
      </c>
      <c r="B199" t="s">
        <v>17</v>
      </c>
      <c r="C199">
        <v>69</v>
      </c>
      <c r="D199">
        <v>41</v>
      </c>
      <c r="E199" t="s">
        <v>18</v>
      </c>
      <c r="F199" t="s">
        <v>33</v>
      </c>
      <c r="G199" t="s">
        <v>23</v>
      </c>
      <c r="H199">
        <v>81.94</v>
      </c>
      <c r="I199">
        <v>3294.39</v>
      </c>
      <c r="J199" t="s">
        <v>15</v>
      </c>
      <c r="K199" t="str">
        <f>IF(D199&lt;=12,"0-12 Months",IF(D199&lt;=24,"13-24 Months",IF(D199&lt;=48,"25-48 Months","49+ Months")))</f>
        <v>25-48 Months</v>
      </c>
      <c r="L199">
        <f>IF(Table134[[#This Row],[Churn]]="Yes",1,0)</f>
        <v>0</v>
      </c>
    </row>
    <row r="200" spans="1:12" x14ac:dyDescent="0.35">
      <c r="A200" t="s">
        <v>222</v>
      </c>
      <c r="B200" t="s">
        <v>11</v>
      </c>
      <c r="C200">
        <v>32</v>
      </c>
      <c r="D200">
        <v>8</v>
      </c>
      <c r="E200" t="s">
        <v>12</v>
      </c>
      <c r="F200" t="s">
        <v>13</v>
      </c>
      <c r="G200" t="s">
        <v>14</v>
      </c>
      <c r="H200">
        <v>61.38</v>
      </c>
      <c r="I200">
        <v>504.25</v>
      </c>
      <c r="J200" t="s">
        <v>15</v>
      </c>
      <c r="K200" t="str">
        <f>IF(D200&lt;=12,"0-12 Months",IF(D200&lt;=24,"13-24 Months",IF(D200&lt;=48,"25-48 Months","49+ Months")))</f>
        <v>0-12 Months</v>
      </c>
      <c r="L200">
        <f>IF(Table134[[#This Row],[Churn]]="Yes",1,0)</f>
        <v>0</v>
      </c>
    </row>
    <row r="201" spans="1:12" x14ac:dyDescent="0.35">
      <c r="A201" t="s">
        <v>223</v>
      </c>
      <c r="B201" t="s">
        <v>11</v>
      </c>
      <c r="C201">
        <v>64</v>
      </c>
      <c r="D201">
        <v>11</v>
      </c>
      <c r="E201" t="s">
        <v>12</v>
      </c>
      <c r="F201" t="s">
        <v>33</v>
      </c>
      <c r="G201" t="s">
        <v>23</v>
      </c>
      <c r="H201">
        <v>83.57</v>
      </c>
      <c r="I201">
        <v>941.55</v>
      </c>
      <c r="J201" t="s">
        <v>15</v>
      </c>
      <c r="K201" t="str">
        <f>IF(D201&lt;=12,"0-12 Months",IF(D201&lt;=24,"13-24 Months",IF(D201&lt;=48,"25-48 Months","49+ Months")))</f>
        <v>0-12 Months</v>
      </c>
      <c r="L201">
        <f>IF(Table134[[#This Row],[Churn]]="Yes",1,0)</f>
        <v>0</v>
      </c>
    </row>
    <row r="202" spans="1:12" x14ac:dyDescent="0.35">
      <c r="A202" t="s">
        <v>224</v>
      </c>
      <c r="B202" t="s">
        <v>11</v>
      </c>
      <c r="C202">
        <v>39</v>
      </c>
      <c r="D202">
        <v>51</v>
      </c>
      <c r="E202" t="s">
        <v>12</v>
      </c>
      <c r="F202" t="s">
        <v>29</v>
      </c>
      <c r="G202" t="s">
        <v>14</v>
      </c>
      <c r="H202">
        <v>131.74</v>
      </c>
      <c r="I202">
        <v>6209.12</v>
      </c>
      <c r="J202" t="s">
        <v>15</v>
      </c>
      <c r="K202" t="str">
        <f>IF(D202&lt;=12,"0-12 Months",IF(D202&lt;=24,"13-24 Months",IF(D202&lt;=48,"25-48 Months","49+ Months")))</f>
        <v>49+ Months</v>
      </c>
      <c r="L202">
        <f>IF(Table134[[#This Row],[Churn]]="Yes",1,0)</f>
        <v>0</v>
      </c>
    </row>
    <row r="203" spans="1:12" x14ac:dyDescent="0.35">
      <c r="A203" t="s">
        <v>225</v>
      </c>
      <c r="B203" t="s">
        <v>17</v>
      </c>
      <c r="C203">
        <v>31</v>
      </c>
      <c r="D203">
        <v>41</v>
      </c>
      <c r="E203" t="s">
        <v>21</v>
      </c>
      <c r="F203" t="s">
        <v>33</v>
      </c>
      <c r="G203" t="s">
        <v>14</v>
      </c>
      <c r="H203">
        <v>97</v>
      </c>
      <c r="I203">
        <v>4356.38</v>
      </c>
      <c r="J203" t="s">
        <v>15</v>
      </c>
      <c r="K203" t="str">
        <f>IF(D203&lt;=12,"0-12 Months",IF(D203&lt;=24,"13-24 Months",IF(D203&lt;=48,"25-48 Months","49+ Months")))</f>
        <v>25-48 Months</v>
      </c>
      <c r="L203">
        <f>IF(Table134[[#This Row],[Churn]]="Yes",1,0)</f>
        <v>0</v>
      </c>
    </row>
    <row r="204" spans="1:12" x14ac:dyDescent="0.35">
      <c r="A204" t="s">
        <v>226</v>
      </c>
      <c r="B204" t="s">
        <v>11</v>
      </c>
      <c r="C204">
        <v>43</v>
      </c>
      <c r="D204">
        <v>17</v>
      </c>
      <c r="E204" t="s">
        <v>12</v>
      </c>
      <c r="F204" t="s">
        <v>13</v>
      </c>
      <c r="G204" t="s">
        <v>14</v>
      </c>
      <c r="H204">
        <v>110.3</v>
      </c>
      <c r="I204">
        <v>1757.69</v>
      </c>
      <c r="J204" t="s">
        <v>15</v>
      </c>
      <c r="K204" t="str">
        <f>IF(D204&lt;=12,"0-12 Months",IF(D204&lt;=24,"13-24 Months",IF(D204&lt;=48,"25-48 Months","49+ Months")))</f>
        <v>13-24 Months</v>
      </c>
      <c r="L204">
        <f>IF(Table134[[#This Row],[Churn]]="Yes",1,0)</f>
        <v>0</v>
      </c>
    </row>
    <row r="205" spans="1:12" x14ac:dyDescent="0.35">
      <c r="A205" t="s">
        <v>227</v>
      </c>
      <c r="B205" t="s">
        <v>11</v>
      </c>
      <c r="C205">
        <v>45</v>
      </c>
      <c r="D205">
        <v>46</v>
      </c>
      <c r="E205" t="s">
        <v>21</v>
      </c>
      <c r="F205" t="s">
        <v>13</v>
      </c>
      <c r="G205" t="s">
        <v>14</v>
      </c>
      <c r="H205">
        <v>67.41</v>
      </c>
      <c r="I205">
        <v>3066.92</v>
      </c>
      <c r="J205" t="s">
        <v>15</v>
      </c>
      <c r="K205" t="str">
        <f>IF(D205&lt;=12,"0-12 Months",IF(D205&lt;=24,"13-24 Months",IF(D205&lt;=48,"25-48 Months","49+ Months")))</f>
        <v>25-48 Months</v>
      </c>
      <c r="L205">
        <f>IF(Table134[[#This Row],[Churn]]="Yes",1,0)</f>
        <v>0</v>
      </c>
    </row>
    <row r="206" spans="1:12" x14ac:dyDescent="0.35">
      <c r="A206" t="s">
        <v>228</v>
      </c>
      <c r="B206" t="s">
        <v>17</v>
      </c>
      <c r="C206">
        <v>40</v>
      </c>
      <c r="D206">
        <v>32</v>
      </c>
      <c r="E206" t="s">
        <v>18</v>
      </c>
      <c r="F206" t="s">
        <v>29</v>
      </c>
      <c r="G206" t="s">
        <v>14</v>
      </c>
      <c r="H206">
        <v>116.01</v>
      </c>
      <c r="I206">
        <v>3703.5</v>
      </c>
      <c r="J206" t="s">
        <v>27</v>
      </c>
      <c r="K206" t="str">
        <f>IF(D206&lt;=12,"0-12 Months",IF(D206&lt;=24,"13-24 Months",IF(D206&lt;=48,"25-48 Months","49+ Months")))</f>
        <v>25-48 Months</v>
      </c>
      <c r="L206">
        <f>IF(Table134[[#This Row],[Churn]]="Yes",1,0)</f>
        <v>1</v>
      </c>
    </row>
    <row r="207" spans="1:12" x14ac:dyDescent="0.35">
      <c r="A207" t="s">
        <v>229</v>
      </c>
      <c r="B207" t="s">
        <v>11</v>
      </c>
      <c r="C207">
        <v>31</v>
      </c>
      <c r="D207">
        <v>54</v>
      </c>
      <c r="E207" t="s">
        <v>12</v>
      </c>
      <c r="F207" t="s">
        <v>22</v>
      </c>
      <c r="G207" t="s">
        <v>14</v>
      </c>
      <c r="H207">
        <v>106.66</v>
      </c>
      <c r="I207">
        <v>6120.27</v>
      </c>
      <c r="J207" t="s">
        <v>15</v>
      </c>
      <c r="K207" t="str">
        <f>IF(D207&lt;=12,"0-12 Months",IF(D207&lt;=24,"13-24 Months",IF(D207&lt;=48,"25-48 Months","49+ Months")))</f>
        <v>49+ Months</v>
      </c>
      <c r="L207">
        <f>IF(Table134[[#This Row],[Churn]]="Yes",1,0)</f>
        <v>0</v>
      </c>
    </row>
    <row r="208" spans="1:12" x14ac:dyDescent="0.35">
      <c r="A208" t="s">
        <v>230</v>
      </c>
      <c r="B208" t="s">
        <v>17</v>
      </c>
      <c r="C208">
        <v>41</v>
      </c>
      <c r="D208">
        <v>20</v>
      </c>
      <c r="E208" t="s">
        <v>18</v>
      </c>
      <c r="F208" t="s">
        <v>29</v>
      </c>
      <c r="G208" t="s">
        <v>14</v>
      </c>
      <c r="H208">
        <v>35.54</v>
      </c>
      <c r="I208">
        <v>653.83000000000004</v>
      </c>
      <c r="J208" t="s">
        <v>27</v>
      </c>
      <c r="K208" t="str">
        <f>IF(D208&lt;=12,"0-12 Months",IF(D208&lt;=24,"13-24 Months",IF(D208&lt;=48,"25-48 Months","49+ Months")))</f>
        <v>13-24 Months</v>
      </c>
      <c r="L208">
        <f>IF(Table134[[#This Row],[Churn]]="Yes",1,0)</f>
        <v>1</v>
      </c>
    </row>
    <row r="209" spans="1:12" x14ac:dyDescent="0.35">
      <c r="A209" t="s">
        <v>231</v>
      </c>
      <c r="B209" t="s">
        <v>17</v>
      </c>
      <c r="C209">
        <v>19</v>
      </c>
      <c r="D209">
        <v>33</v>
      </c>
      <c r="E209" t="s">
        <v>12</v>
      </c>
      <c r="F209" t="s">
        <v>33</v>
      </c>
      <c r="G209" t="s">
        <v>19</v>
      </c>
      <c r="H209">
        <v>94.44</v>
      </c>
      <c r="I209">
        <v>3072.04</v>
      </c>
      <c r="J209" t="s">
        <v>15</v>
      </c>
      <c r="K209" t="str">
        <f>IF(D209&lt;=12,"0-12 Months",IF(D209&lt;=24,"13-24 Months",IF(D209&lt;=48,"25-48 Months","49+ Months")))</f>
        <v>25-48 Months</v>
      </c>
      <c r="L209">
        <f>IF(Table134[[#This Row],[Churn]]="Yes",1,0)</f>
        <v>0</v>
      </c>
    </row>
    <row r="210" spans="1:12" x14ac:dyDescent="0.35">
      <c r="A210" t="s">
        <v>232</v>
      </c>
      <c r="B210" t="s">
        <v>17</v>
      </c>
      <c r="C210">
        <v>62</v>
      </c>
      <c r="D210">
        <v>40</v>
      </c>
      <c r="E210" t="s">
        <v>18</v>
      </c>
      <c r="F210" t="s">
        <v>33</v>
      </c>
      <c r="G210" t="s">
        <v>23</v>
      </c>
      <c r="H210">
        <v>53.38</v>
      </c>
      <c r="I210">
        <v>2190.08</v>
      </c>
      <c r="J210" t="s">
        <v>27</v>
      </c>
      <c r="K210" t="str">
        <f>IF(D210&lt;=12,"0-12 Months",IF(D210&lt;=24,"13-24 Months",IF(D210&lt;=48,"25-48 Months","49+ Months")))</f>
        <v>25-48 Months</v>
      </c>
      <c r="L210">
        <f>IF(Table134[[#This Row],[Churn]]="Yes",1,0)</f>
        <v>1</v>
      </c>
    </row>
    <row r="211" spans="1:12" x14ac:dyDescent="0.35">
      <c r="A211" t="s">
        <v>233</v>
      </c>
      <c r="B211" t="s">
        <v>11</v>
      </c>
      <c r="C211">
        <v>43</v>
      </c>
      <c r="D211">
        <v>32</v>
      </c>
      <c r="E211" t="s">
        <v>21</v>
      </c>
      <c r="F211" t="s">
        <v>29</v>
      </c>
      <c r="G211" t="s">
        <v>14</v>
      </c>
      <c r="H211">
        <v>124.53</v>
      </c>
      <c r="I211">
        <v>3757.94</v>
      </c>
      <c r="J211" t="s">
        <v>27</v>
      </c>
      <c r="K211" t="str">
        <f>IF(D211&lt;=12,"0-12 Months",IF(D211&lt;=24,"13-24 Months",IF(D211&lt;=48,"25-48 Months","49+ Months")))</f>
        <v>25-48 Months</v>
      </c>
      <c r="L211">
        <f>IF(Table134[[#This Row],[Churn]]="Yes",1,0)</f>
        <v>1</v>
      </c>
    </row>
    <row r="212" spans="1:12" x14ac:dyDescent="0.35">
      <c r="A212" t="s">
        <v>234</v>
      </c>
      <c r="B212" t="s">
        <v>11</v>
      </c>
      <c r="C212">
        <v>31</v>
      </c>
      <c r="D212">
        <v>2</v>
      </c>
      <c r="E212" t="s">
        <v>18</v>
      </c>
      <c r="F212" t="s">
        <v>33</v>
      </c>
      <c r="G212" t="s">
        <v>14</v>
      </c>
      <c r="H212">
        <v>75.37</v>
      </c>
      <c r="I212">
        <v>154.58000000000001</v>
      </c>
      <c r="J212" t="s">
        <v>27</v>
      </c>
      <c r="K212" t="str">
        <f>IF(D212&lt;=12,"0-12 Months",IF(D212&lt;=24,"13-24 Months",IF(D212&lt;=48,"25-48 Months","49+ Months")))</f>
        <v>0-12 Months</v>
      </c>
      <c r="L212">
        <f>IF(Table134[[#This Row],[Churn]]="Yes",1,0)</f>
        <v>1</v>
      </c>
    </row>
    <row r="213" spans="1:12" x14ac:dyDescent="0.35">
      <c r="A213" t="s">
        <v>235</v>
      </c>
      <c r="B213" t="s">
        <v>11</v>
      </c>
      <c r="C213">
        <v>68</v>
      </c>
      <c r="D213">
        <v>33</v>
      </c>
      <c r="E213" t="s">
        <v>12</v>
      </c>
      <c r="F213" t="s">
        <v>22</v>
      </c>
      <c r="G213" t="s">
        <v>23</v>
      </c>
      <c r="H213">
        <v>149.31</v>
      </c>
      <c r="I213">
        <v>5344.73</v>
      </c>
      <c r="J213" t="s">
        <v>15</v>
      </c>
      <c r="K213" t="str">
        <f>IF(D213&lt;=12,"0-12 Months",IF(D213&lt;=24,"13-24 Months",IF(D213&lt;=48,"25-48 Months","49+ Months")))</f>
        <v>25-48 Months</v>
      </c>
      <c r="L213">
        <f>IF(Table134[[#This Row],[Churn]]="Yes",1,0)</f>
        <v>0</v>
      </c>
    </row>
    <row r="214" spans="1:12" x14ac:dyDescent="0.35">
      <c r="A214" t="s">
        <v>236</v>
      </c>
      <c r="B214" t="s">
        <v>11</v>
      </c>
      <c r="C214">
        <v>24</v>
      </c>
      <c r="D214">
        <v>30</v>
      </c>
      <c r="E214" t="s">
        <v>12</v>
      </c>
      <c r="F214" t="s">
        <v>22</v>
      </c>
      <c r="G214" t="s">
        <v>19</v>
      </c>
      <c r="H214">
        <v>32.03</v>
      </c>
      <c r="I214">
        <v>1056.51</v>
      </c>
      <c r="J214" t="s">
        <v>27</v>
      </c>
      <c r="K214" t="str">
        <f>IF(D214&lt;=12,"0-12 Months",IF(D214&lt;=24,"13-24 Months",IF(D214&lt;=48,"25-48 Months","49+ Months")))</f>
        <v>25-48 Months</v>
      </c>
      <c r="L214">
        <f>IF(Table134[[#This Row],[Churn]]="Yes",1,0)</f>
        <v>1</v>
      </c>
    </row>
    <row r="215" spans="1:12" x14ac:dyDescent="0.35">
      <c r="A215" t="s">
        <v>237</v>
      </c>
      <c r="B215" t="s">
        <v>11</v>
      </c>
      <c r="C215">
        <v>20</v>
      </c>
      <c r="D215">
        <v>33</v>
      </c>
      <c r="E215" t="s">
        <v>12</v>
      </c>
      <c r="F215" t="s">
        <v>13</v>
      </c>
      <c r="G215" t="s">
        <v>19</v>
      </c>
      <c r="H215">
        <v>121.45</v>
      </c>
      <c r="I215">
        <v>3633.08</v>
      </c>
      <c r="J215" t="s">
        <v>15</v>
      </c>
      <c r="K215" t="str">
        <f>IF(D215&lt;=12,"0-12 Months",IF(D215&lt;=24,"13-24 Months",IF(D215&lt;=48,"25-48 Months","49+ Months")))</f>
        <v>25-48 Months</v>
      </c>
      <c r="L215">
        <f>IF(Table134[[#This Row],[Churn]]="Yes",1,0)</f>
        <v>0</v>
      </c>
    </row>
    <row r="216" spans="1:12" x14ac:dyDescent="0.35">
      <c r="A216" t="s">
        <v>238</v>
      </c>
      <c r="B216" t="s">
        <v>11</v>
      </c>
      <c r="C216">
        <v>64</v>
      </c>
      <c r="D216">
        <v>26</v>
      </c>
      <c r="E216" t="s">
        <v>12</v>
      </c>
      <c r="F216" t="s">
        <v>29</v>
      </c>
      <c r="G216" t="s">
        <v>23</v>
      </c>
      <c r="H216">
        <v>107.58</v>
      </c>
      <c r="I216">
        <v>2649.16</v>
      </c>
      <c r="J216" t="s">
        <v>27</v>
      </c>
      <c r="K216" t="str">
        <f>IF(D216&lt;=12,"0-12 Months",IF(D216&lt;=24,"13-24 Months",IF(D216&lt;=48,"25-48 Months","49+ Months")))</f>
        <v>25-48 Months</v>
      </c>
      <c r="L216">
        <f>IF(Table134[[#This Row],[Churn]]="Yes",1,0)</f>
        <v>1</v>
      </c>
    </row>
    <row r="217" spans="1:12" x14ac:dyDescent="0.35">
      <c r="A217" t="s">
        <v>239</v>
      </c>
      <c r="B217" t="s">
        <v>11</v>
      </c>
      <c r="C217">
        <v>40</v>
      </c>
      <c r="D217">
        <v>22</v>
      </c>
      <c r="E217" t="s">
        <v>12</v>
      </c>
      <c r="F217" t="s">
        <v>29</v>
      </c>
      <c r="G217" t="s">
        <v>14</v>
      </c>
      <c r="H217">
        <v>119.77</v>
      </c>
      <c r="I217">
        <v>2534.9699999999998</v>
      </c>
      <c r="J217" t="s">
        <v>15</v>
      </c>
      <c r="K217" t="str">
        <f>IF(D217&lt;=12,"0-12 Months",IF(D217&lt;=24,"13-24 Months",IF(D217&lt;=48,"25-48 Months","49+ Months")))</f>
        <v>13-24 Months</v>
      </c>
      <c r="L217">
        <f>IF(Table134[[#This Row],[Churn]]="Yes",1,0)</f>
        <v>0</v>
      </c>
    </row>
    <row r="218" spans="1:12" x14ac:dyDescent="0.35">
      <c r="A218" t="s">
        <v>240</v>
      </c>
      <c r="B218" t="s">
        <v>17</v>
      </c>
      <c r="C218">
        <v>63</v>
      </c>
      <c r="D218">
        <v>66</v>
      </c>
      <c r="E218" t="s">
        <v>12</v>
      </c>
      <c r="F218" t="s">
        <v>29</v>
      </c>
      <c r="G218" t="s">
        <v>23</v>
      </c>
      <c r="H218">
        <v>59.98</v>
      </c>
      <c r="I218">
        <v>3878.81</v>
      </c>
      <c r="J218" t="s">
        <v>27</v>
      </c>
      <c r="K218" t="str">
        <f>IF(D218&lt;=12,"0-12 Months",IF(D218&lt;=24,"13-24 Months",IF(D218&lt;=48,"25-48 Months","49+ Months")))</f>
        <v>49+ Months</v>
      </c>
      <c r="L218">
        <f>IF(Table134[[#This Row],[Churn]]="Yes",1,0)</f>
        <v>1</v>
      </c>
    </row>
    <row r="219" spans="1:12" x14ac:dyDescent="0.35">
      <c r="A219" t="s">
        <v>241</v>
      </c>
      <c r="B219" t="s">
        <v>11</v>
      </c>
      <c r="C219">
        <v>60</v>
      </c>
      <c r="D219">
        <v>38</v>
      </c>
      <c r="E219" t="s">
        <v>12</v>
      </c>
      <c r="F219" t="s">
        <v>33</v>
      </c>
      <c r="G219" t="s">
        <v>23</v>
      </c>
      <c r="H219">
        <v>83.97</v>
      </c>
      <c r="I219">
        <v>3026.38</v>
      </c>
      <c r="J219" t="s">
        <v>15</v>
      </c>
      <c r="K219" t="str">
        <f>IF(D219&lt;=12,"0-12 Months",IF(D219&lt;=24,"13-24 Months",IF(D219&lt;=48,"25-48 Months","49+ Months")))</f>
        <v>25-48 Months</v>
      </c>
      <c r="L219">
        <f>IF(Table134[[#This Row],[Churn]]="Yes",1,0)</f>
        <v>0</v>
      </c>
    </row>
    <row r="220" spans="1:12" x14ac:dyDescent="0.35">
      <c r="A220" t="s">
        <v>242</v>
      </c>
      <c r="B220" t="s">
        <v>17</v>
      </c>
      <c r="C220">
        <v>64</v>
      </c>
      <c r="D220">
        <v>46</v>
      </c>
      <c r="E220" t="s">
        <v>12</v>
      </c>
      <c r="F220" t="s">
        <v>29</v>
      </c>
      <c r="G220" t="s">
        <v>23</v>
      </c>
      <c r="H220">
        <v>123.55</v>
      </c>
      <c r="I220">
        <v>5346.27</v>
      </c>
      <c r="J220" t="s">
        <v>15</v>
      </c>
      <c r="K220" t="str">
        <f>IF(D220&lt;=12,"0-12 Months",IF(D220&lt;=24,"13-24 Months",IF(D220&lt;=48,"25-48 Months","49+ Months")))</f>
        <v>25-48 Months</v>
      </c>
      <c r="L220">
        <f>IF(Table134[[#This Row],[Churn]]="Yes",1,0)</f>
        <v>0</v>
      </c>
    </row>
    <row r="221" spans="1:12" x14ac:dyDescent="0.35">
      <c r="A221" t="s">
        <v>243</v>
      </c>
      <c r="B221" t="s">
        <v>11</v>
      </c>
      <c r="C221">
        <v>62</v>
      </c>
      <c r="D221">
        <v>15</v>
      </c>
      <c r="E221" t="s">
        <v>18</v>
      </c>
      <c r="F221" t="s">
        <v>33</v>
      </c>
      <c r="G221" t="s">
        <v>23</v>
      </c>
      <c r="H221">
        <v>50.23</v>
      </c>
      <c r="I221">
        <v>821.95</v>
      </c>
      <c r="J221" t="s">
        <v>27</v>
      </c>
      <c r="K221" t="str">
        <f>IF(D221&lt;=12,"0-12 Months",IF(D221&lt;=24,"13-24 Months",IF(D221&lt;=48,"25-48 Months","49+ Months")))</f>
        <v>13-24 Months</v>
      </c>
      <c r="L221">
        <f>IF(Table134[[#This Row],[Churn]]="Yes",1,0)</f>
        <v>1</v>
      </c>
    </row>
    <row r="222" spans="1:12" x14ac:dyDescent="0.35">
      <c r="A222" t="s">
        <v>244</v>
      </c>
      <c r="B222" t="s">
        <v>11</v>
      </c>
      <c r="C222">
        <v>35</v>
      </c>
      <c r="D222">
        <v>44</v>
      </c>
      <c r="E222" t="s">
        <v>12</v>
      </c>
      <c r="F222" t="s">
        <v>29</v>
      </c>
      <c r="G222" t="s">
        <v>14</v>
      </c>
      <c r="H222">
        <v>49.38</v>
      </c>
      <c r="I222">
        <v>2354.59</v>
      </c>
      <c r="J222" t="s">
        <v>15</v>
      </c>
      <c r="K222" t="str">
        <f>IF(D222&lt;=12,"0-12 Months",IF(D222&lt;=24,"13-24 Months",IF(D222&lt;=48,"25-48 Months","49+ Months")))</f>
        <v>25-48 Months</v>
      </c>
      <c r="L222">
        <f>IF(Table134[[#This Row],[Churn]]="Yes",1,0)</f>
        <v>0</v>
      </c>
    </row>
    <row r="223" spans="1:12" x14ac:dyDescent="0.35">
      <c r="A223" t="s">
        <v>245</v>
      </c>
      <c r="B223" t="s">
        <v>11</v>
      </c>
      <c r="C223">
        <v>55</v>
      </c>
      <c r="D223">
        <v>49</v>
      </c>
      <c r="E223" t="s">
        <v>12</v>
      </c>
      <c r="F223" t="s">
        <v>13</v>
      </c>
      <c r="G223" t="s">
        <v>23</v>
      </c>
      <c r="H223">
        <v>91.64</v>
      </c>
      <c r="I223">
        <v>4083.53</v>
      </c>
      <c r="J223" t="s">
        <v>15</v>
      </c>
      <c r="K223" t="str">
        <f>IF(D223&lt;=12,"0-12 Months",IF(D223&lt;=24,"13-24 Months",IF(D223&lt;=48,"25-48 Months","49+ Months")))</f>
        <v>49+ Months</v>
      </c>
      <c r="L223">
        <f>IF(Table134[[#This Row],[Churn]]="Yes",1,0)</f>
        <v>0</v>
      </c>
    </row>
    <row r="224" spans="1:12" x14ac:dyDescent="0.35">
      <c r="A224" t="s">
        <v>246</v>
      </c>
      <c r="B224" t="s">
        <v>17</v>
      </c>
      <c r="C224">
        <v>52</v>
      </c>
      <c r="D224">
        <v>61</v>
      </c>
      <c r="E224" t="s">
        <v>12</v>
      </c>
      <c r="F224" t="s">
        <v>22</v>
      </c>
      <c r="G224" t="s">
        <v>23</v>
      </c>
      <c r="H224">
        <v>88.06</v>
      </c>
      <c r="I224">
        <v>5198.49</v>
      </c>
      <c r="J224" t="s">
        <v>27</v>
      </c>
      <c r="K224" t="str">
        <f>IF(D224&lt;=12,"0-12 Months",IF(D224&lt;=24,"13-24 Months",IF(D224&lt;=48,"25-48 Months","49+ Months")))</f>
        <v>49+ Months</v>
      </c>
      <c r="L224">
        <f>IF(Table134[[#This Row],[Churn]]="Yes",1,0)</f>
        <v>1</v>
      </c>
    </row>
    <row r="225" spans="1:12" x14ac:dyDescent="0.35">
      <c r="A225" t="s">
        <v>247</v>
      </c>
      <c r="B225" t="s">
        <v>17</v>
      </c>
      <c r="C225">
        <v>68</v>
      </c>
      <c r="D225">
        <v>67</v>
      </c>
      <c r="E225" t="s">
        <v>12</v>
      </c>
      <c r="F225" t="s">
        <v>33</v>
      </c>
      <c r="G225" t="s">
        <v>23</v>
      </c>
      <c r="H225">
        <v>56.69</v>
      </c>
      <c r="I225">
        <v>3726.18</v>
      </c>
      <c r="J225" t="s">
        <v>15</v>
      </c>
      <c r="K225" t="str">
        <f>IF(D225&lt;=12,"0-12 Months",IF(D225&lt;=24,"13-24 Months",IF(D225&lt;=48,"25-48 Months","49+ Months")))</f>
        <v>49+ Months</v>
      </c>
      <c r="L225">
        <f>IF(Table134[[#This Row],[Churn]]="Yes",1,0)</f>
        <v>0</v>
      </c>
    </row>
    <row r="226" spans="1:12" x14ac:dyDescent="0.35">
      <c r="A226" t="s">
        <v>248</v>
      </c>
      <c r="B226" t="s">
        <v>17</v>
      </c>
      <c r="C226">
        <v>32</v>
      </c>
      <c r="D226">
        <v>6</v>
      </c>
      <c r="E226" t="s">
        <v>18</v>
      </c>
      <c r="F226" t="s">
        <v>29</v>
      </c>
      <c r="G226" t="s">
        <v>14</v>
      </c>
      <c r="H226">
        <v>58.75</v>
      </c>
      <c r="I226">
        <v>334.1</v>
      </c>
      <c r="J226" t="s">
        <v>15</v>
      </c>
      <c r="K226" t="str">
        <f>IF(D226&lt;=12,"0-12 Months",IF(D226&lt;=24,"13-24 Months",IF(D226&lt;=48,"25-48 Months","49+ Months")))</f>
        <v>0-12 Months</v>
      </c>
      <c r="L226">
        <f>IF(Table134[[#This Row],[Churn]]="Yes",1,0)</f>
        <v>0</v>
      </c>
    </row>
    <row r="227" spans="1:12" x14ac:dyDescent="0.35">
      <c r="A227" t="s">
        <v>249</v>
      </c>
      <c r="B227" t="s">
        <v>17</v>
      </c>
      <c r="C227">
        <v>42</v>
      </c>
      <c r="D227">
        <v>9</v>
      </c>
      <c r="E227" t="s">
        <v>12</v>
      </c>
      <c r="F227" t="s">
        <v>13</v>
      </c>
      <c r="G227" t="s">
        <v>14</v>
      </c>
      <c r="H227">
        <v>56.12</v>
      </c>
      <c r="I227">
        <v>518.1</v>
      </c>
      <c r="J227" t="s">
        <v>15</v>
      </c>
      <c r="K227" t="str">
        <f>IF(D227&lt;=12,"0-12 Months",IF(D227&lt;=24,"13-24 Months",IF(D227&lt;=48,"25-48 Months","49+ Months")))</f>
        <v>0-12 Months</v>
      </c>
      <c r="L227">
        <f>IF(Table134[[#This Row],[Churn]]="Yes",1,0)</f>
        <v>0</v>
      </c>
    </row>
    <row r="228" spans="1:12" x14ac:dyDescent="0.35">
      <c r="A228" t="s">
        <v>250</v>
      </c>
      <c r="B228" t="s">
        <v>11</v>
      </c>
      <c r="C228">
        <v>54</v>
      </c>
      <c r="D228">
        <v>6</v>
      </c>
      <c r="E228" t="s">
        <v>21</v>
      </c>
      <c r="F228" t="s">
        <v>13</v>
      </c>
      <c r="G228" t="s">
        <v>23</v>
      </c>
      <c r="H228">
        <v>120.3</v>
      </c>
      <c r="I228">
        <v>742.07</v>
      </c>
      <c r="J228" t="s">
        <v>27</v>
      </c>
      <c r="K228" t="str">
        <f>IF(D228&lt;=12,"0-12 Months",IF(D228&lt;=24,"13-24 Months",IF(D228&lt;=48,"25-48 Months","49+ Months")))</f>
        <v>0-12 Months</v>
      </c>
      <c r="L228">
        <f>IF(Table134[[#This Row],[Churn]]="Yes",1,0)</f>
        <v>1</v>
      </c>
    </row>
    <row r="229" spans="1:12" x14ac:dyDescent="0.35">
      <c r="A229" t="s">
        <v>251</v>
      </c>
      <c r="B229" t="s">
        <v>17</v>
      </c>
      <c r="C229">
        <v>45</v>
      </c>
      <c r="D229">
        <v>32</v>
      </c>
      <c r="E229" t="s">
        <v>18</v>
      </c>
      <c r="F229" t="s">
        <v>29</v>
      </c>
      <c r="G229" t="s">
        <v>14</v>
      </c>
      <c r="H229">
        <v>104.75</v>
      </c>
      <c r="I229">
        <v>3586.98</v>
      </c>
      <c r="J229" t="s">
        <v>15</v>
      </c>
      <c r="K229" t="str">
        <f>IF(D229&lt;=12,"0-12 Months",IF(D229&lt;=24,"13-24 Months",IF(D229&lt;=48,"25-48 Months","49+ Months")))</f>
        <v>25-48 Months</v>
      </c>
      <c r="L229">
        <f>IF(Table134[[#This Row],[Churn]]="Yes",1,0)</f>
        <v>0</v>
      </c>
    </row>
    <row r="230" spans="1:12" x14ac:dyDescent="0.35">
      <c r="A230" t="s">
        <v>252</v>
      </c>
      <c r="B230" t="s">
        <v>11</v>
      </c>
      <c r="C230">
        <v>27</v>
      </c>
      <c r="D230">
        <v>41</v>
      </c>
      <c r="E230" t="s">
        <v>18</v>
      </c>
      <c r="F230" t="s">
        <v>29</v>
      </c>
      <c r="G230" t="s">
        <v>19</v>
      </c>
      <c r="H230">
        <v>128.21</v>
      </c>
      <c r="I230">
        <v>5509.84</v>
      </c>
      <c r="J230" t="s">
        <v>15</v>
      </c>
      <c r="K230" t="str">
        <f>IF(D230&lt;=12,"0-12 Months",IF(D230&lt;=24,"13-24 Months",IF(D230&lt;=48,"25-48 Months","49+ Months")))</f>
        <v>25-48 Months</v>
      </c>
      <c r="L230">
        <f>IF(Table134[[#This Row],[Churn]]="Yes",1,0)</f>
        <v>0</v>
      </c>
    </row>
    <row r="231" spans="1:12" x14ac:dyDescent="0.35">
      <c r="A231" t="s">
        <v>253</v>
      </c>
      <c r="B231" t="s">
        <v>11</v>
      </c>
      <c r="C231">
        <v>56</v>
      </c>
      <c r="D231">
        <v>8</v>
      </c>
      <c r="E231" t="s">
        <v>21</v>
      </c>
      <c r="F231" t="s">
        <v>13</v>
      </c>
      <c r="G231" t="s">
        <v>23</v>
      </c>
      <c r="H231">
        <v>146.81</v>
      </c>
      <c r="I231">
        <v>1184.48</v>
      </c>
      <c r="J231" t="s">
        <v>15</v>
      </c>
      <c r="K231" t="str">
        <f>IF(D231&lt;=12,"0-12 Months",IF(D231&lt;=24,"13-24 Months",IF(D231&lt;=48,"25-48 Months","49+ Months")))</f>
        <v>0-12 Months</v>
      </c>
      <c r="L231">
        <f>IF(Table134[[#This Row],[Churn]]="Yes",1,0)</f>
        <v>0</v>
      </c>
    </row>
    <row r="232" spans="1:12" x14ac:dyDescent="0.35">
      <c r="A232" t="s">
        <v>254</v>
      </c>
      <c r="B232" t="s">
        <v>17</v>
      </c>
      <c r="C232">
        <v>34</v>
      </c>
      <c r="D232">
        <v>72</v>
      </c>
      <c r="E232" t="s">
        <v>18</v>
      </c>
      <c r="F232" t="s">
        <v>13</v>
      </c>
      <c r="G232" t="s">
        <v>14</v>
      </c>
      <c r="H232">
        <v>81.64</v>
      </c>
      <c r="I232">
        <v>6058.64</v>
      </c>
      <c r="J232" t="s">
        <v>15</v>
      </c>
      <c r="K232" t="str">
        <f>IF(D232&lt;=12,"0-12 Months",IF(D232&lt;=24,"13-24 Months",IF(D232&lt;=48,"25-48 Months","49+ Months")))</f>
        <v>49+ Months</v>
      </c>
      <c r="L232">
        <f>IF(Table134[[#This Row],[Churn]]="Yes",1,0)</f>
        <v>0</v>
      </c>
    </row>
    <row r="233" spans="1:12" x14ac:dyDescent="0.35">
      <c r="A233" t="s">
        <v>255</v>
      </c>
      <c r="B233" t="s">
        <v>17</v>
      </c>
      <c r="C233">
        <v>56</v>
      </c>
      <c r="D233">
        <v>50</v>
      </c>
      <c r="E233" t="s">
        <v>18</v>
      </c>
      <c r="F233" t="s">
        <v>22</v>
      </c>
      <c r="G233" t="s">
        <v>23</v>
      </c>
      <c r="H233">
        <v>28.67</v>
      </c>
      <c r="I233">
        <v>1368.7</v>
      </c>
      <c r="J233" t="s">
        <v>15</v>
      </c>
      <c r="K233" t="str">
        <f>IF(D233&lt;=12,"0-12 Months",IF(D233&lt;=24,"13-24 Months",IF(D233&lt;=48,"25-48 Months","49+ Months")))</f>
        <v>49+ Months</v>
      </c>
      <c r="L233">
        <f>IF(Table134[[#This Row],[Churn]]="Yes",1,0)</f>
        <v>0</v>
      </c>
    </row>
    <row r="234" spans="1:12" x14ac:dyDescent="0.35">
      <c r="A234" t="s">
        <v>256</v>
      </c>
      <c r="B234" t="s">
        <v>17</v>
      </c>
      <c r="C234">
        <v>39</v>
      </c>
      <c r="D234">
        <v>62</v>
      </c>
      <c r="E234" t="s">
        <v>21</v>
      </c>
      <c r="F234" t="s">
        <v>13</v>
      </c>
      <c r="G234" t="s">
        <v>14</v>
      </c>
      <c r="H234">
        <v>26.25</v>
      </c>
      <c r="I234">
        <v>1657.79</v>
      </c>
      <c r="J234" t="s">
        <v>15</v>
      </c>
      <c r="K234" t="str">
        <f>IF(D234&lt;=12,"0-12 Months",IF(D234&lt;=24,"13-24 Months",IF(D234&lt;=48,"25-48 Months","49+ Months")))</f>
        <v>49+ Months</v>
      </c>
      <c r="L234">
        <f>IF(Table134[[#This Row],[Churn]]="Yes",1,0)</f>
        <v>0</v>
      </c>
    </row>
    <row r="235" spans="1:12" x14ac:dyDescent="0.35">
      <c r="A235" t="s">
        <v>257</v>
      </c>
      <c r="B235" t="s">
        <v>17</v>
      </c>
      <c r="C235">
        <v>43</v>
      </c>
      <c r="D235">
        <v>62</v>
      </c>
      <c r="E235" t="s">
        <v>21</v>
      </c>
      <c r="F235" t="s">
        <v>13</v>
      </c>
      <c r="G235" t="s">
        <v>14</v>
      </c>
      <c r="H235">
        <v>58.44</v>
      </c>
      <c r="I235">
        <v>3615.47</v>
      </c>
      <c r="J235" t="s">
        <v>15</v>
      </c>
      <c r="K235" t="str">
        <f>IF(D235&lt;=12,"0-12 Months",IF(D235&lt;=24,"13-24 Months",IF(D235&lt;=48,"25-48 Months","49+ Months")))</f>
        <v>49+ Months</v>
      </c>
      <c r="L235">
        <f>IF(Table134[[#This Row],[Churn]]="Yes",1,0)</f>
        <v>0</v>
      </c>
    </row>
    <row r="236" spans="1:12" x14ac:dyDescent="0.35">
      <c r="A236" t="s">
        <v>258</v>
      </c>
      <c r="B236" t="s">
        <v>17</v>
      </c>
      <c r="C236">
        <v>61</v>
      </c>
      <c r="D236">
        <v>7</v>
      </c>
      <c r="E236" t="s">
        <v>21</v>
      </c>
      <c r="F236" t="s">
        <v>13</v>
      </c>
      <c r="G236" t="s">
        <v>23</v>
      </c>
      <c r="H236">
        <v>141.22999999999999</v>
      </c>
      <c r="I236">
        <v>916.11</v>
      </c>
      <c r="J236" t="s">
        <v>27</v>
      </c>
      <c r="K236" t="str">
        <f>IF(D236&lt;=12,"0-12 Months",IF(D236&lt;=24,"13-24 Months",IF(D236&lt;=48,"25-48 Months","49+ Months")))</f>
        <v>0-12 Months</v>
      </c>
      <c r="L236">
        <f>IF(Table134[[#This Row],[Churn]]="Yes",1,0)</f>
        <v>1</v>
      </c>
    </row>
    <row r="237" spans="1:12" x14ac:dyDescent="0.35">
      <c r="A237" t="s">
        <v>259</v>
      </c>
      <c r="B237" t="s">
        <v>17</v>
      </c>
      <c r="C237">
        <v>42</v>
      </c>
      <c r="D237">
        <v>4</v>
      </c>
      <c r="E237" t="s">
        <v>12</v>
      </c>
      <c r="F237" t="s">
        <v>22</v>
      </c>
      <c r="G237" t="s">
        <v>14</v>
      </c>
      <c r="H237">
        <v>88.02</v>
      </c>
      <c r="I237">
        <v>333.95</v>
      </c>
      <c r="J237" t="s">
        <v>15</v>
      </c>
      <c r="K237" t="str">
        <f>IF(D237&lt;=12,"0-12 Months",IF(D237&lt;=24,"13-24 Months",IF(D237&lt;=48,"25-48 Months","49+ Months")))</f>
        <v>0-12 Months</v>
      </c>
      <c r="L237">
        <f>IF(Table134[[#This Row],[Churn]]="Yes",1,0)</f>
        <v>0</v>
      </c>
    </row>
    <row r="238" spans="1:12" x14ac:dyDescent="0.35">
      <c r="A238" t="s">
        <v>260</v>
      </c>
      <c r="B238" t="s">
        <v>17</v>
      </c>
      <c r="C238">
        <v>34</v>
      </c>
      <c r="D238">
        <v>6</v>
      </c>
      <c r="E238" t="s">
        <v>21</v>
      </c>
      <c r="F238" t="s">
        <v>33</v>
      </c>
      <c r="G238" t="s">
        <v>14</v>
      </c>
      <c r="H238">
        <v>55.33</v>
      </c>
      <c r="I238">
        <v>318.14999999999998</v>
      </c>
      <c r="J238" t="s">
        <v>15</v>
      </c>
      <c r="K238" t="str">
        <f>IF(D238&lt;=12,"0-12 Months",IF(D238&lt;=24,"13-24 Months",IF(D238&lt;=48,"25-48 Months","49+ Months")))</f>
        <v>0-12 Months</v>
      </c>
      <c r="L238">
        <f>IF(Table134[[#This Row],[Churn]]="Yes",1,0)</f>
        <v>0</v>
      </c>
    </row>
    <row r="239" spans="1:12" x14ac:dyDescent="0.35">
      <c r="A239" t="s">
        <v>261</v>
      </c>
      <c r="B239" t="s">
        <v>17</v>
      </c>
      <c r="C239">
        <v>30</v>
      </c>
      <c r="D239">
        <v>58</v>
      </c>
      <c r="E239" t="s">
        <v>12</v>
      </c>
      <c r="F239" t="s">
        <v>13</v>
      </c>
      <c r="G239" t="s">
        <v>14</v>
      </c>
      <c r="H239">
        <v>71.89</v>
      </c>
      <c r="I239">
        <v>4523.46</v>
      </c>
      <c r="J239" t="s">
        <v>27</v>
      </c>
      <c r="K239" t="str">
        <f>IF(D239&lt;=12,"0-12 Months",IF(D239&lt;=24,"13-24 Months",IF(D239&lt;=48,"25-48 Months","49+ Months")))</f>
        <v>49+ Months</v>
      </c>
      <c r="L239">
        <f>IF(Table134[[#This Row],[Churn]]="Yes",1,0)</f>
        <v>1</v>
      </c>
    </row>
    <row r="240" spans="1:12" x14ac:dyDescent="0.35">
      <c r="A240" t="s">
        <v>262</v>
      </c>
      <c r="B240" t="s">
        <v>11</v>
      </c>
      <c r="C240">
        <v>37</v>
      </c>
      <c r="D240">
        <v>22</v>
      </c>
      <c r="E240" t="s">
        <v>12</v>
      </c>
      <c r="F240" t="s">
        <v>22</v>
      </c>
      <c r="G240" t="s">
        <v>14</v>
      </c>
      <c r="H240">
        <v>97.82</v>
      </c>
      <c r="I240">
        <v>2036</v>
      </c>
      <c r="J240" t="s">
        <v>15</v>
      </c>
      <c r="K240" t="str">
        <f>IF(D240&lt;=12,"0-12 Months",IF(D240&lt;=24,"13-24 Months",IF(D240&lt;=48,"25-48 Months","49+ Months")))</f>
        <v>13-24 Months</v>
      </c>
      <c r="L240">
        <f>IF(Table134[[#This Row],[Churn]]="Yes",1,0)</f>
        <v>0</v>
      </c>
    </row>
    <row r="241" spans="1:12" x14ac:dyDescent="0.35">
      <c r="A241" t="s">
        <v>263</v>
      </c>
      <c r="B241" t="s">
        <v>17</v>
      </c>
      <c r="C241">
        <v>42</v>
      </c>
      <c r="D241">
        <v>26</v>
      </c>
      <c r="E241" t="s">
        <v>12</v>
      </c>
      <c r="F241" t="s">
        <v>29</v>
      </c>
      <c r="G241" t="s">
        <v>14</v>
      </c>
      <c r="H241">
        <v>104.88</v>
      </c>
      <c r="I241">
        <v>2611.94</v>
      </c>
      <c r="J241" t="s">
        <v>27</v>
      </c>
      <c r="K241" t="str">
        <f>IF(D241&lt;=12,"0-12 Months",IF(D241&lt;=24,"13-24 Months",IF(D241&lt;=48,"25-48 Months","49+ Months")))</f>
        <v>25-48 Months</v>
      </c>
      <c r="L241">
        <f>IF(Table134[[#This Row],[Churn]]="Yes",1,0)</f>
        <v>1</v>
      </c>
    </row>
    <row r="242" spans="1:12" x14ac:dyDescent="0.35">
      <c r="A242" t="s">
        <v>264</v>
      </c>
      <c r="B242" t="s">
        <v>17</v>
      </c>
      <c r="C242">
        <v>21</v>
      </c>
      <c r="D242">
        <v>3</v>
      </c>
      <c r="E242" t="s">
        <v>12</v>
      </c>
      <c r="F242" t="s">
        <v>13</v>
      </c>
      <c r="G242" t="s">
        <v>19</v>
      </c>
      <c r="H242">
        <v>40.01</v>
      </c>
      <c r="I242">
        <v>116.89</v>
      </c>
      <c r="J242" t="s">
        <v>27</v>
      </c>
      <c r="K242" t="str">
        <f>IF(D242&lt;=12,"0-12 Months",IF(D242&lt;=24,"13-24 Months",IF(D242&lt;=48,"25-48 Months","49+ Months")))</f>
        <v>0-12 Months</v>
      </c>
      <c r="L242">
        <f>IF(Table134[[#This Row],[Churn]]="Yes",1,0)</f>
        <v>1</v>
      </c>
    </row>
    <row r="243" spans="1:12" x14ac:dyDescent="0.35">
      <c r="A243" t="s">
        <v>265</v>
      </c>
      <c r="B243" t="s">
        <v>11</v>
      </c>
      <c r="C243">
        <v>27</v>
      </c>
      <c r="D243">
        <v>41</v>
      </c>
      <c r="E243" t="s">
        <v>12</v>
      </c>
      <c r="F243" t="s">
        <v>29</v>
      </c>
      <c r="G243" t="s">
        <v>19</v>
      </c>
      <c r="H243">
        <v>147.01</v>
      </c>
      <c r="I243">
        <v>6224.8</v>
      </c>
      <c r="J243" t="s">
        <v>15</v>
      </c>
      <c r="K243" t="str">
        <f>IF(D243&lt;=12,"0-12 Months",IF(D243&lt;=24,"13-24 Months",IF(D243&lt;=48,"25-48 Months","49+ Months")))</f>
        <v>25-48 Months</v>
      </c>
      <c r="L243">
        <f>IF(Table134[[#This Row],[Churn]]="Yes",1,0)</f>
        <v>0</v>
      </c>
    </row>
    <row r="244" spans="1:12" x14ac:dyDescent="0.35">
      <c r="A244" t="s">
        <v>266</v>
      </c>
      <c r="B244" t="s">
        <v>17</v>
      </c>
      <c r="C244">
        <v>20</v>
      </c>
      <c r="D244">
        <v>60</v>
      </c>
      <c r="E244" t="s">
        <v>12</v>
      </c>
      <c r="F244" t="s">
        <v>13</v>
      </c>
      <c r="G244" t="s">
        <v>19</v>
      </c>
      <c r="H244">
        <v>90.82</v>
      </c>
      <c r="I244">
        <v>5033.1400000000003</v>
      </c>
      <c r="J244" t="s">
        <v>15</v>
      </c>
      <c r="K244" t="str">
        <f>IF(D244&lt;=12,"0-12 Months",IF(D244&lt;=24,"13-24 Months",IF(D244&lt;=48,"25-48 Months","49+ Months")))</f>
        <v>49+ Months</v>
      </c>
      <c r="L244">
        <f>IF(Table134[[#This Row],[Churn]]="Yes",1,0)</f>
        <v>0</v>
      </c>
    </row>
    <row r="245" spans="1:12" x14ac:dyDescent="0.35">
      <c r="A245" t="s">
        <v>267</v>
      </c>
      <c r="B245" t="s">
        <v>11</v>
      </c>
      <c r="C245">
        <v>58</v>
      </c>
      <c r="D245">
        <v>14</v>
      </c>
      <c r="E245" t="s">
        <v>21</v>
      </c>
      <c r="F245" t="s">
        <v>22</v>
      </c>
      <c r="G245" t="s">
        <v>23</v>
      </c>
      <c r="H245">
        <v>37.64</v>
      </c>
      <c r="I245">
        <v>574.79999999999995</v>
      </c>
      <c r="J245" t="s">
        <v>27</v>
      </c>
      <c r="K245" t="str">
        <f>IF(D245&lt;=12,"0-12 Months",IF(D245&lt;=24,"13-24 Months",IF(D245&lt;=48,"25-48 Months","49+ Months")))</f>
        <v>13-24 Months</v>
      </c>
      <c r="L245">
        <f>IF(Table134[[#This Row],[Churn]]="Yes",1,0)</f>
        <v>1</v>
      </c>
    </row>
    <row r="246" spans="1:12" x14ac:dyDescent="0.35">
      <c r="A246" t="s">
        <v>268</v>
      </c>
      <c r="B246" t="s">
        <v>11</v>
      </c>
      <c r="C246">
        <v>62</v>
      </c>
      <c r="D246">
        <v>12</v>
      </c>
      <c r="E246" t="s">
        <v>12</v>
      </c>
      <c r="F246" t="s">
        <v>33</v>
      </c>
      <c r="G246" t="s">
        <v>23</v>
      </c>
      <c r="H246">
        <v>136.16999999999999</v>
      </c>
      <c r="I246">
        <v>1753.51</v>
      </c>
      <c r="J246" t="s">
        <v>27</v>
      </c>
      <c r="K246" t="str">
        <f>IF(D246&lt;=12,"0-12 Months",IF(D246&lt;=24,"13-24 Months",IF(D246&lt;=48,"25-48 Months","49+ Months")))</f>
        <v>0-12 Months</v>
      </c>
      <c r="L246">
        <f>IF(Table134[[#This Row],[Churn]]="Yes",1,0)</f>
        <v>1</v>
      </c>
    </row>
    <row r="247" spans="1:12" x14ac:dyDescent="0.35">
      <c r="A247" t="s">
        <v>269</v>
      </c>
      <c r="B247" t="s">
        <v>17</v>
      </c>
      <c r="C247">
        <v>35</v>
      </c>
      <c r="D247">
        <v>12</v>
      </c>
      <c r="E247" t="s">
        <v>18</v>
      </c>
      <c r="F247" t="s">
        <v>29</v>
      </c>
      <c r="G247" t="s">
        <v>14</v>
      </c>
      <c r="H247">
        <v>29.7</v>
      </c>
      <c r="I247">
        <v>361.9</v>
      </c>
      <c r="J247" t="s">
        <v>15</v>
      </c>
      <c r="K247" t="str">
        <f>IF(D247&lt;=12,"0-12 Months",IF(D247&lt;=24,"13-24 Months",IF(D247&lt;=48,"25-48 Months","49+ Months")))</f>
        <v>0-12 Months</v>
      </c>
      <c r="L247">
        <f>IF(Table134[[#This Row],[Churn]]="Yes",1,0)</f>
        <v>0</v>
      </c>
    </row>
    <row r="248" spans="1:12" x14ac:dyDescent="0.35">
      <c r="A248" t="s">
        <v>270</v>
      </c>
      <c r="B248" t="s">
        <v>11</v>
      </c>
      <c r="C248">
        <v>64</v>
      </c>
      <c r="D248">
        <v>13</v>
      </c>
      <c r="E248" t="s">
        <v>12</v>
      </c>
      <c r="F248" t="s">
        <v>22</v>
      </c>
      <c r="G248" t="s">
        <v>23</v>
      </c>
      <c r="H248">
        <v>138.01</v>
      </c>
      <c r="I248">
        <v>1856.58</v>
      </c>
      <c r="J248" t="s">
        <v>27</v>
      </c>
      <c r="K248" t="str">
        <f>IF(D248&lt;=12,"0-12 Months",IF(D248&lt;=24,"13-24 Months",IF(D248&lt;=48,"25-48 Months","49+ Months")))</f>
        <v>13-24 Months</v>
      </c>
      <c r="L248">
        <f>IF(Table134[[#This Row],[Churn]]="Yes",1,0)</f>
        <v>1</v>
      </c>
    </row>
    <row r="249" spans="1:12" x14ac:dyDescent="0.35">
      <c r="A249" t="s">
        <v>271</v>
      </c>
      <c r="B249" t="s">
        <v>11</v>
      </c>
      <c r="C249">
        <v>53</v>
      </c>
      <c r="D249">
        <v>25</v>
      </c>
      <c r="E249" t="s">
        <v>12</v>
      </c>
      <c r="F249" t="s">
        <v>13</v>
      </c>
      <c r="G249" t="s">
        <v>23</v>
      </c>
      <c r="H249">
        <v>149.55000000000001</v>
      </c>
      <c r="I249">
        <v>3377.33</v>
      </c>
      <c r="J249" t="s">
        <v>15</v>
      </c>
      <c r="K249" t="str">
        <f>IF(D249&lt;=12,"0-12 Months",IF(D249&lt;=24,"13-24 Months",IF(D249&lt;=48,"25-48 Months","49+ Months")))</f>
        <v>25-48 Months</v>
      </c>
      <c r="L249">
        <f>IF(Table134[[#This Row],[Churn]]="Yes",1,0)</f>
        <v>0</v>
      </c>
    </row>
    <row r="250" spans="1:12" x14ac:dyDescent="0.35">
      <c r="A250" t="s">
        <v>272</v>
      </c>
      <c r="B250" t="s">
        <v>11</v>
      </c>
      <c r="C250">
        <v>64</v>
      </c>
      <c r="D250">
        <v>45</v>
      </c>
      <c r="E250" t="s">
        <v>21</v>
      </c>
      <c r="F250" t="s">
        <v>29</v>
      </c>
      <c r="G250" t="s">
        <v>23</v>
      </c>
      <c r="H250">
        <v>111.06</v>
      </c>
      <c r="I250">
        <v>4836.72</v>
      </c>
      <c r="J250" t="s">
        <v>15</v>
      </c>
      <c r="K250" t="str">
        <f>IF(D250&lt;=12,"0-12 Months",IF(D250&lt;=24,"13-24 Months",IF(D250&lt;=48,"25-48 Months","49+ Months")))</f>
        <v>25-48 Months</v>
      </c>
      <c r="L250">
        <f>IF(Table134[[#This Row],[Churn]]="Yes",1,0)</f>
        <v>0</v>
      </c>
    </row>
    <row r="251" spans="1:12" x14ac:dyDescent="0.35">
      <c r="A251" t="s">
        <v>273</v>
      </c>
      <c r="B251" t="s">
        <v>11</v>
      </c>
      <c r="C251">
        <v>39</v>
      </c>
      <c r="D251">
        <v>19</v>
      </c>
      <c r="E251" t="s">
        <v>21</v>
      </c>
      <c r="F251" t="s">
        <v>29</v>
      </c>
      <c r="G251" t="s">
        <v>14</v>
      </c>
      <c r="H251">
        <v>120.16</v>
      </c>
      <c r="I251">
        <v>2418.04</v>
      </c>
      <c r="J251" t="s">
        <v>15</v>
      </c>
      <c r="K251" t="str">
        <f>IF(D251&lt;=12,"0-12 Months",IF(D251&lt;=24,"13-24 Months",IF(D251&lt;=48,"25-48 Months","49+ Months")))</f>
        <v>13-24 Months</v>
      </c>
      <c r="L251">
        <f>IF(Table134[[#This Row],[Churn]]="Yes",1,0)</f>
        <v>0</v>
      </c>
    </row>
    <row r="252" spans="1:12" x14ac:dyDescent="0.35">
      <c r="A252" t="s">
        <v>274</v>
      </c>
      <c r="B252" t="s">
        <v>17</v>
      </c>
      <c r="C252">
        <v>51</v>
      </c>
      <c r="D252">
        <v>55</v>
      </c>
      <c r="E252" t="s">
        <v>12</v>
      </c>
      <c r="F252" t="s">
        <v>29</v>
      </c>
      <c r="G252" t="s">
        <v>23</v>
      </c>
      <c r="H252">
        <v>63.85</v>
      </c>
      <c r="I252">
        <v>3215</v>
      </c>
      <c r="J252" t="s">
        <v>27</v>
      </c>
      <c r="K252" t="str">
        <f>IF(D252&lt;=12,"0-12 Months",IF(D252&lt;=24,"13-24 Months",IF(D252&lt;=48,"25-48 Months","49+ Months")))</f>
        <v>49+ Months</v>
      </c>
      <c r="L252">
        <f>IF(Table134[[#This Row],[Churn]]="Yes",1,0)</f>
        <v>1</v>
      </c>
    </row>
    <row r="253" spans="1:12" x14ac:dyDescent="0.35">
      <c r="A253" t="s">
        <v>275</v>
      </c>
      <c r="B253" t="s">
        <v>11</v>
      </c>
      <c r="C253">
        <v>64</v>
      </c>
      <c r="D253">
        <v>45</v>
      </c>
      <c r="E253" t="s">
        <v>18</v>
      </c>
      <c r="F253" t="s">
        <v>29</v>
      </c>
      <c r="G253" t="s">
        <v>23</v>
      </c>
      <c r="H253">
        <v>142.4</v>
      </c>
      <c r="I253">
        <v>6129.01</v>
      </c>
      <c r="J253" t="s">
        <v>15</v>
      </c>
      <c r="K253" t="str">
        <f>IF(D253&lt;=12,"0-12 Months",IF(D253&lt;=24,"13-24 Months",IF(D253&lt;=48,"25-48 Months","49+ Months")))</f>
        <v>25-48 Months</v>
      </c>
      <c r="L253">
        <f>IF(Table134[[#This Row],[Churn]]="Yes",1,0)</f>
        <v>0</v>
      </c>
    </row>
    <row r="254" spans="1:12" x14ac:dyDescent="0.35">
      <c r="A254" t="s">
        <v>276</v>
      </c>
      <c r="B254" t="s">
        <v>17</v>
      </c>
      <c r="C254">
        <v>25</v>
      </c>
      <c r="D254">
        <v>8</v>
      </c>
      <c r="E254" t="s">
        <v>18</v>
      </c>
      <c r="F254" t="s">
        <v>29</v>
      </c>
      <c r="G254" t="s">
        <v>19</v>
      </c>
      <c r="H254">
        <v>88.86</v>
      </c>
      <c r="I254">
        <v>723.01</v>
      </c>
      <c r="J254" t="s">
        <v>15</v>
      </c>
      <c r="K254" t="str">
        <f>IF(D254&lt;=12,"0-12 Months",IF(D254&lt;=24,"13-24 Months",IF(D254&lt;=48,"25-48 Months","49+ Months")))</f>
        <v>0-12 Months</v>
      </c>
      <c r="L254">
        <f>IF(Table134[[#This Row],[Churn]]="Yes",1,0)</f>
        <v>0</v>
      </c>
    </row>
    <row r="255" spans="1:12" x14ac:dyDescent="0.35">
      <c r="A255" t="s">
        <v>277</v>
      </c>
      <c r="B255" t="s">
        <v>11</v>
      </c>
      <c r="C255">
        <v>57</v>
      </c>
      <c r="D255">
        <v>53</v>
      </c>
      <c r="E255" t="s">
        <v>12</v>
      </c>
      <c r="F255" t="s">
        <v>29</v>
      </c>
      <c r="G255" t="s">
        <v>23</v>
      </c>
      <c r="H255">
        <v>115.21</v>
      </c>
      <c r="I255">
        <v>5808.66</v>
      </c>
      <c r="J255" t="s">
        <v>15</v>
      </c>
      <c r="K255" t="str">
        <f>IF(D255&lt;=12,"0-12 Months",IF(D255&lt;=24,"13-24 Months",IF(D255&lt;=48,"25-48 Months","49+ Months")))</f>
        <v>49+ Months</v>
      </c>
      <c r="L255">
        <f>IF(Table134[[#This Row],[Churn]]="Yes",1,0)</f>
        <v>0</v>
      </c>
    </row>
    <row r="256" spans="1:12" x14ac:dyDescent="0.35">
      <c r="A256" t="s">
        <v>278</v>
      </c>
      <c r="B256" t="s">
        <v>11</v>
      </c>
      <c r="C256">
        <v>66</v>
      </c>
      <c r="D256">
        <v>55</v>
      </c>
      <c r="E256" t="s">
        <v>12</v>
      </c>
      <c r="F256" t="s">
        <v>29</v>
      </c>
      <c r="G256" t="s">
        <v>23</v>
      </c>
      <c r="H256">
        <v>140.13</v>
      </c>
      <c r="I256">
        <v>8376.1</v>
      </c>
      <c r="J256" t="s">
        <v>27</v>
      </c>
      <c r="K256" t="str">
        <f>IF(D256&lt;=12,"0-12 Months",IF(D256&lt;=24,"13-24 Months",IF(D256&lt;=48,"25-48 Months","49+ Months")))</f>
        <v>49+ Months</v>
      </c>
      <c r="L256">
        <f>IF(Table134[[#This Row],[Churn]]="Yes",1,0)</f>
        <v>1</v>
      </c>
    </row>
    <row r="257" spans="1:12" x14ac:dyDescent="0.35">
      <c r="A257" t="s">
        <v>279</v>
      </c>
      <c r="B257" t="s">
        <v>11</v>
      </c>
      <c r="C257">
        <v>61</v>
      </c>
      <c r="D257">
        <v>32</v>
      </c>
      <c r="E257" t="s">
        <v>18</v>
      </c>
      <c r="F257" t="s">
        <v>22</v>
      </c>
      <c r="G257" t="s">
        <v>23</v>
      </c>
      <c r="H257">
        <v>146.77000000000001</v>
      </c>
      <c r="I257">
        <v>4350.08</v>
      </c>
      <c r="J257" t="s">
        <v>15</v>
      </c>
      <c r="K257" t="str">
        <f>IF(D257&lt;=12,"0-12 Months",IF(D257&lt;=24,"13-24 Months",IF(D257&lt;=48,"25-48 Months","49+ Months")))</f>
        <v>25-48 Months</v>
      </c>
      <c r="L257">
        <f>IF(Table134[[#This Row],[Churn]]="Yes",1,0)</f>
        <v>0</v>
      </c>
    </row>
    <row r="258" spans="1:12" x14ac:dyDescent="0.35">
      <c r="A258" t="s">
        <v>280</v>
      </c>
      <c r="B258" t="s">
        <v>11</v>
      </c>
      <c r="C258">
        <v>36</v>
      </c>
      <c r="D258">
        <v>51</v>
      </c>
      <c r="E258" t="s">
        <v>21</v>
      </c>
      <c r="F258" t="s">
        <v>13</v>
      </c>
      <c r="G258" t="s">
        <v>14</v>
      </c>
      <c r="H258">
        <v>128.32</v>
      </c>
      <c r="I258">
        <v>6933.57</v>
      </c>
      <c r="J258" t="s">
        <v>15</v>
      </c>
      <c r="K258" t="str">
        <f>IF(D258&lt;=12,"0-12 Months",IF(D258&lt;=24,"13-24 Months",IF(D258&lt;=48,"25-48 Months","49+ Months")))</f>
        <v>49+ Months</v>
      </c>
      <c r="L258">
        <f>IF(Table134[[#This Row],[Churn]]="Yes",1,0)</f>
        <v>0</v>
      </c>
    </row>
    <row r="259" spans="1:12" x14ac:dyDescent="0.35">
      <c r="A259" t="s">
        <v>281</v>
      </c>
      <c r="B259" t="s">
        <v>17</v>
      </c>
      <c r="C259">
        <v>59</v>
      </c>
      <c r="D259">
        <v>44</v>
      </c>
      <c r="E259" t="s">
        <v>12</v>
      </c>
      <c r="F259" t="s">
        <v>33</v>
      </c>
      <c r="G259" t="s">
        <v>23</v>
      </c>
      <c r="H259">
        <v>59.39</v>
      </c>
      <c r="I259">
        <v>2617.31</v>
      </c>
      <c r="J259" t="s">
        <v>15</v>
      </c>
      <c r="K259" t="str">
        <f>IF(D259&lt;=12,"0-12 Months",IF(D259&lt;=24,"13-24 Months",IF(D259&lt;=48,"25-48 Months","49+ Months")))</f>
        <v>25-48 Months</v>
      </c>
      <c r="L259">
        <f>IF(Table134[[#This Row],[Churn]]="Yes",1,0)</f>
        <v>0</v>
      </c>
    </row>
    <row r="260" spans="1:12" x14ac:dyDescent="0.35">
      <c r="A260" t="s">
        <v>282</v>
      </c>
      <c r="B260" t="s">
        <v>17</v>
      </c>
      <c r="C260">
        <v>58</v>
      </c>
      <c r="D260">
        <v>70</v>
      </c>
      <c r="E260" t="s">
        <v>18</v>
      </c>
      <c r="F260" t="s">
        <v>13</v>
      </c>
      <c r="G260" t="s">
        <v>23</v>
      </c>
      <c r="H260">
        <v>145.65</v>
      </c>
      <c r="I260">
        <v>10705.95</v>
      </c>
      <c r="J260" t="s">
        <v>15</v>
      </c>
      <c r="K260" t="str">
        <f>IF(D260&lt;=12,"0-12 Months",IF(D260&lt;=24,"13-24 Months",IF(D260&lt;=48,"25-48 Months","49+ Months")))</f>
        <v>49+ Months</v>
      </c>
      <c r="L260">
        <f>IF(Table134[[#This Row],[Churn]]="Yes",1,0)</f>
        <v>0</v>
      </c>
    </row>
    <row r="261" spans="1:12" x14ac:dyDescent="0.35">
      <c r="A261" t="s">
        <v>283</v>
      </c>
      <c r="B261" t="s">
        <v>11</v>
      </c>
      <c r="C261">
        <v>54</v>
      </c>
      <c r="D261">
        <v>18</v>
      </c>
      <c r="E261" t="s">
        <v>12</v>
      </c>
      <c r="F261" t="s">
        <v>22</v>
      </c>
      <c r="G261" t="s">
        <v>23</v>
      </c>
      <c r="H261">
        <v>101.66</v>
      </c>
      <c r="I261">
        <v>1760.61</v>
      </c>
      <c r="J261" t="s">
        <v>27</v>
      </c>
      <c r="K261" t="str">
        <f>IF(D261&lt;=12,"0-12 Months",IF(D261&lt;=24,"13-24 Months",IF(D261&lt;=48,"25-48 Months","49+ Months")))</f>
        <v>13-24 Months</v>
      </c>
      <c r="L261">
        <f>IF(Table134[[#This Row],[Churn]]="Yes",1,0)</f>
        <v>1</v>
      </c>
    </row>
    <row r="262" spans="1:12" x14ac:dyDescent="0.35">
      <c r="A262" t="s">
        <v>284</v>
      </c>
      <c r="B262" t="s">
        <v>11</v>
      </c>
      <c r="C262">
        <v>23</v>
      </c>
      <c r="D262">
        <v>22</v>
      </c>
      <c r="E262" t="s">
        <v>12</v>
      </c>
      <c r="F262" t="s">
        <v>33</v>
      </c>
      <c r="G262" t="s">
        <v>19</v>
      </c>
      <c r="H262">
        <v>140.97999999999999</v>
      </c>
      <c r="I262">
        <v>3110.55</v>
      </c>
      <c r="J262" t="s">
        <v>27</v>
      </c>
      <c r="K262" t="str">
        <f>IF(D262&lt;=12,"0-12 Months",IF(D262&lt;=24,"13-24 Months",IF(D262&lt;=48,"25-48 Months","49+ Months")))</f>
        <v>13-24 Months</v>
      </c>
      <c r="L262">
        <f>IF(Table134[[#This Row],[Churn]]="Yes",1,0)</f>
        <v>1</v>
      </c>
    </row>
    <row r="263" spans="1:12" x14ac:dyDescent="0.35">
      <c r="A263" t="s">
        <v>285</v>
      </c>
      <c r="B263" t="s">
        <v>17</v>
      </c>
      <c r="C263">
        <v>69</v>
      </c>
      <c r="D263">
        <v>37</v>
      </c>
      <c r="E263" t="s">
        <v>12</v>
      </c>
      <c r="F263" t="s">
        <v>22</v>
      </c>
      <c r="G263" t="s">
        <v>23</v>
      </c>
      <c r="H263">
        <v>107.89</v>
      </c>
      <c r="I263">
        <v>4276.82</v>
      </c>
      <c r="J263" t="s">
        <v>15</v>
      </c>
      <c r="K263" t="str">
        <f>IF(D263&lt;=12,"0-12 Months",IF(D263&lt;=24,"13-24 Months",IF(D263&lt;=48,"25-48 Months","49+ Months")))</f>
        <v>25-48 Months</v>
      </c>
      <c r="L263">
        <f>IF(Table134[[#This Row],[Churn]]="Yes",1,0)</f>
        <v>0</v>
      </c>
    </row>
    <row r="264" spans="1:12" x14ac:dyDescent="0.35">
      <c r="A264" t="s">
        <v>286</v>
      </c>
      <c r="B264" t="s">
        <v>11</v>
      </c>
      <c r="C264">
        <v>43</v>
      </c>
      <c r="D264">
        <v>56</v>
      </c>
      <c r="E264" t="s">
        <v>21</v>
      </c>
      <c r="F264" t="s">
        <v>13</v>
      </c>
      <c r="G264" t="s">
        <v>14</v>
      </c>
      <c r="H264">
        <v>59.94</v>
      </c>
      <c r="I264">
        <v>3334.4</v>
      </c>
      <c r="J264" t="s">
        <v>15</v>
      </c>
      <c r="K264" t="str">
        <f>IF(D264&lt;=12,"0-12 Months",IF(D264&lt;=24,"13-24 Months",IF(D264&lt;=48,"25-48 Months","49+ Months")))</f>
        <v>49+ Months</v>
      </c>
      <c r="L264">
        <f>IF(Table134[[#This Row],[Churn]]="Yes",1,0)</f>
        <v>0</v>
      </c>
    </row>
    <row r="265" spans="1:12" x14ac:dyDescent="0.35">
      <c r="A265" t="s">
        <v>287</v>
      </c>
      <c r="B265" t="s">
        <v>11</v>
      </c>
      <c r="C265">
        <v>51</v>
      </c>
      <c r="D265">
        <v>59</v>
      </c>
      <c r="E265" t="s">
        <v>21</v>
      </c>
      <c r="F265" t="s">
        <v>22</v>
      </c>
      <c r="G265" t="s">
        <v>23</v>
      </c>
      <c r="H265">
        <v>68.099999999999994</v>
      </c>
      <c r="I265">
        <v>3905.17</v>
      </c>
      <c r="J265" t="s">
        <v>15</v>
      </c>
      <c r="K265" t="str">
        <f>IF(D265&lt;=12,"0-12 Months",IF(D265&lt;=24,"13-24 Months",IF(D265&lt;=48,"25-48 Months","49+ Months")))</f>
        <v>49+ Months</v>
      </c>
      <c r="L265">
        <f>IF(Table134[[#This Row],[Churn]]="Yes",1,0)</f>
        <v>0</v>
      </c>
    </row>
    <row r="266" spans="1:12" x14ac:dyDescent="0.35">
      <c r="A266" t="s">
        <v>288</v>
      </c>
      <c r="B266" t="s">
        <v>11</v>
      </c>
      <c r="C266">
        <v>62</v>
      </c>
      <c r="D266">
        <v>3</v>
      </c>
      <c r="E266" t="s">
        <v>21</v>
      </c>
      <c r="F266" t="s">
        <v>29</v>
      </c>
      <c r="G266" t="s">
        <v>23</v>
      </c>
      <c r="H266">
        <v>91.56</v>
      </c>
      <c r="I266">
        <v>276.67</v>
      </c>
      <c r="J266" t="s">
        <v>27</v>
      </c>
      <c r="K266" t="str">
        <f>IF(D266&lt;=12,"0-12 Months",IF(D266&lt;=24,"13-24 Months",IF(D266&lt;=48,"25-48 Months","49+ Months")))</f>
        <v>0-12 Months</v>
      </c>
      <c r="L266">
        <f>IF(Table134[[#This Row],[Churn]]="Yes",1,0)</f>
        <v>1</v>
      </c>
    </row>
    <row r="267" spans="1:12" x14ac:dyDescent="0.35">
      <c r="A267" t="s">
        <v>289</v>
      </c>
      <c r="B267" t="s">
        <v>17</v>
      </c>
      <c r="C267">
        <v>23</v>
      </c>
      <c r="D267">
        <v>28</v>
      </c>
      <c r="E267" t="s">
        <v>12</v>
      </c>
      <c r="F267" t="s">
        <v>29</v>
      </c>
      <c r="G267" t="s">
        <v>19</v>
      </c>
      <c r="H267">
        <v>122.7</v>
      </c>
      <c r="I267">
        <v>3584.95</v>
      </c>
      <c r="J267" t="s">
        <v>27</v>
      </c>
      <c r="K267" t="str">
        <f>IF(D267&lt;=12,"0-12 Months",IF(D267&lt;=24,"13-24 Months",IF(D267&lt;=48,"25-48 Months","49+ Months")))</f>
        <v>25-48 Months</v>
      </c>
      <c r="L267">
        <f>IF(Table134[[#This Row],[Churn]]="Yes",1,0)</f>
        <v>1</v>
      </c>
    </row>
    <row r="268" spans="1:12" x14ac:dyDescent="0.35">
      <c r="A268" t="s">
        <v>290</v>
      </c>
      <c r="B268" t="s">
        <v>17</v>
      </c>
      <c r="C268">
        <v>54</v>
      </c>
      <c r="D268">
        <v>35</v>
      </c>
      <c r="E268" t="s">
        <v>12</v>
      </c>
      <c r="F268" t="s">
        <v>13</v>
      </c>
      <c r="G268" t="s">
        <v>23</v>
      </c>
      <c r="H268">
        <v>61.34</v>
      </c>
      <c r="I268">
        <v>2122.67</v>
      </c>
      <c r="J268" t="s">
        <v>27</v>
      </c>
      <c r="K268" t="str">
        <f>IF(D268&lt;=12,"0-12 Months",IF(D268&lt;=24,"13-24 Months",IF(D268&lt;=48,"25-48 Months","49+ Months")))</f>
        <v>25-48 Months</v>
      </c>
      <c r="L268">
        <f>IF(Table134[[#This Row],[Churn]]="Yes",1,0)</f>
        <v>1</v>
      </c>
    </row>
    <row r="269" spans="1:12" x14ac:dyDescent="0.35">
      <c r="A269" t="s">
        <v>291</v>
      </c>
      <c r="B269" t="s">
        <v>17</v>
      </c>
      <c r="C269">
        <v>50</v>
      </c>
      <c r="D269">
        <v>61</v>
      </c>
      <c r="E269" t="s">
        <v>12</v>
      </c>
      <c r="F269" t="s">
        <v>13</v>
      </c>
      <c r="G269" t="s">
        <v>23</v>
      </c>
      <c r="H269">
        <v>95.37</v>
      </c>
      <c r="I269">
        <v>6328.21</v>
      </c>
      <c r="J269" t="s">
        <v>27</v>
      </c>
      <c r="K269" t="str">
        <f>IF(D269&lt;=12,"0-12 Months",IF(D269&lt;=24,"13-24 Months",IF(D269&lt;=48,"25-48 Months","49+ Months")))</f>
        <v>49+ Months</v>
      </c>
      <c r="L269">
        <f>IF(Table134[[#This Row],[Churn]]="Yes",1,0)</f>
        <v>1</v>
      </c>
    </row>
    <row r="270" spans="1:12" x14ac:dyDescent="0.35">
      <c r="A270" t="s">
        <v>292</v>
      </c>
      <c r="B270" t="s">
        <v>11</v>
      </c>
      <c r="C270">
        <v>70</v>
      </c>
      <c r="D270">
        <v>54</v>
      </c>
      <c r="E270" t="s">
        <v>21</v>
      </c>
      <c r="F270" t="s">
        <v>29</v>
      </c>
      <c r="G270" t="s">
        <v>23</v>
      </c>
      <c r="H270">
        <v>64.930000000000007</v>
      </c>
      <c r="I270">
        <v>3362.43</v>
      </c>
      <c r="J270" t="s">
        <v>15</v>
      </c>
      <c r="K270" t="str">
        <f>IF(D270&lt;=12,"0-12 Months",IF(D270&lt;=24,"13-24 Months",IF(D270&lt;=48,"25-48 Months","49+ Months")))</f>
        <v>49+ Months</v>
      </c>
      <c r="L270">
        <f>IF(Table134[[#This Row],[Churn]]="Yes",1,0)</f>
        <v>0</v>
      </c>
    </row>
    <row r="271" spans="1:12" x14ac:dyDescent="0.35">
      <c r="A271" t="s">
        <v>293</v>
      </c>
      <c r="B271" t="s">
        <v>11</v>
      </c>
      <c r="C271">
        <v>39</v>
      </c>
      <c r="D271">
        <v>63</v>
      </c>
      <c r="E271" t="s">
        <v>12</v>
      </c>
      <c r="F271" t="s">
        <v>33</v>
      </c>
      <c r="G271" t="s">
        <v>14</v>
      </c>
      <c r="H271">
        <v>126.05</v>
      </c>
      <c r="I271">
        <v>7902.18</v>
      </c>
      <c r="J271" t="s">
        <v>15</v>
      </c>
      <c r="K271" t="str">
        <f>IF(D271&lt;=12,"0-12 Months",IF(D271&lt;=24,"13-24 Months",IF(D271&lt;=48,"25-48 Months","49+ Months")))</f>
        <v>49+ Months</v>
      </c>
      <c r="L271">
        <f>IF(Table134[[#This Row],[Churn]]="Yes",1,0)</f>
        <v>0</v>
      </c>
    </row>
    <row r="272" spans="1:12" x14ac:dyDescent="0.35">
      <c r="A272" t="s">
        <v>294</v>
      </c>
      <c r="B272" t="s">
        <v>17</v>
      </c>
      <c r="C272">
        <v>38</v>
      </c>
      <c r="D272">
        <v>7</v>
      </c>
      <c r="E272" t="s">
        <v>12</v>
      </c>
      <c r="F272" t="s">
        <v>22</v>
      </c>
      <c r="G272" t="s">
        <v>14</v>
      </c>
      <c r="H272">
        <v>80.67</v>
      </c>
      <c r="I272">
        <v>593.71</v>
      </c>
      <c r="J272" t="s">
        <v>27</v>
      </c>
      <c r="K272" t="str">
        <f>IF(D272&lt;=12,"0-12 Months",IF(D272&lt;=24,"13-24 Months",IF(D272&lt;=48,"25-48 Months","49+ Months")))</f>
        <v>0-12 Months</v>
      </c>
      <c r="L272">
        <f>IF(Table134[[#This Row],[Churn]]="Yes",1,0)</f>
        <v>1</v>
      </c>
    </row>
    <row r="273" spans="1:12" x14ac:dyDescent="0.35">
      <c r="A273" t="s">
        <v>295</v>
      </c>
      <c r="B273" t="s">
        <v>17</v>
      </c>
      <c r="C273">
        <v>23</v>
      </c>
      <c r="D273">
        <v>49</v>
      </c>
      <c r="E273" t="s">
        <v>18</v>
      </c>
      <c r="F273" t="s">
        <v>13</v>
      </c>
      <c r="G273" t="s">
        <v>19</v>
      </c>
      <c r="H273">
        <v>29.97</v>
      </c>
      <c r="I273">
        <v>1524.08</v>
      </c>
      <c r="J273" t="s">
        <v>15</v>
      </c>
      <c r="K273" t="str">
        <f>IF(D273&lt;=12,"0-12 Months",IF(D273&lt;=24,"13-24 Months",IF(D273&lt;=48,"25-48 Months","49+ Months")))</f>
        <v>49+ Months</v>
      </c>
      <c r="L273">
        <f>IF(Table134[[#This Row],[Churn]]="Yes",1,0)</f>
        <v>0</v>
      </c>
    </row>
    <row r="274" spans="1:12" x14ac:dyDescent="0.35">
      <c r="A274" t="s">
        <v>296</v>
      </c>
      <c r="B274" t="s">
        <v>17</v>
      </c>
      <c r="C274">
        <v>23</v>
      </c>
      <c r="D274">
        <v>31</v>
      </c>
      <c r="E274" t="s">
        <v>12</v>
      </c>
      <c r="F274" t="s">
        <v>33</v>
      </c>
      <c r="G274" t="s">
        <v>19</v>
      </c>
      <c r="H274">
        <v>41.59</v>
      </c>
      <c r="I274">
        <v>1383.06</v>
      </c>
      <c r="J274" t="s">
        <v>27</v>
      </c>
      <c r="K274" t="str">
        <f>IF(D274&lt;=12,"0-12 Months",IF(D274&lt;=24,"13-24 Months",IF(D274&lt;=48,"25-48 Months","49+ Months")))</f>
        <v>25-48 Months</v>
      </c>
      <c r="L274">
        <f>IF(Table134[[#This Row],[Churn]]="Yes",1,0)</f>
        <v>1</v>
      </c>
    </row>
    <row r="275" spans="1:12" x14ac:dyDescent="0.35">
      <c r="A275" t="s">
        <v>297</v>
      </c>
      <c r="B275" t="s">
        <v>17</v>
      </c>
      <c r="C275">
        <v>65</v>
      </c>
      <c r="D275">
        <v>58</v>
      </c>
      <c r="E275" t="s">
        <v>18</v>
      </c>
      <c r="F275" t="s">
        <v>13</v>
      </c>
      <c r="G275" t="s">
        <v>23</v>
      </c>
      <c r="H275">
        <v>27.94</v>
      </c>
      <c r="I275">
        <v>1781.54</v>
      </c>
      <c r="J275" t="s">
        <v>15</v>
      </c>
      <c r="K275" t="str">
        <f>IF(D275&lt;=12,"0-12 Months",IF(D275&lt;=24,"13-24 Months",IF(D275&lt;=48,"25-48 Months","49+ Months")))</f>
        <v>49+ Months</v>
      </c>
      <c r="L275">
        <f>IF(Table134[[#This Row],[Churn]]="Yes",1,0)</f>
        <v>0</v>
      </c>
    </row>
    <row r="276" spans="1:12" x14ac:dyDescent="0.35">
      <c r="A276" t="s">
        <v>298</v>
      </c>
      <c r="B276" t="s">
        <v>11</v>
      </c>
      <c r="C276">
        <v>21</v>
      </c>
      <c r="D276">
        <v>61</v>
      </c>
      <c r="E276" t="s">
        <v>12</v>
      </c>
      <c r="F276" t="s">
        <v>33</v>
      </c>
      <c r="G276" t="s">
        <v>19</v>
      </c>
      <c r="H276">
        <v>84.91</v>
      </c>
      <c r="I276">
        <v>5103.74</v>
      </c>
      <c r="J276" t="s">
        <v>27</v>
      </c>
      <c r="K276" t="str">
        <f>IF(D276&lt;=12,"0-12 Months",IF(D276&lt;=24,"13-24 Months",IF(D276&lt;=48,"25-48 Months","49+ Months")))</f>
        <v>49+ Months</v>
      </c>
      <c r="L276">
        <f>IF(Table134[[#This Row],[Churn]]="Yes",1,0)</f>
        <v>1</v>
      </c>
    </row>
    <row r="277" spans="1:12" x14ac:dyDescent="0.35">
      <c r="A277" t="s">
        <v>299</v>
      </c>
      <c r="B277" t="s">
        <v>17</v>
      </c>
      <c r="C277">
        <v>47</v>
      </c>
      <c r="D277">
        <v>24</v>
      </c>
      <c r="E277" t="s">
        <v>21</v>
      </c>
      <c r="F277" t="s">
        <v>13</v>
      </c>
      <c r="G277" t="s">
        <v>14</v>
      </c>
      <c r="H277">
        <v>33.82</v>
      </c>
      <c r="I277">
        <v>748.56</v>
      </c>
      <c r="J277" t="s">
        <v>15</v>
      </c>
      <c r="K277" t="str">
        <f>IF(D277&lt;=12,"0-12 Months",IF(D277&lt;=24,"13-24 Months",IF(D277&lt;=48,"25-48 Months","49+ Months")))</f>
        <v>13-24 Months</v>
      </c>
      <c r="L277">
        <f>IF(Table134[[#This Row],[Churn]]="Yes",1,0)</f>
        <v>0</v>
      </c>
    </row>
    <row r="278" spans="1:12" x14ac:dyDescent="0.35">
      <c r="A278" t="s">
        <v>300</v>
      </c>
      <c r="B278" t="s">
        <v>11</v>
      </c>
      <c r="C278">
        <v>28</v>
      </c>
      <c r="D278">
        <v>20</v>
      </c>
      <c r="E278" t="s">
        <v>12</v>
      </c>
      <c r="F278" t="s">
        <v>29</v>
      </c>
      <c r="G278" t="s">
        <v>19</v>
      </c>
      <c r="H278">
        <v>34.840000000000003</v>
      </c>
      <c r="I278">
        <v>631.36</v>
      </c>
      <c r="J278" t="s">
        <v>15</v>
      </c>
      <c r="K278" t="str">
        <f>IF(D278&lt;=12,"0-12 Months",IF(D278&lt;=24,"13-24 Months",IF(D278&lt;=48,"25-48 Months","49+ Months")))</f>
        <v>13-24 Months</v>
      </c>
      <c r="L278">
        <f>IF(Table134[[#This Row],[Churn]]="Yes",1,0)</f>
        <v>0</v>
      </c>
    </row>
    <row r="279" spans="1:12" x14ac:dyDescent="0.35">
      <c r="A279" t="s">
        <v>301</v>
      </c>
      <c r="B279" t="s">
        <v>17</v>
      </c>
      <c r="C279">
        <v>47</v>
      </c>
      <c r="D279">
        <v>37</v>
      </c>
      <c r="E279" t="s">
        <v>18</v>
      </c>
      <c r="F279" t="s">
        <v>22</v>
      </c>
      <c r="G279" t="s">
        <v>14</v>
      </c>
      <c r="H279">
        <v>142.34</v>
      </c>
      <c r="I279">
        <v>5505.55</v>
      </c>
      <c r="J279" t="s">
        <v>15</v>
      </c>
      <c r="K279" t="str">
        <f>IF(D279&lt;=12,"0-12 Months",IF(D279&lt;=24,"13-24 Months",IF(D279&lt;=48,"25-48 Months","49+ Months")))</f>
        <v>25-48 Months</v>
      </c>
      <c r="L279">
        <f>IF(Table134[[#This Row],[Churn]]="Yes",1,0)</f>
        <v>0</v>
      </c>
    </row>
    <row r="280" spans="1:12" x14ac:dyDescent="0.35">
      <c r="A280" t="s">
        <v>302</v>
      </c>
      <c r="B280" t="s">
        <v>11</v>
      </c>
      <c r="C280">
        <v>48</v>
      </c>
      <c r="D280">
        <v>4</v>
      </c>
      <c r="E280" t="s">
        <v>12</v>
      </c>
      <c r="F280" t="s">
        <v>22</v>
      </c>
      <c r="G280" t="s">
        <v>14</v>
      </c>
      <c r="H280">
        <v>133.44999999999999</v>
      </c>
      <c r="I280">
        <v>573.73</v>
      </c>
      <c r="J280" t="s">
        <v>15</v>
      </c>
      <c r="K280" t="str">
        <f>IF(D280&lt;=12,"0-12 Months",IF(D280&lt;=24,"13-24 Months",IF(D280&lt;=48,"25-48 Months","49+ Months")))</f>
        <v>0-12 Months</v>
      </c>
      <c r="L280">
        <f>IF(Table134[[#This Row],[Churn]]="Yes",1,0)</f>
        <v>0</v>
      </c>
    </row>
    <row r="281" spans="1:12" x14ac:dyDescent="0.35">
      <c r="A281" t="s">
        <v>303</v>
      </c>
      <c r="B281" t="s">
        <v>17</v>
      </c>
      <c r="C281">
        <v>41</v>
      </c>
      <c r="D281">
        <v>20</v>
      </c>
      <c r="E281" t="s">
        <v>12</v>
      </c>
      <c r="F281" t="s">
        <v>22</v>
      </c>
      <c r="G281" t="s">
        <v>14</v>
      </c>
      <c r="H281">
        <v>78.77</v>
      </c>
      <c r="I281">
        <v>1487.4</v>
      </c>
      <c r="J281" t="s">
        <v>15</v>
      </c>
      <c r="K281" t="str">
        <f>IF(D281&lt;=12,"0-12 Months",IF(D281&lt;=24,"13-24 Months",IF(D281&lt;=48,"25-48 Months","49+ Months")))</f>
        <v>13-24 Months</v>
      </c>
      <c r="L281">
        <f>IF(Table134[[#This Row],[Churn]]="Yes",1,0)</f>
        <v>0</v>
      </c>
    </row>
    <row r="282" spans="1:12" x14ac:dyDescent="0.35">
      <c r="A282" t="s">
        <v>304</v>
      </c>
      <c r="B282" t="s">
        <v>17</v>
      </c>
      <c r="C282">
        <v>26</v>
      </c>
      <c r="D282">
        <v>60</v>
      </c>
      <c r="E282" t="s">
        <v>12</v>
      </c>
      <c r="F282" t="s">
        <v>33</v>
      </c>
      <c r="G282" t="s">
        <v>19</v>
      </c>
      <c r="H282">
        <v>148.15</v>
      </c>
      <c r="I282">
        <v>8281.7900000000009</v>
      </c>
      <c r="J282" t="s">
        <v>15</v>
      </c>
      <c r="K282" t="str">
        <f>IF(D282&lt;=12,"0-12 Months",IF(D282&lt;=24,"13-24 Months",IF(D282&lt;=48,"25-48 Months","49+ Months")))</f>
        <v>49+ Months</v>
      </c>
      <c r="L282">
        <f>IF(Table134[[#This Row],[Churn]]="Yes",1,0)</f>
        <v>0</v>
      </c>
    </row>
    <row r="283" spans="1:12" x14ac:dyDescent="0.35">
      <c r="A283" t="s">
        <v>305</v>
      </c>
      <c r="B283" t="s">
        <v>17</v>
      </c>
      <c r="C283">
        <v>20</v>
      </c>
      <c r="D283">
        <v>24</v>
      </c>
      <c r="E283" t="s">
        <v>12</v>
      </c>
      <c r="F283" t="s">
        <v>22</v>
      </c>
      <c r="G283" t="s">
        <v>19</v>
      </c>
      <c r="H283">
        <v>20.02</v>
      </c>
      <c r="I283">
        <v>438.41</v>
      </c>
      <c r="J283" t="s">
        <v>27</v>
      </c>
      <c r="K283" t="str">
        <f>IF(D283&lt;=12,"0-12 Months",IF(D283&lt;=24,"13-24 Months",IF(D283&lt;=48,"25-48 Months","49+ Months")))</f>
        <v>13-24 Months</v>
      </c>
      <c r="L283">
        <f>IF(Table134[[#This Row],[Churn]]="Yes",1,0)</f>
        <v>1</v>
      </c>
    </row>
    <row r="284" spans="1:12" x14ac:dyDescent="0.35">
      <c r="A284" t="s">
        <v>306</v>
      </c>
      <c r="B284" t="s">
        <v>17</v>
      </c>
      <c r="C284">
        <v>68</v>
      </c>
      <c r="D284">
        <v>50</v>
      </c>
      <c r="E284" t="s">
        <v>12</v>
      </c>
      <c r="F284" t="s">
        <v>22</v>
      </c>
      <c r="G284" t="s">
        <v>23</v>
      </c>
      <c r="H284">
        <v>99.82</v>
      </c>
      <c r="I284">
        <v>5313.12</v>
      </c>
      <c r="J284" t="s">
        <v>15</v>
      </c>
      <c r="K284" t="str">
        <f>IF(D284&lt;=12,"0-12 Months",IF(D284&lt;=24,"13-24 Months",IF(D284&lt;=48,"25-48 Months","49+ Months")))</f>
        <v>49+ Months</v>
      </c>
      <c r="L284">
        <f>IF(Table134[[#This Row],[Churn]]="Yes",1,0)</f>
        <v>0</v>
      </c>
    </row>
    <row r="285" spans="1:12" x14ac:dyDescent="0.35">
      <c r="A285" t="s">
        <v>307</v>
      </c>
      <c r="B285" t="s">
        <v>11</v>
      </c>
      <c r="C285">
        <v>48</v>
      </c>
      <c r="D285">
        <v>49</v>
      </c>
      <c r="E285" t="s">
        <v>18</v>
      </c>
      <c r="F285" t="s">
        <v>33</v>
      </c>
      <c r="G285" t="s">
        <v>14</v>
      </c>
      <c r="H285">
        <v>83.07</v>
      </c>
      <c r="I285">
        <v>4721.76</v>
      </c>
      <c r="J285" t="s">
        <v>15</v>
      </c>
      <c r="K285" t="str">
        <f>IF(D285&lt;=12,"0-12 Months",IF(D285&lt;=24,"13-24 Months",IF(D285&lt;=48,"25-48 Months","49+ Months")))</f>
        <v>49+ Months</v>
      </c>
      <c r="L285">
        <f>IF(Table134[[#This Row],[Churn]]="Yes",1,0)</f>
        <v>0</v>
      </c>
    </row>
    <row r="286" spans="1:12" x14ac:dyDescent="0.35">
      <c r="A286" t="s">
        <v>308</v>
      </c>
      <c r="B286" t="s">
        <v>17</v>
      </c>
      <c r="C286">
        <v>57</v>
      </c>
      <c r="D286">
        <v>51</v>
      </c>
      <c r="E286" t="s">
        <v>12</v>
      </c>
      <c r="F286" t="s">
        <v>22</v>
      </c>
      <c r="G286" t="s">
        <v>23</v>
      </c>
      <c r="H286">
        <v>79.47</v>
      </c>
      <c r="I286">
        <v>3973.29</v>
      </c>
      <c r="J286" t="s">
        <v>27</v>
      </c>
      <c r="K286" t="str">
        <f>IF(D286&lt;=12,"0-12 Months",IF(D286&lt;=24,"13-24 Months",IF(D286&lt;=48,"25-48 Months","49+ Months")))</f>
        <v>49+ Months</v>
      </c>
      <c r="L286">
        <f>IF(Table134[[#This Row],[Churn]]="Yes",1,0)</f>
        <v>1</v>
      </c>
    </row>
    <row r="287" spans="1:12" x14ac:dyDescent="0.35">
      <c r="A287" t="s">
        <v>309</v>
      </c>
      <c r="B287" t="s">
        <v>11</v>
      </c>
      <c r="C287">
        <v>54</v>
      </c>
      <c r="D287">
        <v>36</v>
      </c>
      <c r="E287" t="s">
        <v>21</v>
      </c>
      <c r="F287" t="s">
        <v>13</v>
      </c>
      <c r="G287" t="s">
        <v>23</v>
      </c>
      <c r="H287">
        <v>71.599999999999994</v>
      </c>
      <c r="I287">
        <v>2579.02</v>
      </c>
      <c r="J287" t="s">
        <v>15</v>
      </c>
      <c r="K287" t="str">
        <f>IF(D287&lt;=12,"0-12 Months",IF(D287&lt;=24,"13-24 Months",IF(D287&lt;=48,"25-48 Months","49+ Months")))</f>
        <v>25-48 Months</v>
      </c>
      <c r="L287">
        <f>IF(Table134[[#This Row],[Churn]]="Yes",1,0)</f>
        <v>0</v>
      </c>
    </row>
    <row r="288" spans="1:12" x14ac:dyDescent="0.35">
      <c r="A288" t="s">
        <v>310</v>
      </c>
      <c r="B288" t="s">
        <v>11</v>
      </c>
      <c r="C288">
        <v>53</v>
      </c>
      <c r="D288">
        <v>66</v>
      </c>
      <c r="E288" t="s">
        <v>21</v>
      </c>
      <c r="F288" t="s">
        <v>33</v>
      </c>
      <c r="G288" t="s">
        <v>23</v>
      </c>
      <c r="H288">
        <v>79.2</v>
      </c>
      <c r="I288">
        <v>5582.08</v>
      </c>
      <c r="J288" t="s">
        <v>15</v>
      </c>
      <c r="K288" t="str">
        <f>IF(D288&lt;=12,"0-12 Months",IF(D288&lt;=24,"13-24 Months",IF(D288&lt;=48,"25-48 Months","49+ Months")))</f>
        <v>49+ Months</v>
      </c>
      <c r="L288">
        <f>IF(Table134[[#This Row],[Churn]]="Yes",1,0)</f>
        <v>0</v>
      </c>
    </row>
    <row r="289" spans="1:12" x14ac:dyDescent="0.35">
      <c r="A289" t="s">
        <v>311</v>
      </c>
      <c r="B289" t="s">
        <v>11</v>
      </c>
      <c r="C289">
        <v>41</v>
      </c>
      <c r="D289">
        <v>34</v>
      </c>
      <c r="E289" t="s">
        <v>21</v>
      </c>
      <c r="F289" t="s">
        <v>29</v>
      </c>
      <c r="G289" t="s">
        <v>14</v>
      </c>
      <c r="H289">
        <v>73.94</v>
      </c>
      <c r="I289">
        <v>2589.8000000000002</v>
      </c>
      <c r="J289" t="s">
        <v>15</v>
      </c>
      <c r="K289" t="str">
        <f>IF(D289&lt;=12,"0-12 Months",IF(D289&lt;=24,"13-24 Months",IF(D289&lt;=48,"25-48 Months","49+ Months")))</f>
        <v>25-48 Months</v>
      </c>
      <c r="L289">
        <f>IF(Table134[[#This Row],[Churn]]="Yes",1,0)</f>
        <v>0</v>
      </c>
    </row>
    <row r="290" spans="1:12" x14ac:dyDescent="0.35">
      <c r="A290" t="s">
        <v>312</v>
      </c>
      <c r="B290" t="s">
        <v>11</v>
      </c>
      <c r="C290">
        <v>48</v>
      </c>
      <c r="D290">
        <v>36</v>
      </c>
      <c r="E290" t="s">
        <v>12</v>
      </c>
      <c r="F290" t="s">
        <v>22</v>
      </c>
      <c r="G290" t="s">
        <v>14</v>
      </c>
      <c r="H290">
        <v>114.96</v>
      </c>
      <c r="I290">
        <v>4233.8</v>
      </c>
      <c r="J290" t="s">
        <v>15</v>
      </c>
      <c r="K290" t="str">
        <f>IF(D290&lt;=12,"0-12 Months",IF(D290&lt;=24,"13-24 Months",IF(D290&lt;=48,"25-48 Months","49+ Months")))</f>
        <v>25-48 Months</v>
      </c>
      <c r="L290">
        <f>IF(Table134[[#This Row],[Churn]]="Yes",1,0)</f>
        <v>0</v>
      </c>
    </row>
    <row r="291" spans="1:12" x14ac:dyDescent="0.35">
      <c r="A291" t="s">
        <v>313</v>
      </c>
      <c r="B291" t="s">
        <v>17</v>
      </c>
      <c r="C291">
        <v>23</v>
      </c>
      <c r="D291">
        <v>6</v>
      </c>
      <c r="E291" t="s">
        <v>12</v>
      </c>
      <c r="F291" t="s">
        <v>33</v>
      </c>
      <c r="G291" t="s">
        <v>19</v>
      </c>
      <c r="H291">
        <v>37.6</v>
      </c>
      <c r="I291">
        <v>210.97</v>
      </c>
      <c r="J291" t="s">
        <v>15</v>
      </c>
      <c r="K291" t="str">
        <f>IF(D291&lt;=12,"0-12 Months",IF(D291&lt;=24,"13-24 Months",IF(D291&lt;=48,"25-48 Months","49+ Months")))</f>
        <v>0-12 Months</v>
      </c>
      <c r="L291">
        <f>IF(Table134[[#This Row],[Churn]]="Yes",1,0)</f>
        <v>0</v>
      </c>
    </row>
    <row r="292" spans="1:12" x14ac:dyDescent="0.35">
      <c r="A292" t="s">
        <v>314</v>
      </c>
      <c r="B292" t="s">
        <v>11</v>
      </c>
      <c r="C292">
        <v>19</v>
      </c>
      <c r="D292">
        <v>39</v>
      </c>
      <c r="E292" t="s">
        <v>21</v>
      </c>
      <c r="F292" t="s">
        <v>22</v>
      </c>
      <c r="G292" t="s">
        <v>19</v>
      </c>
      <c r="H292">
        <v>45.69</v>
      </c>
      <c r="I292">
        <v>1786.61</v>
      </c>
      <c r="J292" t="s">
        <v>15</v>
      </c>
      <c r="K292" t="str">
        <f>IF(D292&lt;=12,"0-12 Months",IF(D292&lt;=24,"13-24 Months",IF(D292&lt;=48,"25-48 Months","49+ Months")))</f>
        <v>25-48 Months</v>
      </c>
      <c r="L292">
        <f>IF(Table134[[#This Row],[Churn]]="Yes",1,0)</f>
        <v>0</v>
      </c>
    </row>
    <row r="293" spans="1:12" x14ac:dyDescent="0.35">
      <c r="A293" t="s">
        <v>315</v>
      </c>
      <c r="B293" t="s">
        <v>11</v>
      </c>
      <c r="C293">
        <v>37</v>
      </c>
      <c r="D293">
        <v>42</v>
      </c>
      <c r="E293" t="s">
        <v>18</v>
      </c>
      <c r="F293" t="s">
        <v>22</v>
      </c>
      <c r="G293" t="s">
        <v>14</v>
      </c>
      <c r="H293">
        <v>43.47</v>
      </c>
      <c r="I293">
        <v>1904.39</v>
      </c>
      <c r="J293" t="s">
        <v>15</v>
      </c>
      <c r="K293" t="str">
        <f>IF(D293&lt;=12,"0-12 Months",IF(D293&lt;=24,"13-24 Months",IF(D293&lt;=48,"25-48 Months","49+ Months")))</f>
        <v>25-48 Months</v>
      </c>
      <c r="L293">
        <f>IF(Table134[[#This Row],[Churn]]="Yes",1,0)</f>
        <v>0</v>
      </c>
    </row>
    <row r="294" spans="1:12" x14ac:dyDescent="0.35">
      <c r="A294" t="s">
        <v>316</v>
      </c>
      <c r="B294" t="s">
        <v>11</v>
      </c>
      <c r="C294">
        <v>45</v>
      </c>
      <c r="D294">
        <v>58</v>
      </c>
      <c r="E294" t="s">
        <v>12</v>
      </c>
      <c r="F294" t="s">
        <v>22</v>
      </c>
      <c r="G294" t="s">
        <v>14</v>
      </c>
      <c r="H294">
        <v>54.12</v>
      </c>
      <c r="I294">
        <v>3436.07</v>
      </c>
      <c r="J294" t="s">
        <v>15</v>
      </c>
      <c r="K294" t="str">
        <f>IF(D294&lt;=12,"0-12 Months",IF(D294&lt;=24,"13-24 Months",IF(D294&lt;=48,"25-48 Months","49+ Months")))</f>
        <v>49+ Months</v>
      </c>
      <c r="L294">
        <f>IF(Table134[[#This Row],[Churn]]="Yes",1,0)</f>
        <v>0</v>
      </c>
    </row>
    <row r="295" spans="1:12" x14ac:dyDescent="0.35">
      <c r="A295" t="s">
        <v>317</v>
      </c>
      <c r="B295" t="s">
        <v>17</v>
      </c>
      <c r="C295">
        <v>28</v>
      </c>
      <c r="D295">
        <v>12</v>
      </c>
      <c r="E295" t="s">
        <v>12</v>
      </c>
      <c r="F295" t="s">
        <v>13</v>
      </c>
      <c r="G295" t="s">
        <v>19</v>
      </c>
      <c r="H295">
        <v>88.28</v>
      </c>
      <c r="I295">
        <v>996.1</v>
      </c>
      <c r="J295" t="s">
        <v>15</v>
      </c>
      <c r="K295" t="str">
        <f>IF(D295&lt;=12,"0-12 Months",IF(D295&lt;=24,"13-24 Months",IF(D295&lt;=48,"25-48 Months","49+ Months")))</f>
        <v>0-12 Months</v>
      </c>
      <c r="L295">
        <f>IF(Table134[[#This Row],[Churn]]="Yes",1,0)</f>
        <v>0</v>
      </c>
    </row>
    <row r="296" spans="1:12" x14ac:dyDescent="0.35">
      <c r="A296" t="s">
        <v>318</v>
      </c>
      <c r="B296" t="s">
        <v>17</v>
      </c>
      <c r="C296">
        <v>21</v>
      </c>
      <c r="D296">
        <v>3</v>
      </c>
      <c r="E296" t="s">
        <v>12</v>
      </c>
      <c r="F296" t="s">
        <v>33</v>
      </c>
      <c r="G296" t="s">
        <v>19</v>
      </c>
      <c r="H296">
        <v>34.46</v>
      </c>
      <c r="I296">
        <v>93.24</v>
      </c>
      <c r="J296" t="s">
        <v>15</v>
      </c>
      <c r="K296" t="str">
        <f>IF(D296&lt;=12,"0-12 Months",IF(D296&lt;=24,"13-24 Months",IF(D296&lt;=48,"25-48 Months","49+ Months")))</f>
        <v>0-12 Months</v>
      </c>
      <c r="L296">
        <f>IF(Table134[[#This Row],[Churn]]="Yes",1,0)</f>
        <v>0</v>
      </c>
    </row>
    <row r="297" spans="1:12" x14ac:dyDescent="0.35">
      <c r="A297" t="s">
        <v>319</v>
      </c>
      <c r="B297" t="s">
        <v>17</v>
      </c>
      <c r="C297">
        <v>32</v>
      </c>
      <c r="D297">
        <v>18</v>
      </c>
      <c r="E297" t="s">
        <v>18</v>
      </c>
      <c r="F297" t="s">
        <v>29</v>
      </c>
      <c r="G297" t="s">
        <v>14</v>
      </c>
      <c r="H297">
        <v>132.86000000000001</v>
      </c>
      <c r="I297">
        <v>2188.35</v>
      </c>
      <c r="J297" t="s">
        <v>15</v>
      </c>
      <c r="K297" t="str">
        <f>IF(D297&lt;=12,"0-12 Months",IF(D297&lt;=24,"13-24 Months",IF(D297&lt;=48,"25-48 Months","49+ Months")))</f>
        <v>13-24 Months</v>
      </c>
      <c r="L297">
        <f>IF(Table134[[#This Row],[Churn]]="Yes",1,0)</f>
        <v>0</v>
      </c>
    </row>
    <row r="298" spans="1:12" x14ac:dyDescent="0.35">
      <c r="A298" t="s">
        <v>320</v>
      </c>
      <c r="B298" t="s">
        <v>17</v>
      </c>
      <c r="C298">
        <v>23</v>
      </c>
      <c r="D298">
        <v>40</v>
      </c>
      <c r="E298" t="s">
        <v>12</v>
      </c>
      <c r="F298" t="s">
        <v>29</v>
      </c>
      <c r="G298" t="s">
        <v>19</v>
      </c>
      <c r="H298">
        <v>58.66</v>
      </c>
      <c r="I298">
        <v>2288.14</v>
      </c>
      <c r="J298" t="s">
        <v>15</v>
      </c>
      <c r="K298" t="str">
        <f>IF(D298&lt;=12,"0-12 Months",IF(D298&lt;=24,"13-24 Months",IF(D298&lt;=48,"25-48 Months","49+ Months")))</f>
        <v>25-48 Months</v>
      </c>
      <c r="L298">
        <f>IF(Table134[[#This Row],[Churn]]="Yes",1,0)</f>
        <v>0</v>
      </c>
    </row>
    <row r="299" spans="1:12" x14ac:dyDescent="0.35">
      <c r="A299" t="s">
        <v>321</v>
      </c>
      <c r="B299" t="s">
        <v>11</v>
      </c>
      <c r="C299">
        <v>66</v>
      </c>
      <c r="D299">
        <v>21</v>
      </c>
      <c r="E299" t="s">
        <v>12</v>
      </c>
      <c r="F299" t="s">
        <v>29</v>
      </c>
      <c r="G299" t="s">
        <v>23</v>
      </c>
      <c r="H299">
        <v>41.13</v>
      </c>
      <c r="I299">
        <v>919.1</v>
      </c>
      <c r="J299" t="s">
        <v>15</v>
      </c>
      <c r="K299" t="str">
        <f>IF(D299&lt;=12,"0-12 Months",IF(D299&lt;=24,"13-24 Months",IF(D299&lt;=48,"25-48 Months","49+ Months")))</f>
        <v>13-24 Months</v>
      </c>
      <c r="L299">
        <f>IF(Table134[[#This Row],[Churn]]="Yes",1,0)</f>
        <v>0</v>
      </c>
    </row>
    <row r="300" spans="1:12" x14ac:dyDescent="0.35">
      <c r="A300" t="s">
        <v>322</v>
      </c>
      <c r="B300" t="s">
        <v>11</v>
      </c>
      <c r="C300">
        <v>47</v>
      </c>
      <c r="D300">
        <v>15</v>
      </c>
      <c r="E300" t="s">
        <v>18</v>
      </c>
      <c r="F300" t="s">
        <v>13</v>
      </c>
      <c r="G300" t="s">
        <v>14</v>
      </c>
      <c r="H300">
        <v>107.83</v>
      </c>
      <c r="I300">
        <v>1458.02</v>
      </c>
      <c r="J300" t="s">
        <v>15</v>
      </c>
      <c r="K300" t="str">
        <f>IF(D300&lt;=12,"0-12 Months",IF(D300&lt;=24,"13-24 Months",IF(D300&lt;=48,"25-48 Months","49+ Months")))</f>
        <v>13-24 Months</v>
      </c>
      <c r="L300">
        <f>IF(Table134[[#This Row],[Churn]]="Yes",1,0)</f>
        <v>0</v>
      </c>
    </row>
    <row r="301" spans="1:12" x14ac:dyDescent="0.35">
      <c r="A301" t="s">
        <v>323</v>
      </c>
      <c r="B301" t="s">
        <v>17</v>
      </c>
      <c r="C301">
        <v>55</v>
      </c>
      <c r="D301">
        <v>26</v>
      </c>
      <c r="E301" t="s">
        <v>12</v>
      </c>
      <c r="F301" t="s">
        <v>13</v>
      </c>
      <c r="G301" t="s">
        <v>23</v>
      </c>
      <c r="H301">
        <v>24.95</v>
      </c>
      <c r="I301">
        <v>643.09</v>
      </c>
      <c r="J301" t="s">
        <v>15</v>
      </c>
      <c r="K301" t="str">
        <f>IF(D301&lt;=12,"0-12 Months",IF(D301&lt;=24,"13-24 Months",IF(D301&lt;=48,"25-48 Months","49+ Months")))</f>
        <v>25-48 Months</v>
      </c>
      <c r="L301">
        <f>IF(Table134[[#This Row],[Churn]]="Yes",1,0)</f>
        <v>0</v>
      </c>
    </row>
    <row r="302" spans="1:12" x14ac:dyDescent="0.35">
      <c r="A302" t="s">
        <v>324</v>
      </c>
      <c r="B302" t="s">
        <v>11</v>
      </c>
      <c r="C302">
        <v>68</v>
      </c>
      <c r="D302">
        <v>8</v>
      </c>
      <c r="E302" t="s">
        <v>12</v>
      </c>
      <c r="F302" t="s">
        <v>33</v>
      </c>
      <c r="G302" t="s">
        <v>23</v>
      </c>
      <c r="H302">
        <v>100.6</v>
      </c>
      <c r="I302">
        <v>777.31</v>
      </c>
      <c r="J302" t="s">
        <v>27</v>
      </c>
      <c r="K302" t="str">
        <f>IF(D302&lt;=12,"0-12 Months",IF(D302&lt;=24,"13-24 Months",IF(D302&lt;=48,"25-48 Months","49+ Months")))</f>
        <v>0-12 Months</v>
      </c>
      <c r="L302">
        <f>IF(Table134[[#This Row],[Churn]]="Yes",1,0)</f>
        <v>1</v>
      </c>
    </row>
    <row r="303" spans="1:12" x14ac:dyDescent="0.35">
      <c r="A303" t="s">
        <v>325</v>
      </c>
      <c r="B303" t="s">
        <v>11</v>
      </c>
      <c r="C303">
        <v>19</v>
      </c>
      <c r="D303">
        <v>42</v>
      </c>
      <c r="E303" t="s">
        <v>21</v>
      </c>
      <c r="F303" t="s">
        <v>13</v>
      </c>
      <c r="G303" t="s">
        <v>19</v>
      </c>
      <c r="H303">
        <v>110.77</v>
      </c>
      <c r="I303">
        <v>4235.9399999999996</v>
      </c>
      <c r="J303" t="s">
        <v>27</v>
      </c>
      <c r="K303" t="str">
        <f>IF(D303&lt;=12,"0-12 Months",IF(D303&lt;=24,"13-24 Months",IF(D303&lt;=48,"25-48 Months","49+ Months")))</f>
        <v>25-48 Months</v>
      </c>
      <c r="L303">
        <f>IF(Table134[[#This Row],[Churn]]="Yes",1,0)</f>
        <v>1</v>
      </c>
    </row>
    <row r="304" spans="1:12" x14ac:dyDescent="0.35">
      <c r="A304" t="s">
        <v>326</v>
      </c>
      <c r="B304" t="s">
        <v>11</v>
      </c>
      <c r="C304">
        <v>32</v>
      </c>
      <c r="D304">
        <v>44</v>
      </c>
      <c r="E304" t="s">
        <v>18</v>
      </c>
      <c r="F304" t="s">
        <v>13</v>
      </c>
      <c r="G304" t="s">
        <v>14</v>
      </c>
      <c r="H304">
        <v>47.94</v>
      </c>
      <c r="I304">
        <v>2088.37</v>
      </c>
      <c r="J304" t="s">
        <v>15</v>
      </c>
      <c r="K304" t="str">
        <f>IF(D304&lt;=12,"0-12 Months",IF(D304&lt;=24,"13-24 Months",IF(D304&lt;=48,"25-48 Months","49+ Months")))</f>
        <v>25-48 Months</v>
      </c>
      <c r="L304">
        <f>IF(Table134[[#This Row],[Churn]]="Yes",1,0)</f>
        <v>0</v>
      </c>
    </row>
    <row r="305" spans="1:12" x14ac:dyDescent="0.35">
      <c r="A305" t="s">
        <v>327</v>
      </c>
      <c r="B305" t="s">
        <v>17</v>
      </c>
      <c r="C305">
        <v>28</v>
      </c>
      <c r="D305">
        <v>14</v>
      </c>
      <c r="E305" t="s">
        <v>12</v>
      </c>
      <c r="F305" t="s">
        <v>29</v>
      </c>
      <c r="G305" t="s">
        <v>19</v>
      </c>
      <c r="H305">
        <v>25.46</v>
      </c>
      <c r="I305">
        <v>338.96</v>
      </c>
      <c r="J305" t="s">
        <v>15</v>
      </c>
      <c r="K305" t="str">
        <f>IF(D305&lt;=12,"0-12 Months",IF(D305&lt;=24,"13-24 Months",IF(D305&lt;=48,"25-48 Months","49+ Months")))</f>
        <v>13-24 Months</v>
      </c>
      <c r="L305">
        <f>IF(Table134[[#This Row],[Churn]]="Yes",1,0)</f>
        <v>0</v>
      </c>
    </row>
    <row r="306" spans="1:12" x14ac:dyDescent="0.35">
      <c r="A306" t="s">
        <v>328</v>
      </c>
      <c r="B306" t="s">
        <v>17</v>
      </c>
      <c r="C306">
        <v>25</v>
      </c>
      <c r="D306">
        <v>2</v>
      </c>
      <c r="E306" t="s">
        <v>12</v>
      </c>
      <c r="F306" t="s">
        <v>13</v>
      </c>
      <c r="G306" t="s">
        <v>19</v>
      </c>
      <c r="H306">
        <v>67.27</v>
      </c>
      <c r="I306">
        <v>130.55000000000001</v>
      </c>
      <c r="J306" t="s">
        <v>27</v>
      </c>
      <c r="K306" t="str">
        <f>IF(D306&lt;=12,"0-12 Months",IF(D306&lt;=24,"13-24 Months",IF(D306&lt;=48,"25-48 Months","49+ Months")))</f>
        <v>0-12 Months</v>
      </c>
      <c r="L306">
        <f>IF(Table134[[#This Row],[Churn]]="Yes",1,0)</f>
        <v>1</v>
      </c>
    </row>
    <row r="307" spans="1:12" x14ac:dyDescent="0.35">
      <c r="A307" t="s">
        <v>329</v>
      </c>
      <c r="B307" t="s">
        <v>11</v>
      </c>
      <c r="C307">
        <v>43</v>
      </c>
      <c r="D307">
        <v>37</v>
      </c>
      <c r="E307" t="s">
        <v>12</v>
      </c>
      <c r="F307" t="s">
        <v>22</v>
      </c>
      <c r="G307" t="s">
        <v>14</v>
      </c>
      <c r="H307">
        <v>32.82</v>
      </c>
      <c r="I307">
        <v>1264.28</v>
      </c>
      <c r="J307" t="s">
        <v>27</v>
      </c>
      <c r="K307" t="str">
        <f>IF(D307&lt;=12,"0-12 Months",IF(D307&lt;=24,"13-24 Months",IF(D307&lt;=48,"25-48 Months","49+ Months")))</f>
        <v>25-48 Months</v>
      </c>
      <c r="L307">
        <f>IF(Table134[[#This Row],[Churn]]="Yes",1,0)</f>
        <v>1</v>
      </c>
    </row>
    <row r="308" spans="1:12" x14ac:dyDescent="0.35">
      <c r="A308" t="s">
        <v>330</v>
      </c>
      <c r="B308" t="s">
        <v>17</v>
      </c>
      <c r="C308">
        <v>68</v>
      </c>
      <c r="D308">
        <v>69</v>
      </c>
      <c r="E308" t="s">
        <v>12</v>
      </c>
      <c r="F308" t="s">
        <v>29</v>
      </c>
      <c r="G308" t="s">
        <v>23</v>
      </c>
      <c r="H308">
        <v>35.14</v>
      </c>
      <c r="I308">
        <v>2435.11</v>
      </c>
      <c r="J308" t="s">
        <v>15</v>
      </c>
      <c r="K308" t="str">
        <f>IF(D308&lt;=12,"0-12 Months",IF(D308&lt;=24,"13-24 Months",IF(D308&lt;=48,"25-48 Months","49+ Months")))</f>
        <v>49+ Months</v>
      </c>
      <c r="L308">
        <f>IF(Table134[[#This Row],[Churn]]="Yes",1,0)</f>
        <v>0</v>
      </c>
    </row>
    <row r="309" spans="1:12" x14ac:dyDescent="0.35">
      <c r="A309" t="s">
        <v>331</v>
      </c>
      <c r="B309" t="s">
        <v>17</v>
      </c>
      <c r="C309">
        <v>62</v>
      </c>
      <c r="D309">
        <v>38</v>
      </c>
      <c r="E309" t="s">
        <v>21</v>
      </c>
      <c r="F309" t="s">
        <v>29</v>
      </c>
      <c r="G309" t="s">
        <v>23</v>
      </c>
      <c r="H309">
        <v>53.05</v>
      </c>
      <c r="I309">
        <v>1864.57</v>
      </c>
      <c r="J309" t="s">
        <v>27</v>
      </c>
      <c r="K309" t="str">
        <f>IF(D309&lt;=12,"0-12 Months",IF(D309&lt;=24,"13-24 Months",IF(D309&lt;=48,"25-48 Months","49+ Months")))</f>
        <v>25-48 Months</v>
      </c>
      <c r="L309">
        <f>IF(Table134[[#This Row],[Churn]]="Yes",1,0)</f>
        <v>1</v>
      </c>
    </row>
    <row r="310" spans="1:12" x14ac:dyDescent="0.35">
      <c r="A310" t="s">
        <v>332</v>
      </c>
      <c r="B310" t="s">
        <v>17</v>
      </c>
      <c r="C310">
        <v>61</v>
      </c>
      <c r="D310">
        <v>41</v>
      </c>
      <c r="E310" t="s">
        <v>12</v>
      </c>
      <c r="F310" t="s">
        <v>29</v>
      </c>
      <c r="G310" t="s">
        <v>23</v>
      </c>
      <c r="H310">
        <v>58.41</v>
      </c>
      <c r="I310">
        <v>2615.81</v>
      </c>
      <c r="J310" t="s">
        <v>27</v>
      </c>
      <c r="K310" t="str">
        <f>IF(D310&lt;=12,"0-12 Months",IF(D310&lt;=24,"13-24 Months",IF(D310&lt;=48,"25-48 Months","49+ Months")))</f>
        <v>25-48 Months</v>
      </c>
      <c r="L310">
        <f>IF(Table134[[#This Row],[Churn]]="Yes",1,0)</f>
        <v>1</v>
      </c>
    </row>
    <row r="311" spans="1:12" x14ac:dyDescent="0.35">
      <c r="A311" t="s">
        <v>333</v>
      </c>
      <c r="B311" t="s">
        <v>17</v>
      </c>
      <c r="C311">
        <v>22</v>
      </c>
      <c r="D311">
        <v>62</v>
      </c>
      <c r="E311" t="s">
        <v>12</v>
      </c>
      <c r="F311" t="s">
        <v>29</v>
      </c>
      <c r="G311" t="s">
        <v>19</v>
      </c>
      <c r="H311">
        <v>88.9</v>
      </c>
      <c r="I311">
        <v>5661.62</v>
      </c>
      <c r="J311" t="s">
        <v>15</v>
      </c>
      <c r="K311" t="str">
        <f>IF(D311&lt;=12,"0-12 Months",IF(D311&lt;=24,"13-24 Months",IF(D311&lt;=48,"25-48 Months","49+ Months")))</f>
        <v>49+ Months</v>
      </c>
      <c r="L311">
        <f>IF(Table134[[#This Row],[Churn]]="Yes",1,0)</f>
        <v>0</v>
      </c>
    </row>
    <row r="312" spans="1:12" x14ac:dyDescent="0.35">
      <c r="A312" t="s">
        <v>334</v>
      </c>
      <c r="B312" t="s">
        <v>17</v>
      </c>
      <c r="C312">
        <v>23</v>
      </c>
      <c r="D312">
        <v>60</v>
      </c>
      <c r="E312" t="s">
        <v>12</v>
      </c>
      <c r="F312" t="s">
        <v>13</v>
      </c>
      <c r="G312" t="s">
        <v>19</v>
      </c>
      <c r="H312">
        <v>108.19</v>
      </c>
      <c r="I312">
        <v>6836.57</v>
      </c>
      <c r="J312" t="s">
        <v>15</v>
      </c>
      <c r="K312" t="str">
        <f>IF(D312&lt;=12,"0-12 Months",IF(D312&lt;=24,"13-24 Months",IF(D312&lt;=48,"25-48 Months","49+ Months")))</f>
        <v>49+ Months</v>
      </c>
      <c r="L312">
        <f>IF(Table134[[#This Row],[Churn]]="Yes",1,0)</f>
        <v>0</v>
      </c>
    </row>
    <row r="313" spans="1:12" x14ac:dyDescent="0.35">
      <c r="A313" t="s">
        <v>335</v>
      </c>
      <c r="B313" t="s">
        <v>11</v>
      </c>
      <c r="C313">
        <v>43</v>
      </c>
      <c r="D313">
        <v>14</v>
      </c>
      <c r="E313" t="s">
        <v>21</v>
      </c>
      <c r="F313" t="s">
        <v>29</v>
      </c>
      <c r="G313" t="s">
        <v>14</v>
      </c>
      <c r="H313">
        <v>97.06</v>
      </c>
      <c r="I313">
        <v>1244.48</v>
      </c>
      <c r="J313" t="s">
        <v>15</v>
      </c>
      <c r="K313" t="str">
        <f>IF(D313&lt;=12,"0-12 Months",IF(D313&lt;=24,"13-24 Months",IF(D313&lt;=48,"25-48 Months","49+ Months")))</f>
        <v>13-24 Months</v>
      </c>
      <c r="L313">
        <f>IF(Table134[[#This Row],[Churn]]="Yes",1,0)</f>
        <v>0</v>
      </c>
    </row>
    <row r="314" spans="1:12" x14ac:dyDescent="0.35">
      <c r="A314" t="s">
        <v>336</v>
      </c>
      <c r="B314" t="s">
        <v>17</v>
      </c>
      <c r="C314">
        <v>21</v>
      </c>
      <c r="D314">
        <v>2</v>
      </c>
      <c r="E314" t="s">
        <v>12</v>
      </c>
      <c r="F314" t="s">
        <v>22</v>
      </c>
      <c r="G314" t="s">
        <v>19</v>
      </c>
      <c r="H314">
        <v>39.29</v>
      </c>
      <c r="I314">
        <v>71.459999999999994</v>
      </c>
      <c r="J314" t="s">
        <v>15</v>
      </c>
      <c r="K314" t="str">
        <f>IF(D314&lt;=12,"0-12 Months",IF(D314&lt;=24,"13-24 Months",IF(D314&lt;=48,"25-48 Months","49+ Months")))</f>
        <v>0-12 Months</v>
      </c>
      <c r="L314">
        <f>IF(Table134[[#This Row],[Churn]]="Yes",1,0)</f>
        <v>0</v>
      </c>
    </row>
    <row r="315" spans="1:12" x14ac:dyDescent="0.35">
      <c r="A315" t="s">
        <v>337</v>
      </c>
      <c r="B315" t="s">
        <v>11</v>
      </c>
      <c r="C315">
        <v>36</v>
      </c>
      <c r="D315">
        <v>70</v>
      </c>
      <c r="E315" t="s">
        <v>18</v>
      </c>
      <c r="F315" t="s">
        <v>33</v>
      </c>
      <c r="G315" t="s">
        <v>14</v>
      </c>
      <c r="H315">
        <v>42.37</v>
      </c>
      <c r="I315">
        <v>2680.85</v>
      </c>
      <c r="J315" t="s">
        <v>15</v>
      </c>
      <c r="K315" t="str">
        <f>IF(D315&lt;=12,"0-12 Months",IF(D315&lt;=24,"13-24 Months",IF(D315&lt;=48,"25-48 Months","49+ Months")))</f>
        <v>49+ Months</v>
      </c>
      <c r="L315">
        <f>IF(Table134[[#This Row],[Churn]]="Yes",1,0)</f>
        <v>0</v>
      </c>
    </row>
    <row r="316" spans="1:12" x14ac:dyDescent="0.35">
      <c r="A316" t="s">
        <v>338</v>
      </c>
      <c r="B316" t="s">
        <v>11</v>
      </c>
      <c r="C316">
        <v>37</v>
      </c>
      <c r="D316">
        <v>17</v>
      </c>
      <c r="E316" t="s">
        <v>12</v>
      </c>
      <c r="F316" t="s">
        <v>13</v>
      </c>
      <c r="G316" t="s">
        <v>14</v>
      </c>
      <c r="H316">
        <v>134.24</v>
      </c>
      <c r="I316">
        <v>2140.04</v>
      </c>
      <c r="J316" t="s">
        <v>27</v>
      </c>
      <c r="K316" t="str">
        <f>IF(D316&lt;=12,"0-12 Months",IF(D316&lt;=24,"13-24 Months",IF(D316&lt;=48,"25-48 Months","49+ Months")))</f>
        <v>13-24 Months</v>
      </c>
      <c r="L316">
        <f>IF(Table134[[#This Row],[Churn]]="Yes",1,0)</f>
        <v>1</v>
      </c>
    </row>
    <row r="317" spans="1:12" x14ac:dyDescent="0.35">
      <c r="A317" t="s">
        <v>339</v>
      </c>
      <c r="B317" t="s">
        <v>17</v>
      </c>
      <c r="C317">
        <v>50</v>
      </c>
      <c r="D317">
        <v>28</v>
      </c>
      <c r="E317" t="s">
        <v>18</v>
      </c>
      <c r="F317" t="s">
        <v>33</v>
      </c>
      <c r="G317" t="s">
        <v>23</v>
      </c>
      <c r="H317">
        <v>92.59</v>
      </c>
      <c r="I317">
        <v>2548.14</v>
      </c>
      <c r="J317" t="s">
        <v>15</v>
      </c>
      <c r="K317" t="str">
        <f>IF(D317&lt;=12,"0-12 Months",IF(D317&lt;=24,"13-24 Months",IF(D317&lt;=48,"25-48 Months","49+ Months")))</f>
        <v>25-48 Months</v>
      </c>
      <c r="L317">
        <f>IF(Table134[[#This Row],[Churn]]="Yes",1,0)</f>
        <v>0</v>
      </c>
    </row>
    <row r="318" spans="1:12" x14ac:dyDescent="0.35">
      <c r="A318" t="s">
        <v>340</v>
      </c>
      <c r="B318" t="s">
        <v>11</v>
      </c>
      <c r="C318">
        <v>37</v>
      </c>
      <c r="D318">
        <v>66</v>
      </c>
      <c r="E318" t="s">
        <v>18</v>
      </c>
      <c r="F318" t="s">
        <v>13</v>
      </c>
      <c r="G318" t="s">
        <v>14</v>
      </c>
      <c r="H318">
        <v>133.09</v>
      </c>
      <c r="I318">
        <v>9549.59</v>
      </c>
      <c r="J318" t="s">
        <v>15</v>
      </c>
      <c r="K318" t="str">
        <f>IF(D318&lt;=12,"0-12 Months",IF(D318&lt;=24,"13-24 Months",IF(D318&lt;=48,"25-48 Months","49+ Months")))</f>
        <v>49+ Months</v>
      </c>
      <c r="L318">
        <f>IF(Table134[[#This Row],[Churn]]="Yes",1,0)</f>
        <v>0</v>
      </c>
    </row>
    <row r="319" spans="1:12" x14ac:dyDescent="0.35">
      <c r="A319" t="s">
        <v>341</v>
      </c>
      <c r="B319" t="s">
        <v>11</v>
      </c>
      <c r="C319">
        <v>66</v>
      </c>
      <c r="D319">
        <v>35</v>
      </c>
      <c r="E319" t="s">
        <v>12</v>
      </c>
      <c r="F319" t="s">
        <v>13</v>
      </c>
      <c r="G319" t="s">
        <v>23</v>
      </c>
      <c r="H319">
        <v>68.3</v>
      </c>
      <c r="I319">
        <v>2369.9699999999998</v>
      </c>
      <c r="J319" t="s">
        <v>15</v>
      </c>
      <c r="K319" t="str">
        <f>IF(D319&lt;=12,"0-12 Months",IF(D319&lt;=24,"13-24 Months",IF(D319&lt;=48,"25-48 Months","49+ Months")))</f>
        <v>25-48 Months</v>
      </c>
      <c r="L319">
        <f>IF(Table134[[#This Row],[Churn]]="Yes",1,0)</f>
        <v>0</v>
      </c>
    </row>
    <row r="320" spans="1:12" x14ac:dyDescent="0.35">
      <c r="A320" t="s">
        <v>342</v>
      </c>
      <c r="B320" t="s">
        <v>11</v>
      </c>
      <c r="C320">
        <v>29</v>
      </c>
      <c r="D320">
        <v>5</v>
      </c>
      <c r="E320" t="s">
        <v>12</v>
      </c>
      <c r="F320" t="s">
        <v>33</v>
      </c>
      <c r="G320" t="s">
        <v>19</v>
      </c>
      <c r="H320">
        <v>99.87</v>
      </c>
      <c r="I320">
        <v>478.4</v>
      </c>
      <c r="J320" t="s">
        <v>27</v>
      </c>
      <c r="K320" t="str">
        <f>IF(D320&lt;=12,"0-12 Months",IF(D320&lt;=24,"13-24 Months",IF(D320&lt;=48,"25-48 Months","49+ Months")))</f>
        <v>0-12 Months</v>
      </c>
      <c r="L320">
        <f>IF(Table134[[#This Row],[Churn]]="Yes",1,0)</f>
        <v>1</v>
      </c>
    </row>
    <row r="321" spans="1:12" x14ac:dyDescent="0.35">
      <c r="A321" t="s">
        <v>343</v>
      </c>
      <c r="B321" t="s">
        <v>17</v>
      </c>
      <c r="C321">
        <v>64</v>
      </c>
      <c r="D321">
        <v>65</v>
      </c>
      <c r="E321" t="s">
        <v>12</v>
      </c>
      <c r="F321" t="s">
        <v>29</v>
      </c>
      <c r="G321" t="s">
        <v>23</v>
      </c>
      <c r="H321">
        <v>88.08</v>
      </c>
      <c r="I321">
        <v>5796.12</v>
      </c>
      <c r="J321" t="s">
        <v>15</v>
      </c>
      <c r="K321" t="str">
        <f>IF(D321&lt;=12,"0-12 Months",IF(D321&lt;=24,"13-24 Months",IF(D321&lt;=48,"25-48 Months","49+ Months")))</f>
        <v>49+ Months</v>
      </c>
      <c r="L321">
        <f>IF(Table134[[#This Row],[Churn]]="Yes",1,0)</f>
        <v>0</v>
      </c>
    </row>
    <row r="322" spans="1:12" x14ac:dyDescent="0.35">
      <c r="A322" t="s">
        <v>344</v>
      </c>
      <c r="B322" t="s">
        <v>17</v>
      </c>
      <c r="C322">
        <v>18</v>
      </c>
      <c r="D322">
        <v>40</v>
      </c>
      <c r="E322" t="s">
        <v>12</v>
      </c>
      <c r="F322" t="s">
        <v>33</v>
      </c>
      <c r="G322" t="s">
        <v>19</v>
      </c>
      <c r="H322">
        <v>61.49</v>
      </c>
      <c r="I322">
        <v>2268.6999999999998</v>
      </c>
      <c r="J322" t="s">
        <v>27</v>
      </c>
      <c r="K322" t="str">
        <f>IF(D322&lt;=12,"0-12 Months",IF(D322&lt;=24,"13-24 Months",IF(D322&lt;=48,"25-48 Months","49+ Months")))</f>
        <v>25-48 Months</v>
      </c>
      <c r="L322">
        <f>IF(Table134[[#This Row],[Churn]]="Yes",1,0)</f>
        <v>1</v>
      </c>
    </row>
    <row r="323" spans="1:12" x14ac:dyDescent="0.35">
      <c r="A323" t="s">
        <v>345</v>
      </c>
      <c r="B323" t="s">
        <v>11</v>
      </c>
      <c r="C323">
        <v>43</v>
      </c>
      <c r="D323">
        <v>56</v>
      </c>
      <c r="E323" t="s">
        <v>12</v>
      </c>
      <c r="F323" t="s">
        <v>29</v>
      </c>
      <c r="G323" t="s">
        <v>14</v>
      </c>
      <c r="H323">
        <v>81.09</v>
      </c>
      <c r="I323">
        <v>4640.49</v>
      </c>
      <c r="J323" t="s">
        <v>15</v>
      </c>
      <c r="K323" t="str">
        <f>IF(D323&lt;=12,"0-12 Months",IF(D323&lt;=24,"13-24 Months",IF(D323&lt;=48,"25-48 Months","49+ Months")))</f>
        <v>49+ Months</v>
      </c>
      <c r="L323">
        <f>IF(Table134[[#This Row],[Churn]]="Yes",1,0)</f>
        <v>0</v>
      </c>
    </row>
    <row r="324" spans="1:12" x14ac:dyDescent="0.35">
      <c r="A324" t="s">
        <v>346</v>
      </c>
      <c r="B324" t="s">
        <v>17</v>
      </c>
      <c r="C324">
        <v>31</v>
      </c>
      <c r="D324">
        <v>36</v>
      </c>
      <c r="E324" t="s">
        <v>12</v>
      </c>
      <c r="F324" t="s">
        <v>13</v>
      </c>
      <c r="G324" t="s">
        <v>14</v>
      </c>
      <c r="H324">
        <v>85.32</v>
      </c>
      <c r="I324">
        <v>3113.56</v>
      </c>
      <c r="J324" t="s">
        <v>27</v>
      </c>
      <c r="K324" t="str">
        <f>IF(D324&lt;=12,"0-12 Months",IF(D324&lt;=24,"13-24 Months",IF(D324&lt;=48,"25-48 Months","49+ Months")))</f>
        <v>25-48 Months</v>
      </c>
      <c r="L324">
        <f>IF(Table134[[#This Row],[Churn]]="Yes",1,0)</f>
        <v>1</v>
      </c>
    </row>
    <row r="325" spans="1:12" x14ac:dyDescent="0.35">
      <c r="A325" t="s">
        <v>347</v>
      </c>
      <c r="B325" t="s">
        <v>17</v>
      </c>
      <c r="C325">
        <v>55</v>
      </c>
      <c r="D325">
        <v>45</v>
      </c>
      <c r="E325" t="s">
        <v>12</v>
      </c>
      <c r="F325" t="s">
        <v>29</v>
      </c>
      <c r="G325" t="s">
        <v>23</v>
      </c>
      <c r="H325">
        <v>46.1</v>
      </c>
      <c r="I325">
        <v>2195.65</v>
      </c>
      <c r="J325" t="s">
        <v>15</v>
      </c>
      <c r="K325" t="str">
        <f>IF(D325&lt;=12,"0-12 Months",IF(D325&lt;=24,"13-24 Months",IF(D325&lt;=48,"25-48 Months","49+ Months")))</f>
        <v>25-48 Months</v>
      </c>
      <c r="L325">
        <f>IF(Table134[[#This Row],[Churn]]="Yes",1,0)</f>
        <v>0</v>
      </c>
    </row>
    <row r="326" spans="1:12" x14ac:dyDescent="0.35">
      <c r="A326" t="s">
        <v>348</v>
      </c>
      <c r="B326" t="s">
        <v>17</v>
      </c>
      <c r="C326">
        <v>54</v>
      </c>
      <c r="D326">
        <v>23</v>
      </c>
      <c r="E326" t="s">
        <v>18</v>
      </c>
      <c r="F326" t="s">
        <v>22</v>
      </c>
      <c r="G326" t="s">
        <v>23</v>
      </c>
      <c r="H326">
        <v>60.95</v>
      </c>
      <c r="I326">
        <v>1538.3</v>
      </c>
      <c r="J326" t="s">
        <v>15</v>
      </c>
      <c r="K326" t="str">
        <f>IF(D326&lt;=12,"0-12 Months",IF(D326&lt;=24,"13-24 Months",IF(D326&lt;=48,"25-48 Months","49+ Months")))</f>
        <v>13-24 Months</v>
      </c>
      <c r="L326">
        <f>IF(Table134[[#This Row],[Churn]]="Yes",1,0)</f>
        <v>0</v>
      </c>
    </row>
    <row r="327" spans="1:12" x14ac:dyDescent="0.35">
      <c r="A327" t="s">
        <v>349</v>
      </c>
      <c r="B327" t="s">
        <v>17</v>
      </c>
      <c r="C327">
        <v>28</v>
      </c>
      <c r="D327">
        <v>47</v>
      </c>
      <c r="E327" t="s">
        <v>12</v>
      </c>
      <c r="F327" t="s">
        <v>22</v>
      </c>
      <c r="G327" t="s">
        <v>19</v>
      </c>
      <c r="H327">
        <v>122.88</v>
      </c>
      <c r="I327">
        <v>5487.6</v>
      </c>
      <c r="J327" t="s">
        <v>27</v>
      </c>
      <c r="K327" t="str">
        <f>IF(D327&lt;=12,"0-12 Months",IF(D327&lt;=24,"13-24 Months",IF(D327&lt;=48,"25-48 Months","49+ Months")))</f>
        <v>25-48 Months</v>
      </c>
      <c r="L327">
        <f>IF(Table134[[#This Row],[Churn]]="Yes",1,0)</f>
        <v>1</v>
      </c>
    </row>
    <row r="328" spans="1:12" x14ac:dyDescent="0.35">
      <c r="A328" t="s">
        <v>350</v>
      </c>
      <c r="B328" t="s">
        <v>11</v>
      </c>
      <c r="C328">
        <v>53</v>
      </c>
      <c r="D328">
        <v>31</v>
      </c>
      <c r="E328" t="s">
        <v>18</v>
      </c>
      <c r="F328" t="s">
        <v>22</v>
      </c>
      <c r="G328" t="s">
        <v>23</v>
      </c>
      <c r="H328">
        <v>139.05000000000001</v>
      </c>
      <c r="I328">
        <v>4318.87</v>
      </c>
      <c r="J328" t="s">
        <v>15</v>
      </c>
      <c r="K328" t="str">
        <f>IF(D328&lt;=12,"0-12 Months",IF(D328&lt;=24,"13-24 Months",IF(D328&lt;=48,"25-48 Months","49+ Months")))</f>
        <v>25-48 Months</v>
      </c>
      <c r="L328">
        <f>IF(Table134[[#This Row],[Churn]]="Yes",1,0)</f>
        <v>0</v>
      </c>
    </row>
    <row r="329" spans="1:12" x14ac:dyDescent="0.35">
      <c r="A329" t="s">
        <v>351</v>
      </c>
      <c r="B329" t="s">
        <v>11</v>
      </c>
      <c r="C329">
        <v>30</v>
      </c>
      <c r="D329">
        <v>11</v>
      </c>
      <c r="E329" t="s">
        <v>12</v>
      </c>
      <c r="F329" t="s">
        <v>13</v>
      </c>
      <c r="G329" t="s">
        <v>14</v>
      </c>
      <c r="H329">
        <v>66.77</v>
      </c>
      <c r="I329">
        <v>794.53</v>
      </c>
      <c r="J329" t="s">
        <v>15</v>
      </c>
      <c r="K329" t="str">
        <f>IF(D329&lt;=12,"0-12 Months",IF(D329&lt;=24,"13-24 Months",IF(D329&lt;=48,"25-48 Months","49+ Months")))</f>
        <v>0-12 Months</v>
      </c>
      <c r="L329">
        <f>IF(Table134[[#This Row],[Churn]]="Yes",1,0)</f>
        <v>0</v>
      </c>
    </row>
    <row r="330" spans="1:12" x14ac:dyDescent="0.35">
      <c r="A330" t="s">
        <v>352</v>
      </c>
      <c r="B330" t="s">
        <v>17</v>
      </c>
      <c r="C330">
        <v>60</v>
      </c>
      <c r="D330">
        <v>10</v>
      </c>
      <c r="E330" t="s">
        <v>18</v>
      </c>
      <c r="F330" t="s">
        <v>13</v>
      </c>
      <c r="G330" t="s">
        <v>23</v>
      </c>
      <c r="H330">
        <v>59.91</v>
      </c>
      <c r="I330">
        <v>633.27</v>
      </c>
      <c r="J330" t="s">
        <v>15</v>
      </c>
      <c r="K330" t="str">
        <f>IF(D330&lt;=12,"0-12 Months",IF(D330&lt;=24,"13-24 Months",IF(D330&lt;=48,"25-48 Months","49+ Months")))</f>
        <v>0-12 Months</v>
      </c>
      <c r="L330">
        <f>IF(Table134[[#This Row],[Churn]]="Yes",1,0)</f>
        <v>0</v>
      </c>
    </row>
    <row r="331" spans="1:12" x14ac:dyDescent="0.35">
      <c r="A331" t="s">
        <v>353</v>
      </c>
      <c r="B331" t="s">
        <v>17</v>
      </c>
      <c r="C331">
        <v>20</v>
      </c>
      <c r="D331">
        <v>67</v>
      </c>
      <c r="E331" t="s">
        <v>21</v>
      </c>
      <c r="F331" t="s">
        <v>29</v>
      </c>
      <c r="G331" t="s">
        <v>19</v>
      </c>
      <c r="H331">
        <v>45.38</v>
      </c>
      <c r="I331">
        <v>3032.8</v>
      </c>
      <c r="J331" t="s">
        <v>15</v>
      </c>
      <c r="K331" t="str">
        <f>IF(D331&lt;=12,"0-12 Months",IF(D331&lt;=24,"13-24 Months",IF(D331&lt;=48,"25-48 Months","49+ Months")))</f>
        <v>49+ Months</v>
      </c>
      <c r="L331">
        <f>IF(Table134[[#This Row],[Churn]]="Yes",1,0)</f>
        <v>0</v>
      </c>
    </row>
    <row r="332" spans="1:12" x14ac:dyDescent="0.35">
      <c r="A332" t="s">
        <v>354</v>
      </c>
      <c r="B332" t="s">
        <v>11</v>
      </c>
      <c r="C332">
        <v>50</v>
      </c>
      <c r="D332">
        <v>14</v>
      </c>
      <c r="E332" t="s">
        <v>12</v>
      </c>
      <c r="F332" t="s">
        <v>29</v>
      </c>
      <c r="G332" t="s">
        <v>23</v>
      </c>
      <c r="H332">
        <v>108.2</v>
      </c>
      <c r="I332">
        <v>1649.73</v>
      </c>
      <c r="J332" t="s">
        <v>15</v>
      </c>
      <c r="K332" t="str">
        <f>IF(D332&lt;=12,"0-12 Months",IF(D332&lt;=24,"13-24 Months",IF(D332&lt;=48,"25-48 Months","49+ Months")))</f>
        <v>13-24 Months</v>
      </c>
      <c r="L332">
        <f>IF(Table134[[#This Row],[Churn]]="Yes",1,0)</f>
        <v>0</v>
      </c>
    </row>
    <row r="333" spans="1:12" x14ac:dyDescent="0.35">
      <c r="A333" t="s">
        <v>355</v>
      </c>
      <c r="B333" t="s">
        <v>11</v>
      </c>
      <c r="C333">
        <v>23</v>
      </c>
      <c r="D333">
        <v>10</v>
      </c>
      <c r="E333" t="s">
        <v>21</v>
      </c>
      <c r="F333" t="s">
        <v>33</v>
      </c>
      <c r="G333" t="s">
        <v>19</v>
      </c>
      <c r="H333">
        <v>62</v>
      </c>
      <c r="I333">
        <v>565.1</v>
      </c>
      <c r="J333" t="s">
        <v>15</v>
      </c>
      <c r="K333" t="str">
        <f>IF(D333&lt;=12,"0-12 Months",IF(D333&lt;=24,"13-24 Months",IF(D333&lt;=48,"25-48 Months","49+ Months")))</f>
        <v>0-12 Months</v>
      </c>
      <c r="L333">
        <f>IF(Table134[[#This Row],[Churn]]="Yes",1,0)</f>
        <v>0</v>
      </c>
    </row>
    <row r="334" spans="1:12" x14ac:dyDescent="0.35">
      <c r="A334" t="s">
        <v>356</v>
      </c>
      <c r="B334" t="s">
        <v>17</v>
      </c>
      <c r="C334">
        <v>67</v>
      </c>
      <c r="D334">
        <v>1</v>
      </c>
      <c r="E334" t="s">
        <v>12</v>
      </c>
      <c r="F334" t="s">
        <v>13</v>
      </c>
      <c r="G334" t="s">
        <v>23</v>
      </c>
      <c r="H334">
        <v>148.41</v>
      </c>
      <c r="I334">
        <v>161.19999999999999</v>
      </c>
      <c r="J334" t="s">
        <v>27</v>
      </c>
      <c r="K334" t="str">
        <f>IF(D334&lt;=12,"0-12 Months",IF(D334&lt;=24,"13-24 Months",IF(D334&lt;=48,"25-48 Months","49+ Months")))</f>
        <v>0-12 Months</v>
      </c>
      <c r="L334">
        <f>IF(Table134[[#This Row],[Churn]]="Yes",1,0)</f>
        <v>1</v>
      </c>
    </row>
    <row r="335" spans="1:12" x14ac:dyDescent="0.35">
      <c r="A335" t="s">
        <v>357</v>
      </c>
      <c r="B335" t="s">
        <v>11</v>
      </c>
      <c r="C335">
        <v>27</v>
      </c>
      <c r="D335">
        <v>5</v>
      </c>
      <c r="E335" t="s">
        <v>12</v>
      </c>
      <c r="F335" t="s">
        <v>33</v>
      </c>
      <c r="G335" t="s">
        <v>19</v>
      </c>
      <c r="H335">
        <v>62.34</v>
      </c>
      <c r="I335">
        <v>283.68</v>
      </c>
      <c r="J335" t="s">
        <v>27</v>
      </c>
      <c r="K335" t="str">
        <f>IF(D335&lt;=12,"0-12 Months",IF(D335&lt;=24,"13-24 Months",IF(D335&lt;=48,"25-48 Months","49+ Months")))</f>
        <v>0-12 Months</v>
      </c>
      <c r="L335">
        <f>IF(Table134[[#This Row],[Churn]]="Yes",1,0)</f>
        <v>1</v>
      </c>
    </row>
    <row r="336" spans="1:12" x14ac:dyDescent="0.35">
      <c r="A336" t="s">
        <v>358</v>
      </c>
      <c r="B336" t="s">
        <v>17</v>
      </c>
      <c r="C336">
        <v>22</v>
      </c>
      <c r="D336">
        <v>20</v>
      </c>
      <c r="E336" t="s">
        <v>18</v>
      </c>
      <c r="F336" t="s">
        <v>33</v>
      </c>
      <c r="G336" t="s">
        <v>19</v>
      </c>
      <c r="H336">
        <v>71.239999999999995</v>
      </c>
      <c r="I336">
        <v>1438.28</v>
      </c>
      <c r="J336" t="s">
        <v>15</v>
      </c>
      <c r="K336" t="str">
        <f>IF(D336&lt;=12,"0-12 Months",IF(D336&lt;=24,"13-24 Months",IF(D336&lt;=48,"25-48 Months","49+ Months")))</f>
        <v>13-24 Months</v>
      </c>
      <c r="L336">
        <f>IF(Table134[[#This Row],[Churn]]="Yes",1,0)</f>
        <v>0</v>
      </c>
    </row>
    <row r="337" spans="1:12" x14ac:dyDescent="0.35">
      <c r="A337" t="s">
        <v>359</v>
      </c>
      <c r="B337" t="s">
        <v>17</v>
      </c>
      <c r="C337">
        <v>40</v>
      </c>
      <c r="D337">
        <v>8</v>
      </c>
      <c r="E337" t="s">
        <v>12</v>
      </c>
      <c r="F337" t="s">
        <v>13</v>
      </c>
      <c r="G337" t="s">
        <v>14</v>
      </c>
      <c r="H337">
        <v>98.43</v>
      </c>
      <c r="I337">
        <v>848.93</v>
      </c>
      <c r="J337" t="s">
        <v>15</v>
      </c>
      <c r="K337" t="str">
        <f>IF(D337&lt;=12,"0-12 Months",IF(D337&lt;=24,"13-24 Months",IF(D337&lt;=48,"25-48 Months","49+ Months")))</f>
        <v>0-12 Months</v>
      </c>
      <c r="L337">
        <f>IF(Table134[[#This Row],[Churn]]="Yes",1,0)</f>
        <v>0</v>
      </c>
    </row>
    <row r="338" spans="1:12" x14ac:dyDescent="0.35">
      <c r="A338" t="s">
        <v>360</v>
      </c>
      <c r="B338" t="s">
        <v>11</v>
      </c>
      <c r="C338">
        <v>27</v>
      </c>
      <c r="D338">
        <v>43</v>
      </c>
      <c r="E338" t="s">
        <v>12</v>
      </c>
      <c r="F338" t="s">
        <v>22</v>
      </c>
      <c r="G338" t="s">
        <v>19</v>
      </c>
      <c r="H338">
        <v>124.22</v>
      </c>
      <c r="I338">
        <v>5087.9799999999996</v>
      </c>
      <c r="J338" t="s">
        <v>15</v>
      </c>
      <c r="K338" t="str">
        <f>IF(D338&lt;=12,"0-12 Months",IF(D338&lt;=24,"13-24 Months",IF(D338&lt;=48,"25-48 Months","49+ Months")))</f>
        <v>25-48 Months</v>
      </c>
      <c r="L338">
        <f>IF(Table134[[#This Row],[Churn]]="Yes",1,0)</f>
        <v>0</v>
      </c>
    </row>
    <row r="339" spans="1:12" x14ac:dyDescent="0.35">
      <c r="A339" t="s">
        <v>361</v>
      </c>
      <c r="B339" t="s">
        <v>11</v>
      </c>
      <c r="C339">
        <v>61</v>
      </c>
      <c r="D339">
        <v>1</v>
      </c>
      <c r="E339" t="s">
        <v>21</v>
      </c>
      <c r="F339" t="s">
        <v>29</v>
      </c>
      <c r="G339" t="s">
        <v>23</v>
      </c>
      <c r="H339">
        <v>81.040000000000006</v>
      </c>
      <c r="I339">
        <v>80.59</v>
      </c>
      <c r="J339" t="s">
        <v>27</v>
      </c>
      <c r="K339" t="str">
        <f>IF(D339&lt;=12,"0-12 Months",IF(D339&lt;=24,"13-24 Months",IF(D339&lt;=48,"25-48 Months","49+ Months")))</f>
        <v>0-12 Months</v>
      </c>
      <c r="L339">
        <f>IF(Table134[[#This Row],[Churn]]="Yes",1,0)</f>
        <v>1</v>
      </c>
    </row>
    <row r="340" spans="1:12" x14ac:dyDescent="0.35">
      <c r="A340" t="s">
        <v>362</v>
      </c>
      <c r="B340" t="s">
        <v>17</v>
      </c>
      <c r="C340">
        <v>19</v>
      </c>
      <c r="D340">
        <v>57</v>
      </c>
      <c r="E340" t="s">
        <v>18</v>
      </c>
      <c r="F340" t="s">
        <v>29</v>
      </c>
      <c r="G340" t="s">
        <v>19</v>
      </c>
      <c r="H340">
        <v>74.95</v>
      </c>
      <c r="I340">
        <v>4122.05</v>
      </c>
      <c r="J340" t="s">
        <v>15</v>
      </c>
      <c r="K340" t="str">
        <f>IF(D340&lt;=12,"0-12 Months",IF(D340&lt;=24,"13-24 Months",IF(D340&lt;=48,"25-48 Months","49+ Months")))</f>
        <v>49+ Months</v>
      </c>
      <c r="L340">
        <f>IF(Table134[[#This Row],[Churn]]="Yes",1,0)</f>
        <v>0</v>
      </c>
    </row>
    <row r="341" spans="1:12" x14ac:dyDescent="0.35">
      <c r="A341" t="s">
        <v>363</v>
      </c>
      <c r="B341" t="s">
        <v>17</v>
      </c>
      <c r="C341">
        <v>30</v>
      </c>
      <c r="D341">
        <v>64</v>
      </c>
      <c r="E341" t="s">
        <v>21</v>
      </c>
      <c r="F341" t="s">
        <v>29</v>
      </c>
      <c r="G341" t="s">
        <v>14</v>
      </c>
      <c r="H341">
        <v>149.43</v>
      </c>
      <c r="I341">
        <v>10428.34</v>
      </c>
      <c r="J341" t="s">
        <v>15</v>
      </c>
      <c r="K341" t="str">
        <f>IF(D341&lt;=12,"0-12 Months",IF(D341&lt;=24,"13-24 Months",IF(D341&lt;=48,"25-48 Months","49+ Months")))</f>
        <v>49+ Months</v>
      </c>
      <c r="L341">
        <f>IF(Table134[[#This Row],[Churn]]="Yes",1,0)</f>
        <v>0</v>
      </c>
    </row>
    <row r="342" spans="1:12" x14ac:dyDescent="0.35">
      <c r="A342" t="s">
        <v>364</v>
      </c>
      <c r="B342" t="s">
        <v>11</v>
      </c>
      <c r="C342">
        <v>57</v>
      </c>
      <c r="D342">
        <v>28</v>
      </c>
      <c r="E342" t="s">
        <v>12</v>
      </c>
      <c r="F342" t="s">
        <v>13</v>
      </c>
      <c r="G342" t="s">
        <v>23</v>
      </c>
      <c r="H342">
        <v>21.36</v>
      </c>
      <c r="I342">
        <v>636.79</v>
      </c>
      <c r="J342" t="s">
        <v>15</v>
      </c>
      <c r="K342" t="str">
        <f>IF(D342&lt;=12,"0-12 Months",IF(D342&lt;=24,"13-24 Months",IF(D342&lt;=48,"25-48 Months","49+ Months")))</f>
        <v>25-48 Months</v>
      </c>
      <c r="L342">
        <f>IF(Table134[[#This Row],[Churn]]="Yes",1,0)</f>
        <v>0</v>
      </c>
    </row>
    <row r="343" spans="1:12" x14ac:dyDescent="0.35">
      <c r="A343" t="s">
        <v>365</v>
      </c>
      <c r="B343" t="s">
        <v>17</v>
      </c>
      <c r="C343">
        <v>19</v>
      </c>
      <c r="D343">
        <v>37</v>
      </c>
      <c r="E343" t="s">
        <v>21</v>
      </c>
      <c r="F343" t="s">
        <v>13</v>
      </c>
      <c r="G343" t="s">
        <v>19</v>
      </c>
      <c r="H343">
        <v>136.36000000000001</v>
      </c>
      <c r="I343">
        <v>5256.22</v>
      </c>
      <c r="J343" t="s">
        <v>27</v>
      </c>
      <c r="K343" t="str">
        <f>IF(D343&lt;=12,"0-12 Months",IF(D343&lt;=24,"13-24 Months",IF(D343&lt;=48,"25-48 Months","49+ Months")))</f>
        <v>25-48 Months</v>
      </c>
      <c r="L343">
        <f>IF(Table134[[#This Row],[Churn]]="Yes",1,0)</f>
        <v>1</v>
      </c>
    </row>
    <row r="344" spans="1:12" x14ac:dyDescent="0.35">
      <c r="A344" t="s">
        <v>366</v>
      </c>
      <c r="B344" t="s">
        <v>11</v>
      </c>
      <c r="C344">
        <v>37</v>
      </c>
      <c r="D344">
        <v>47</v>
      </c>
      <c r="E344" t="s">
        <v>12</v>
      </c>
      <c r="F344" t="s">
        <v>13</v>
      </c>
      <c r="G344" t="s">
        <v>14</v>
      </c>
      <c r="H344">
        <v>39.39</v>
      </c>
      <c r="I344">
        <v>1883.78</v>
      </c>
      <c r="J344" t="s">
        <v>15</v>
      </c>
      <c r="K344" t="str">
        <f>IF(D344&lt;=12,"0-12 Months",IF(D344&lt;=24,"13-24 Months",IF(D344&lt;=48,"25-48 Months","49+ Months")))</f>
        <v>25-48 Months</v>
      </c>
      <c r="L344">
        <f>IF(Table134[[#This Row],[Churn]]="Yes",1,0)</f>
        <v>0</v>
      </c>
    </row>
    <row r="345" spans="1:12" x14ac:dyDescent="0.35">
      <c r="A345" t="s">
        <v>367</v>
      </c>
      <c r="B345" t="s">
        <v>17</v>
      </c>
      <c r="C345">
        <v>18</v>
      </c>
      <c r="D345">
        <v>37</v>
      </c>
      <c r="E345" t="s">
        <v>21</v>
      </c>
      <c r="F345" t="s">
        <v>13</v>
      </c>
      <c r="G345" t="s">
        <v>19</v>
      </c>
      <c r="H345">
        <v>122.17</v>
      </c>
      <c r="I345">
        <v>4810.12</v>
      </c>
      <c r="J345" t="s">
        <v>15</v>
      </c>
      <c r="K345" t="str">
        <f>IF(D345&lt;=12,"0-12 Months",IF(D345&lt;=24,"13-24 Months",IF(D345&lt;=48,"25-48 Months","49+ Months")))</f>
        <v>25-48 Months</v>
      </c>
      <c r="L345">
        <f>IF(Table134[[#This Row],[Churn]]="Yes",1,0)</f>
        <v>0</v>
      </c>
    </row>
    <row r="346" spans="1:12" x14ac:dyDescent="0.35">
      <c r="A346" t="s">
        <v>368</v>
      </c>
      <c r="B346" t="s">
        <v>11</v>
      </c>
      <c r="C346">
        <v>54</v>
      </c>
      <c r="D346">
        <v>49</v>
      </c>
      <c r="E346" t="s">
        <v>18</v>
      </c>
      <c r="F346" t="s">
        <v>13</v>
      </c>
      <c r="G346" t="s">
        <v>23</v>
      </c>
      <c r="H346">
        <v>100.33</v>
      </c>
      <c r="I346">
        <v>4810.24</v>
      </c>
      <c r="J346" t="s">
        <v>15</v>
      </c>
      <c r="K346" t="str">
        <f>IF(D346&lt;=12,"0-12 Months",IF(D346&lt;=24,"13-24 Months",IF(D346&lt;=48,"25-48 Months","49+ Months")))</f>
        <v>49+ Months</v>
      </c>
      <c r="L346">
        <f>IF(Table134[[#This Row],[Churn]]="Yes",1,0)</f>
        <v>0</v>
      </c>
    </row>
    <row r="347" spans="1:12" x14ac:dyDescent="0.35">
      <c r="A347" t="s">
        <v>369</v>
      </c>
      <c r="B347" t="s">
        <v>11</v>
      </c>
      <c r="C347">
        <v>26</v>
      </c>
      <c r="D347">
        <v>44</v>
      </c>
      <c r="E347" t="s">
        <v>21</v>
      </c>
      <c r="F347" t="s">
        <v>22</v>
      </c>
      <c r="G347" t="s">
        <v>19</v>
      </c>
      <c r="H347">
        <v>64.44</v>
      </c>
      <c r="I347">
        <v>2805.62</v>
      </c>
      <c r="J347" t="s">
        <v>15</v>
      </c>
      <c r="K347" t="str">
        <f>IF(D347&lt;=12,"0-12 Months",IF(D347&lt;=24,"13-24 Months",IF(D347&lt;=48,"25-48 Months","49+ Months")))</f>
        <v>25-48 Months</v>
      </c>
      <c r="L347">
        <f>IF(Table134[[#This Row],[Churn]]="Yes",1,0)</f>
        <v>0</v>
      </c>
    </row>
    <row r="348" spans="1:12" x14ac:dyDescent="0.35">
      <c r="A348" t="s">
        <v>370</v>
      </c>
      <c r="B348" t="s">
        <v>11</v>
      </c>
      <c r="C348">
        <v>34</v>
      </c>
      <c r="D348">
        <v>56</v>
      </c>
      <c r="E348" t="s">
        <v>18</v>
      </c>
      <c r="F348" t="s">
        <v>22</v>
      </c>
      <c r="G348" t="s">
        <v>14</v>
      </c>
      <c r="H348">
        <v>133.6</v>
      </c>
      <c r="I348">
        <v>7825.76</v>
      </c>
      <c r="J348" t="s">
        <v>15</v>
      </c>
      <c r="K348" t="str">
        <f>IF(D348&lt;=12,"0-12 Months",IF(D348&lt;=24,"13-24 Months",IF(D348&lt;=48,"25-48 Months","49+ Months")))</f>
        <v>49+ Months</v>
      </c>
      <c r="L348">
        <f>IF(Table134[[#This Row],[Churn]]="Yes",1,0)</f>
        <v>0</v>
      </c>
    </row>
    <row r="349" spans="1:12" x14ac:dyDescent="0.35">
      <c r="A349" t="s">
        <v>371</v>
      </c>
      <c r="B349" t="s">
        <v>17</v>
      </c>
      <c r="C349">
        <v>26</v>
      </c>
      <c r="D349">
        <v>28</v>
      </c>
      <c r="E349" t="s">
        <v>12</v>
      </c>
      <c r="F349" t="s">
        <v>29</v>
      </c>
      <c r="G349" t="s">
        <v>19</v>
      </c>
      <c r="H349">
        <v>21.68</v>
      </c>
      <c r="I349">
        <v>589.77</v>
      </c>
      <c r="J349" t="s">
        <v>15</v>
      </c>
      <c r="K349" t="str">
        <f>IF(D349&lt;=12,"0-12 Months",IF(D349&lt;=24,"13-24 Months",IF(D349&lt;=48,"25-48 Months","49+ Months")))</f>
        <v>25-48 Months</v>
      </c>
      <c r="L349">
        <f>IF(Table134[[#This Row],[Churn]]="Yes",1,0)</f>
        <v>0</v>
      </c>
    </row>
    <row r="350" spans="1:12" x14ac:dyDescent="0.35">
      <c r="A350" t="s">
        <v>372</v>
      </c>
      <c r="B350" t="s">
        <v>17</v>
      </c>
      <c r="C350">
        <v>28</v>
      </c>
      <c r="D350">
        <v>6</v>
      </c>
      <c r="E350" t="s">
        <v>21</v>
      </c>
      <c r="F350" t="s">
        <v>29</v>
      </c>
      <c r="G350" t="s">
        <v>19</v>
      </c>
      <c r="H350">
        <v>49.47</v>
      </c>
      <c r="I350">
        <v>270.93</v>
      </c>
      <c r="J350" t="s">
        <v>27</v>
      </c>
      <c r="K350" t="str">
        <f>IF(D350&lt;=12,"0-12 Months",IF(D350&lt;=24,"13-24 Months",IF(D350&lt;=48,"25-48 Months","49+ Months")))</f>
        <v>0-12 Months</v>
      </c>
      <c r="L350">
        <f>IF(Table134[[#This Row],[Churn]]="Yes",1,0)</f>
        <v>1</v>
      </c>
    </row>
    <row r="351" spans="1:12" x14ac:dyDescent="0.35">
      <c r="A351" t="s">
        <v>373</v>
      </c>
      <c r="B351" t="s">
        <v>11</v>
      </c>
      <c r="C351">
        <v>32</v>
      </c>
      <c r="D351">
        <v>61</v>
      </c>
      <c r="E351" t="s">
        <v>18</v>
      </c>
      <c r="F351" t="s">
        <v>22</v>
      </c>
      <c r="G351" t="s">
        <v>14</v>
      </c>
      <c r="H351">
        <v>93.7</v>
      </c>
      <c r="I351">
        <v>5229.1000000000004</v>
      </c>
      <c r="J351" t="s">
        <v>15</v>
      </c>
      <c r="K351" t="str">
        <f>IF(D351&lt;=12,"0-12 Months",IF(D351&lt;=24,"13-24 Months",IF(D351&lt;=48,"25-48 Months","49+ Months")))</f>
        <v>49+ Months</v>
      </c>
      <c r="L351">
        <f>IF(Table134[[#This Row],[Churn]]="Yes",1,0)</f>
        <v>0</v>
      </c>
    </row>
    <row r="352" spans="1:12" x14ac:dyDescent="0.35">
      <c r="A352" t="s">
        <v>374</v>
      </c>
      <c r="B352" t="s">
        <v>17</v>
      </c>
      <c r="C352">
        <v>41</v>
      </c>
      <c r="D352">
        <v>20</v>
      </c>
      <c r="E352" t="s">
        <v>12</v>
      </c>
      <c r="F352" t="s">
        <v>13</v>
      </c>
      <c r="G352" t="s">
        <v>14</v>
      </c>
      <c r="H352">
        <v>65.7</v>
      </c>
      <c r="I352">
        <v>1212.92</v>
      </c>
      <c r="J352" t="s">
        <v>15</v>
      </c>
      <c r="K352" t="str">
        <f>IF(D352&lt;=12,"0-12 Months",IF(D352&lt;=24,"13-24 Months",IF(D352&lt;=48,"25-48 Months","49+ Months")))</f>
        <v>13-24 Months</v>
      </c>
      <c r="L352">
        <f>IF(Table134[[#This Row],[Churn]]="Yes",1,0)</f>
        <v>0</v>
      </c>
    </row>
    <row r="353" spans="1:12" x14ac:dyDescent="0.35">
      <c r="A353" t="s">
        <v>375</v>
      </c>
      <c r="B353" t="s">
        <v>11</v>
      </c>
      <c r="C353">
        <v>55</v>
      </c>
      <c r="D353">
        <v>2</v>
      </c>
      <c r="E353" t="s">
        <v>18</v>
      </c>
      <c r="F353" t="s">
        <v>22</v>
      </c>
      <c r="G353" t="s">
        <v>23</v>
      </c>
      <c r="H353">
        <v>99.35</v>
      </c>
      <c r="I353">
        <v>213.39</v>
      </c>
      <c r="J353" t="s">
        <v>27</v>
      </c>
      <c r="K353" t="str">
        <f>IF(D353&lt;=12,"0-12 Months",IF(D353&lt;=24,"13-24 Months",IF(D353&lt;=48,"25-48 Months","49+ Months")))</f>
        <v>0-12 Months</v>
      </c>
      <c r="L353">
        <f>IF(Table134[[#This Row],[Churn]]="Yes",1,0)</f>
        <v>1</v>
      </c>
    </row>
    <row r="354" spans="1:12" x14ac:dyDescent="0.35">
      <c r="A354" t="s">
        <v>376</v>
      </c>
      <c r="B354" t="s">
        <v>11</v>
      </c>
      <c r="C354">
        <v>52</v>
      </c>
      <c r="D354">
        <v>37</v>
      </c>
      <c r="E354" t="s">
        <v>12</v>
      </c>
      <c r="F354" t="s">
        <v>29</v>
      </c>
      <c r="G354" t="s">
        <v>23</v>
      </c>
      <c r="H354">
        <v>23.13</v>
      </c>
      <c r="I354">
        <v>851.06</v>
      </c>
      <c r="J354" t="s">
        <v>15</v>
      </c>
      <c r="K354" t="str">
        <f>IF(D354&lt;=12,"0-12 Months",IF(D354&lt;=24,"13-24 Months",IF(D354&lt;=48,"25-48 Months","49+ Months")))</f>
        <v>25-48 Months</v>
      </c>
      <c r="L354">
        <f>IF(Table134[[#This Row],[Churn]]="Yes",1,0)</f>
        <v>0</v>
      </c>
    </row>
    <row r="355" spans="1:12" x14ac:dyDescent="0.35">
      <c r="A355" t="s">
        <v>377</v>
      </c>
      <c r="B355" t="s">
        <v>17</v>
      </c>
      <c r="C355">
        <v>47</v>
      </c>
      <c r="D355">
        <v>20</v>
      </c>
      <c r="E355" t="s">
        <v>21</v>
      </c>
      <c r="F355" t="s">
        <v>13</v>
      </c>
      <c r="G355" t="s">
        <v>14</v>
      </c>
      <c r="H355">
        <v>35.14</v>
      </c>
      <c r="I355">
        <v>732.72</v>
      </c>
      <c r="J355" t="s">
        <v>27</v>
      </c>
      <c r="K355" t="str">
        <f>IF(D355&lt;=12,"0-12 Months",IF(D355&lt;=24,"13-24 Months",IF(D355&lt;=48,"25-48 Months","49+ Months")))</f>
        <v>13-24 Months</v>
      </c>
      <c r="L355">
        <f>IF(Table134[[#This Row],[Churn]]="Yes",1,0)</f>
        <v>1</v>
      </c>
    </row>
    <row r="356" spans="1:12" x14ac:dyDescent="0.35">
      <c r="A356" t="s">
        <v>378</v>
      </c>
      <c r="B356" t="s">
        <v>17</v>
      </c>
      <c r="C356">
        <v>48</v>
      </c>
      <c r="D356">
        <v>26</v>
      </c>
      <c r="E356" t="s">
        <v>18</v>
      </c>
      <c r="F356" t="s">
        <v>29</v>
      </c>
      <c r="G356" t="s">
        <v>14</v>
      </c>
      <c r="H356">
        <v>36.520000000000003</v>
      </c>
      <c r="I356">
        <v>929.18</v>
      </c>
      <c r="J356" t="s">
        <v>27</v>
      </c>
      <c r="K356" t="str">
        <f>IF(D356&lt;=12,"0-12 Months",IF(D356&lt;=24,"13-24 Months",IF(D356&lt;=48,"25-48 Months","49+ Months")))</f>
        <v>25-48 Months</v>
      </c>
      <c r="L356">
        <f>IF(Table134[[#This Row],[Churn]]="Yes",1,0)</f>
        <v>1</v>
      </c>
    </row>
    <row r="357" spans="1:12" x14ac:dyDescent="0.35">
      <c r="A357" t="s">
        <v>379</v>
      </c>
      <c r="B357" t="s">
        <v>11</v>
      </c>
      <c r="C357">
        <v>66</v>
      </c>
      <c r="D357">
        <v>29</v>
      </c>
      <c r="E357" t="s">
        <v>21</v>
      </c>
      <c r="F357" t="s">
        <v>29</v>
      </c>
      <c r="G357" t="s">
        <v>23</v>
      </c>
      <c r="H357">
        <v>44.61</v>
      </c>
      <c r="I357">
        <v>1231.26</v>
      </c>
      <c r="J357" t="s">
        <v>15</v>
      </c>
      <c r="K357" t="str">
        <f>IF(D357&lt;=12,"0-12 Months",IF(D357&lt;=24,"13-24 Months",IF(D357&lt;=48,"25-48 Months","49+ Months")))</f>
        <v>25-48 Months</v>
      </c>
      <c r="L357">
        <f>IF(Table134[[#This Row],[Churn]]="Yes",1,0)</f>
        <v>0</v>
      </c>
    </row>
    <row r="358" spans="1:12" x14ac:dyDescent="0.35">
      <c r="A358" t="s">
        <v>380</v>
      </c>
      <c r="B358" t="s">
        <v>17</v>
      </c>
      <c r="C358">
        <v>22</v>
      </c>
      <c r="D358">
        <v>1</v>
      </c>
      <c r="E358" t="s">
        <v>12</v>
      </c>
      <c r="F358" t="s">
        <v>22</v>
      </c>
      <c r="G358" t="s">
        <v>19</v>
      </c>
      <c r="H358">
        <v>79.709999999999994</v>
      </c>
      <c r="I358">
        <v>77.27</v>
      </c>
      <c r="J358" t="s">
        <v>15</v>
      </c>
      <c r="K358" t="str">
        <f>IF(D358&lt;=12,"0-12 Months",IF(D358&lt;=24,"13-24 Months",IF(D358&lt;=48,"25-48 Months","49+ Months")))</f>
        <v>0-12 Months</v>
      </c>
      <c r="L358">
        <f>IF(Table134[[#This Row],[Churn]]="Yes",1,0)</f>
        <v>0</v>
      </c>
    </row>
    <row r="359" spans="1:12" x14ac:dyDescent="0.35">
      <c r="A359" t="s">
        <v>381</v>
      </c>
      <c r="B359" t="s">
        <v>17</v>
      </c>
      <c r="C359">
        <v>61</v>
      </c>
      <c r="D359">
        <v>35</v>
      </c>
      <c r="E359" t="s">
        <v>21</v>
      </c>
      <c r="F359" t="s">
        <v>13</v>
      </c>
      <c r="G359" t="s">
        <v>23</v>
      </c>
      <c r="H359">
        <v>117.78</v>
      </c>
      <c r="I359">
        <v>4364.84</v>
      </c>
      <c r="J359" t="s">
        <v>15</v>
      </c>
      <c r="K359" t="str">
        <f>IF(D359&lt;=12,"0-12 Months",IF(D359&lt;=24,"13-24 Months",IF(D359&lt;=48,"25-48 Months","49+ Months")))</f>
        <v>25-48 Months</v>
      </c>
      <c r="L359">
        <f>IF(Table134[[#This Row],[Churn]]="Yes",1,0)</f>
        <v>0</v>
      </c>
    </row>
    <row r="360" spans="1:12" x14ac:dyDescent="0.35">
      <c r="A360" t="s">
        <v>382</v>
      </c>
      <c r="B360" t="s">
        <v>11</v>
      </c>
      <c r="C360">
        <v>67</v>
      </c>
      <c r="D360">
        <v>70</v>
      </c>
      <c r="E360" t="s">
        <v>12</v>
      </c>
      <c r="F360" t="s">
        <v>22</v>
      </c>
      <c r="G360" t="s">
        <v>23</v>
      </c>
      <c r="H360">
        <v>137.72</v>
      </c>
      <c r="I360">
        <v>9881.83</v>
      </c>
      <c r="J360" t="s">
        <v>15</v>
      </c>
      <c r="K360" t="str">
        <f>IF(D360&lt;=12,"0-12 Months",IF(D360&lt;=24,"13-24 Months",IF(D360&lt;=48,"25-48 Months","49+ Months")))</f>
        <v>49+ Months</v>
      </c>
      <c r="L360">
        <f>IF(Table134[[#This Row],[Churn]]="Yes",1,0)</f>
        <v>0</v>
      </c>
    </row>
    <row r="361" spans="1:12" x14ac:dyDescent="0.35">
      <c r="A361" t="s">
        <v>383</v>
      </c>
      <c r="B361" t="s">
        <v>11</v>
      </c>
      <c r="C361">
        <v>31</v>
      </c>
      <c r="D361">
        <v>59</v>
      </c>
      <c r="E361" t="s">
        <v>18</v>
      </c>
      <c r="F361" t="s">
        <v>33</v>
      </c>
      <c r="G361" t="s">
        <v>14</v>
      </c>
      <c r="H361">
        <v>128.6</v>
      </c>
      <c r="I361">
        <v>8251.51</v>
      </c>
      <c r="J361" t="s">
        <v>27</v>
      </c>
      <c r="K361" t="str">
        <f>IF(D361&lt;=12,"0-12 Months",IF(D361&lt;=24,"13-24 Months",IF(D361&lt;=48,"25-48 Months","49+ Months")))</f>
        <v>49+ Months</v>
      </c>
      <c r="L361">
        <f>IF(Table134[[#This Row],[Churn]]="Yes",1,0)</f>
        <v>1</v>
      </c>
    </row>
    <row r="362" spans="1:12" x14ac:dyDescent="0.35">
      <c r="A362" t="s">
        <v>384</v>
      </c>
      <c r="B362" t="s">
        <v>17</v>
      </c>
      <c r="C362">
        <v>70</v>
      </c>
      <c r="D362">
        <v>69</v>
      </c>
      <c r="E362" t="s">
        <v>12</v>
      </c>
      <c r="F362" t="s">
        <v>13</v>
      </c>
      <c r="G362" t="s">
        <v>23</v>
      </c>
      <c r="H362">
        <v>45.6</v>
      </c>
      <c r="I362">
        <v>3259.48</v>
      </c>
      <c r="J362" t="s">
        <v>15</v>
      </c>
      <c r="K362" t="str">
        <f>IF(D362&lt;=12,"0-12 Months",IF(D362&lt;=24,"13-24 Months",IF(D362&lt;=48,"25-48 Months","49+ Months")))</f>
        <v>49+ Months</v>
      </c>
      <c r="L362">
        <f>IF(Table134[[#This Row],[Churn]]="Yes",1,0)</f>
        <v>0</v>
      </c>
    </row>
    <row r="363" spans="1:12" x14ac:dyDescent="0.35">
      <c r="A363" t="s">
        <v>385</v>
      </c>
      <c r="B363" t="s">
        <v>11</v>
      </c>
      <c r="C363">
        <v>28</v>
      </c>
      <c r="D363">
        <v>33</v>
      </c>
      <c r="E363" t="s">
        <v>12</v>
      </c>
      <c r="F363" t="s">
        <v>22</v>
      </c>
      <c r="G363" t="s">
        <v>19</v>
      </c>
      <c r="H363">
        <v>77.349999999999994</v>
      </c>
      <c r="I363">
        <v>2588.38</v>
      </c>
      <c r="J363" t="s">
        <v>15</v>
      </c>
      <c r="K363" t="str">
        <f>IF(D363&lt;=12,"0-12 Months",IF(D363&lt;=24,"13-24 Months",IF(D363&lt;=48,"25-48 Months","49+ Months")))</f>
        <v>25-48 Months</v>
      </c>
      <c r="L363">
        <f>IF(Table134[[#This Row],[Churn]]="Yes",1,0)</f>
        <v>0</v>
      </c>
    </row>
    <row r="364" spans="1:12" x14ac:dyDescent="0.35">
      <c r="A364" t="s">
        <v>386</v>
      </c>
      <c r="B364" t="s">
        <v>11</v>
      </c>
      <c r="C364">
        <v>26</v>
      </c>
      <c r="D364">
        <v>51</v>
      </c>
      <c r="E364" t="s">
        <v>21</v>
      </c>
      <c r="F364" t="s">
        <v>29</v>
      </c>
      <c r="G364" t="s">
        <v>19</v>
      </c>
      <c r="H364">
        <v>45.92</v>
      </c>
      <c r="I364">
        <v>2393.5300000000002</v>
      </c>
      <c r="J364" t="s">
        <v>15</v>
      </c>
      <c r="K364" t="str">
        <f>IF(D364&lt;=12,"0-12 Months",IF(D364&lt;=24,"13-24 Months",IF(D364&lt;=48,"25-48 Months","49+ Months")))</f>
        <v>49+ Months</v>
      </c>
      <c r="L364">
        <f>IF(Table134[[#This Row],[Churn]]="Yes",1,0)</f>
        <v>0</v>
      </c>
    </row>
    <row r="365" spans="1:12" x14ac:dyDescent="0.35">
      <c r="A365" t="s">
        <v>387</v>
      </c>
      <c r="B365" t="s">
        <v>17</v>
      </c>
      <c r="C365">
        <v>51</v>
      </c>
      <c r="D365">
        <v>12</v>
      </c>
      <c r="E365" t="s">
        <v>12</v>
      </c>
      <c r="F365" t="s">
        <v>13</v>
      </c>
      <c r="G365" t="s">
        <v>23</v>
      </c>
      <c r="H365">
        <v>54.38</v>
      </c>
      <c r="I365">
        <v>710.29</v>
      </c>
      <c r="J365" t="s">
        <v>15</v>
      </c>
      <c r="K365" t="str">
        <f>IF(D365&lt;=12,"0-12 Months",IF(D365&lt;=24,"13-24 Months",IF(D365&lt;=48,"25-48 Months","49+ Months")))</f>
        <v>0-12 Months</v>
      </c>
      <c r="L365">
        <f>IF(Table134[[#This Row],[Churn]]="Yes",1,0)</f>
        <v>0</v>
      </c>
    </row>
    <row r="366" spans="1:12" x14ac:dyDescent="0.35">
      <c r="A366" t="s">
        <v>388</v>
      </c>
      <c r="B366" t="s">
        <v>11</v>
      </c>
      <c r="C366">
        <v>29</v>
      </c>
      <c r="D366">
        <v>20</v>
      </c>
      <c r="E366" t="s">
        <v>21</v>
      </c>
      <c r="F366" t="s">
        <v>22</v>
      </c>
      <c r="G366" t="s">
        <v>19</v>
      </c>
      <c r="H366">
        <v>85.46</v>
      </c>
      <c r="I366">
        <v>1807.72</v>
      </c>
      <c r="J366" t="s">
        <v>15</v>
      </c>
      <c r="K366" t="str">
        <f>IF(D366&lt;=12,"0-12 Months",IF(D366&lt;=24,"13-24 Months",IF(D366&lt;=48,"25-48 Months","49+ Months")))</f>
        <v>13-24 Months</v>
      </c>
      <c r="L366">
        <f>IF(Table134[[#This Row],[Churn]]="Yes",1,0)</f>
        <v>0</v>
      </c>
    </row>
    <row r="367" spans="1:12" x14ac:dyDescent="0.35">
      <c r="A367" t="s">
        <v>389</v>
      </c>
      <c r="B367" t="s">
        <v>11</v>
      </c>
      <c r="C367">
        <v>52</v>
      </c>
      <c r="D367">
        <v>53</v>
      </c>
      <c r="E367" t="s">
        <v>21</v>
      </c>
      <c r="F367" t="s">
        <v>13</v>
      </c>
      <c r="G367" t="s">
        <v>23</v>
      </c>
      <c r="H367">
        <v>28.85</v>
      </c>
      <c r="I367">
        <v>1383.5</v>
      </c>
      <c r="J367" t="s">
        <v>15</v>
      </c>
      <c r="K367" t="str">
        <f>IF(D367&lt;=12,"0-12 Months",IF(D367&lt;=24,"13-24 Months",IF(D367&lt;=48,"25-48 Months","49+ Months")))</f>
        <v>49+ Months</v>
      </c>
      <c r="L367">
        <f>IF(Table134[[#This Row],[Churn]]="Yes",1,0)</f>
        <v>0</v>
      </c>
    </row>
    <row r="368" spans="1:12" x14ac:dyDescent="0.35">
      <c r="A368" t="s">
        <v>390</v>
      </c>
      <c r="B368" t="s">
        <v>17</v>
      </c>
      <c r="C368">
        <v>52</v>
      </c>
      <c r="D368">
        <v>43</v>
      </c>
      <c r="E368" t="s">
        <v>18</v>
      </c>
      <c r="F368" t="s">
        <v>13</v>
      </c>
      <c r="G368" t="s">
        <v>23</v>
      </c>
      <c r="H368">
        <v>48.36</v>
      </c>
      <c r="I368">
        <v>2093.6799999999998</v>
      </c>
      <c r="J368" t="s">
        <v>15</v>
      </c>
      <c r="K368" t="str">
        <f>IF(D368&lt;=12,"0-12 Months",IF(D368&lt;=24,"13-24 Months",IF(D368&lt;=48,"25-48 Months","49+ Months")))</f>
        <v>25-48 Months</v>
      </c>
      <c r="L368">
        <f>IF(Table134[[#This Row],[Churn]]="Yes",1,0)</f>
        <v>0</v>
      </c>
    </row>
    <row r="369" spans="1:12" x14ac:dyDescent="0.35">
      <c r="A369" t="s">
        <v>391</v>
      </c>
      <c r="B369" t="s">
        <v>17</v>
      </c>
      <c r="C369">
        <v>18</v>
      </c>
      <c r="D369">
        <v>50</v>
      </c>
      <c r="E369" t="s">
        <v>21</v>
      </c>
      <c r="F369" t="s">
        <v>29</v>
      </c>
      <c r="G369" t="s">
        <v>19</v>
      </c>
      <c r="H369">
        <v>141.6</v>
      </c>
      <c r="I369">
        <v>7346.69</v>
      </c>
      <c r="J369" t="s">
        <v>15</v>
      </c>
      <c r="K369" t="str">
        <f>IF(D369&lt;=12,"0-12 Months",IF(D369&lt;=24,"13-24 Months",IF(D369&lt;=48,"25-48 Months","49+ Months")))</f>
        <v>49+ Months</v>
      </c>
      <c r="L369">
        <f>IF(Table134[[#This Row],[Churn]]="Yes",1,0)</f>
        <v>0</v>
      </c>
    </row>
    <row r="370" spans="1:12" x14ac:dyDescent="0.35">
      <c r="A370" t="s">
        <v>392</v>
      </c>
      <c r="B370" t="s">
        <v>11</v>
      </c>
      <c r="C370">
        <v>57</v>
      </c>
      <c r="D370">
        <v>29</v>
      </c>
      <c r="E370" t="s">
        <v>12</v>
      </c>
      <c r="F370" t="s">
        <v>13</v>
      </c>
      <c r="G370" t="s">
        <v>23</v>
      </c>
      <c r="H370">
        <v>80.599999999999994</v>
      </c>
      <c r="I370">
        <v>2453.66</v>
      </c>
      <c r="J370" t="s">
        <v>15</v>
      </c>
      <c r="K370" t="str">
        <f>IF(D370&lt;=12,"0-12 Months",IF(D370&lt;=24,"13-24 Months",IF(D370&lt;=48,"25-48 Months","49+ Months")))</f>
        <v>25-48 Months</v>
      </c>
      <c r="L370">
        <f>IF(Table134[[#This Row],[Churn]]="Yes",1,0)</f>
        <v>0</v>
      </c>
    </row>
    <row r="371" spans="1:12" x14ac:dyDescent="0.35">
      <c r="A371" t="s">
        <v>393</v>
      </c>
      <c r="B371" t="s">
        <v>11</v>
      </c>
      <c r="C371">
        <v>39</v>
      </c>
      <c r="D371">
        <v>57</v>
      </c>
      <c r="E371" t="s">
        <v>12</v>
      </c>
      <c r="F371" t="s">
        <v>33</v>
      </c>
      <c r="G371" t="s">
        <v>14</v>
      </c>
      <c r="H371">
        <v>77.900000000000006</v>
      </c>
      <c r="I371">
        <v>4185.55</v>
      </c>
      <c r="J371" t="s">
        <v>27</v>
      </c>
      <c r="K371" t="str">
        <f>IF(D371&lt;=12,"0-12 Months",IF(D371&lt;=24,"13-24 Months",IF(D371&lt;=48,"25-48 Months","49+ Months")))</f>
        <v>49+ Months</v>
      </c>
      <c r="L371">
        <f>IF(Table134[[#This Row],[Churn]]="Yes",1,0)</f>
        <v>1</v>
      </c>
    </row>
    <row r="372" spans="1:12" x14ac:dyDescent="0.35">
      <c r="A372" t="s">
        <v>394</v>
      </c>
      <c r="B372" t="s">
        <v>17</v>
      </c>
      <c r="C372">
        <v>46</v>
      </c>
      <c r="D372">
        <v>39</v>
      </c>
      <c r="E372" t="s">
        <v>12</v>
      </c>
      <c r="F372" t="s">
        <v>33</v>
      </c>
      <c r="G372" t="s">
        <v>14</v>
      </c>
      <c r="H372">
        <v>21.89</v>
      </c>
      <c r="I372">
        <v>916.4</v>
      </c>
      <c r="J372" t="s">
        <v>27</v>
      </c>
      <c r="K372" t="str">
        <f>IF(D372&lt;=12,"0-12 Months",IF(D372&lt;=24,"13-24 Months",IF(D372&lt;=48,"25-48 Months","49+ Months")))</f>
        <v>25-48 Months</v>
      </c>
      <c r="L372">
        <f>IF(Table134[[#This Row],[Churn]]="Yes",1,0)</f>
        <v>1</v>
      </c>
    </row>
    <row r="373" spans="1:12" x14ac:dyDescent="0.35">
      <c r="A373" t="s">
        <v>395</v>
      </c>
      <c r="B373" t="s">
        <v>17</v>
      </c>
      <c r="C373">
        <v>25</v>
      </c>
      <c r="D373">
        <v>56</v>
      </c>
      <c r="E373" t="s">
        <v>12</v>
      </c>
      <c r="F373" t="s">
        <v>22</v>
      </c>
      <c r="G373" t="s">
        <v>19</v>
      </c>
      <c r="H373">
        <v>52.16</v>
      </c>
      <c r="I373">
        <v>3187.26</v>
      </c>
      <c r="J373" t="s">
        <v>27</v>
      </c>
      <c r="K373" t="str">
        <f>IF(D373&lt;=12,"0-12 Months",IF(D373&lt;=24,"13-24 Months",IF(D373&lt;=48,"25-48 Months","49+ Months")))</f>
        <v>49+ Months</v>
      </c>
      <c r="L373">
        <f>IF(Table134[[#This Row],[Churn]]="Yes",1,0)</f>
        <v>1</v>
      </c>
    </row>
    <row r="374" spans="1:12" x14ac:dyDescent="0.35">
      <c r="A374" t="s">
        <v>396</v>
      </c>
      <c r="B374" t="s">
        <v>17</v>
      </c>
      <c r="C374">
        <v>28</v>
      </c>
      <c r="D374">
        <v>43</v>
      </c>
      <c r="E374" t="s">
        <v>12</v>
      </c>
      <c r="F374" t="s">
        <v>22</v>
      </c>
      <c r="G374" t="s">
        <v>19</v>
      </c>
      <c r="H374">
        <v>132.62</v>
      </c>
      <c r="I374">
        <v>5402.38</v>
      </c>
      <c r="J374" t="s">
        <v>15</v>
      </c>
      <c r="K374" t="str">
        <f>IF(D374&lt;=12,"0-12 Months",IF(D374&lt;=24,"13-24 Months",IF(D374&lt;=48,"25-48 Months","49+ Months")))</f>
        <v>25-48 Months</v>
      </c>
      <c r="L374">
        <f>IF(Table134[[#This Row],[Churn]]="Yes",1,0)</f>
        <v>0</v>
      </c>
    </row>
    <row r="375" spans="1:12" x14ac:dyDescent="0.35">
      <c r="A375" t="s">
        <v>397</v>
      </c>
      <c r="B375" t="s">
        <v>17</v>
      </c>
      <c r="C375">
        <v>58</v>
      </c>
      <c r="D375">
        <v>50</v>
      </c>
      <c r="E375" t="s">
        <v>21</v>
      </c>
      <c r="F375" t="s">
        <v>13</v>
      </c>
      <c r="G375" t="s">
        <v>23</v>
      </c>
      <c r="H375">
        <v>41.4</v>
      </c>
      <c r="I375">
        <v>2228.4</v>
      </c>
      <c r="J375" t="s">
        <v>15</v>
      </c>
      <c r="K375" t="str">
        <f>IF(D375&lt;=12,"0-12 Months",IF(D375&lt;=24,"13-24 Months",IF(D375&lt;=48,"25-48 Months","49+ Months")))</f>
        <v>49+ Months</v>
      </c>
      <c r="L375">
        <f>IF(Table134[[#This Row],[Churn]]="Yes",1,0)</f>
        <v>0</v>
      </c>
    </row>
    <row r="376" spans="1:12" x14ac:dyDescent="0.35">
      <c r="A376" t="s">
        <v>398</v>
      </c>
      <c r="B376" t="s">
        <v>11</v>
      </c>
      <c r="C376">
        <v>54</v>
      </c>
      <c r="D376">
        <v>23</v>
      </c>
      <c r="E376" t="s">
        <v>21</v>
      </c>
      <c r="F376" t="s">
        <v>13</v>
      </c>
      <c r="G376" t="s">
        <v>23</v>
      </c>
      <c r="H376">
        <v>73.97</v>
      </c>
      <c r="I376">
        <v>1564.18</v>
      </c>
      <c r="J376" t="s">
        <v>15</v>
      </c>
      <c r="K376" t="str">
        <f>IF(D376&lt;=12,"0-12 Months",IF(D376&lt;=24,"13-24 Months",IF(D376&lt;=48,"25-48 Months","49+ Months")))</f>
        <v>13-24 Months</v>
      </c>
      <c r="L376">
        <f>IF(Table134[[#This Row],[Churn]]="Yes",1,0)</f>
        <v>0</v>
      </c>
    </row>
    <row r="377" spans="1:12" x14ac:dyDescent="0.35">
      <c r="A377" t="s">
        <v>399</v>
      </c>
      <c r="B377" t="s">
        <v>17</v>
      </c>
      <c r="C377">
        <v>31</v>
      </c>
      <c r="D377">
        <v>44</v>
      </c>
      <c r="E377" t="s">
        <v>12</v>
      </c>
      <c r="F377" t="s">
        <v>29</v>
      </c>
      <c r="G377" t="s">
        <v>14</v>
      </c>
      <c r="H377">
        <v>21.86</v>
      </c>
      <c r="I377">
        <v>876.37</v>
      </c>
      <c r="J377" t="s">
        <v>15</v>
      </c>
      <c r="K377" t="str">
        <f>IF(D377&lt;=12,"0-12 Months",IF(D377&lt;=24,"13-24 Months",IF(D377&lt;=48,"25-48 Months","49+ Months")))</f>
        <v>25-48 Months</v>
      </c>
      <c r="L377">
        <f>IF(Table134[[#This Row],[Churn]]="Yes",1,0)</f>
        <v>0</v>
      </c>
    </row>
    <row r="378" spans="1:12" x14ac:dyDescent="0.35">
      <c r="A378" t="s">
        <v>400</v>
      </c>
      <c r="B378" t="s">
        <v>17</v>
      </c>
      <c r="C378">
        <v>47</v>
      </c>
      <c r="D378">
        <v>38</v>
      </c>
      <c r="E378" t="s">
        <v>18</v>
      </c>
      <c r="F378" t="s">
        <v>13</v>
      </c>
      <c r="G378" t="s">
        <v>14</v>
      </c>
      <c r="H378">
        <v>82.18</v>
      </c>
      <c r="I378">
        <v>2891.27</v>
      </c>
      <c r="J378" t="s">
        <v>15</v>
      </c>
      <c r="K378" t="str">
        <f>IF(D378&lt;=12,"0-12 Months",IF(D378&lt;=24,"13-24 Months",IF(D378&lt;=48,"25-48 Months","49+ Months")))</f>
        <v>25-48 Months</v>
      </c>
      <c r="L378">
        <f>IF(Table134[[#This Row],[Churn]]="Yes",1,0)</f>
        <v>0</v>
      </c>
    </row>
    <row r="379" spans="1:12" x14ac:dyDescent="0.35">
      <c r="A379" t="s">
        <v>401</v>
      </c>
      <c r="B379" t="s">
        <v>11</v>
      </c>
      <c r="C379">
        <v>52</v>
      </c>
      <c r="D379">
        <v>23</v>
      </c>
      <c r="E379" t="s">
        <v>18</v>
      </c>
      <c r="F379" t="s">
        <v>13</v>
      </c>
      <c r="G379" t="s">
        <v>23</v>
      </c>
      <c r="H379">
        <v>22.73</v>
      </c>
      <c r="I379">
        <v>476.55</v>
      </c>
      <c r="J379" t="s">
        <v>15</v>
      </c>
      <c r="K379" t="str">
        <f>IF(D379&lt;=12,"0-12 Months",IF(D379&lt;=24,"13-24 Months",IF(D379&lt;=48,"25-48 Months","49+ Months")))</f>
        <v>13-24 Months</v>
      </c>
      <c r="L379">
        <f>IF(Table134[[#This Row],[Churn]]="Yes",1,0)</f>
        <v>0</v>
      </c>
    </row>
    <row r="380" spans="1:12" x14ac:dyDescent="0.35">
      <c r="A380" t="s">
        <v>402</v>
      </c>
      <c r="B380" t="s">
        <v>17</v>
      </c>
      <c r="C380">
        <v>38</v>
      </c>
      <c r="D380">
        <v>45</v>
      </c>
      <c r="E380" t="s">
        <v>18</v>
      </c>
      <c r="F380" t="s">
        <v>33</v>
      </c>
      <c r="G380" t="s">
        <v>14</v>
      </c>
      <c r="H380">
        <v>126.55</v>
      </c>
      <c r="I380">
        <v>6087.7</v>
      </c>
      <c r="J380" t="s">
        <v>15</v>
      </c>
      <c r="K380" t="str">
        <f>IF(D380&lt;=12,"0-12 Months",IF(D380&lt;=24,"13-24 Months",IF(D380&lt;=48,"25-48 Months","49+ Months")))</f>
        <v>25-48 Months</v>
      </c>
      <c r="L380">
        <f>IF(Table134[[#This Row],[Churn]]="Yes",1,0)</f>
        <v>0</v>
      </c>
    </row>
    <row r="381" spans="1:12" x14ac:dyDescent="0.35">
      <c r="A381" t="s">
        <v>403</v>
      </c>
      <c r="B381" t="s">
        <v>11</v>
      </c>
      <c r="C381">
        <v>54</v>
      </c>
      <c r="D381">
        <v>52</v>
      </c>
      <c r="E381" t="s">
        <v>21</v>
      </c>
      <c r="F381" t="s">
        <v>13</v>
      </c>
      <c r="G381" t="s">
        <v>23</v>
      </c>
      <c r="H381">
        <v>127.23</v>
      </c>
      <c r="I381">
        <v>6032.5</v>
      </c>
      <c r="J381" t="s">
        <v>15</v>
      </c>
      <c r="K381" t="str">
        <f>IF(D381&lt;=12,"0-12 Months",IF(D381&lt;=24,"13-24 Months",IF(D381&lt;=48,"25-48 Months","49+ Months")))</f>
        <v>49+ Months</v>
      </c>
      <c r="L381">
        <f>IF(Table134[[#This Row],[Churn]]="Yes",1,0)</f>
        <v>0</v>
      </c>
    </row>
    <row r="382" spans="1:12" x14ac:dyDescent="0.35">
      <c r="A382" t="s">
        <v>404</v>
      </c>
      <c r="B382" t="s">
        <v>17</v>
      </c>
      <c r="C382">
        <v>22</v>
      </c>
      <c r="D382">
        <v>50</v>
      </c>
      <c r="E382" t="s">
        <v>12</v>
      </c>
      <c r="F382" t="s">
        <v>13</v>
      </c>
      <c r="G382" t="s">
        <v>19</v>
      </c>
      <c r="H382">
        <v>122.41</v>
      </c>
      <c r="I382">
        <v>5840.99</v>
      </c>
      <c r="J382" t="s">
        <v>15</v>
      </c>
      <c r="K382" t="str">
        <f>IF(D382&lt;=12,"0-12 Months",IF(D382&lt;=24,"13-24 Months",IF(D382&lt;=48,"25-48 Months","49+ Months")))</f>
        <v>49+ Months</v>
      </c>
      <c r="L382">
        <f>IF(Table134[[#This Row],[Churn]]="Yes",1,0)</f>
        <v>0</v>
      </c>
    </row>
    <row r="383" spans="1:12" x14ac:dyDescent="0.35">
      <c r="A383" t="s">
        <v>405</v>
      </c>
      <c r="B383" t="s">
        <v>17</v>
      </c>
      <c r="C383">
        <v>36</v>
      </c>
      <c r="D383">
        <v>8</v>
      </c>
      <c r="E383" t="s">
        <v>12</v>
      </c>
      <c r="F383" t="s">
        <v>13</v>
      </c>
      <c r="G383" t="s">
        <v>14</v>
      </c>
      <c r="H383">
        <v>56.84</v>
      </c>
      <c r="I383">
        <v>418.68</v>
      </c>
      <c r="J383" t="s">
        <v>15</v>
      </c>
      <c r="K383" t="str">
        <f>IF(D383&lt;=12,"0-12 Months",IF(D383&lt;=24,"13-24 Months",IF(D383&lt;=48,"25-48 Months","49+ Months")))</f>
        <v>0-12 Months</v>
      </c>
      <c r="L383">
        <f>IF(Table134[[#This Row],[Churn]]="Yes",1,0)</f>
        <v>0</v>
      </c>
    </row>
    <row r="384" spans="1:12" x14ac:dyDescent="0.35">
      <c r="A384" t="s">
        <v>406</v>
      </c>
      <c r="B384" t="s">
        <v>17</v>
      </c>
      <c r="C384">
        <v>31</v>
      </c>
      <c r="D384">
        <v>1</v>
      </c>
      <c r="E384" t="s">
        <v>12</v>
      </c>
      <c r="F384" t="s">
        <v>22</v>
      </c>
      <c r="G384" t="s">
        <v>14</v>
      </c>
      <c r="H384">
        <v>128.84</v>
      </c>
      <c r="I384">
        <v>123.57</v>
      </c>
      <c r="J384" t="s">
        <v>15</v>
      </c>
      <c r="K384" t="str">
        <f>IF(D384&lt;=12,"0-12 Months",IF(D384&lt;=24,"13-24 Months",IF(D384&lt;=48,"25-48 Months","49+ Months")))</f>
        <v>0-12 Months</v>
      </c>
      <c r="L384">
        <f>IF(Table134[[#This Row],[Churn]]="Yes",1,0)</f>
        <v>0</v>
      </c>
    </row>
    <row r="385" spans="1:12" x14ac:dyDescent="0.35">
      <c r="A385" t="s">
        <v>407</v>
      </c>
      <c r="B385" t="s">
        <v>11</v>
      </c>
      <c r="C385">
        <v>43</v>
      </c>
      <c r="D385">
        <v>8</v>
      </c>
      <c r="E385" t="s">
        <v>12</v>
      </c>
      <c r="F385" t="s">
        <v>22</v>
      </c>
      <c r="G385" t="s">
        <v>14</v>
      </c>
      <c r="H385">
        <v>90.59</v>
      </c>
      <c r="I385">
        <v>665.37</v>
      </c>
      <c r="J385" t="s">
        <v>27</v>
      </c>
      <c r="K385" t="str">
        <f>IF(D385&lt;=12,"0-12 Months",IF(D385&lt;=24,"13-24 Months",IF(D385&lt;=48,"25-48 Months","49+ Months")))</f>
        <v>0-12 Months</v>
      </c>
      <c r="L385">
        <f>IF(Table134[[#This Row],[Churn]]="Yes",1,0)</f>
        <v>1</v>
      </c>
    </row>
    <row r="386" spans="1:12" x14ac:dyDescent="0.35">
      <c r="A386" t="s">
        <v>408</v>
      </c>
      <c r="B386" t="s">
        <v>11</v>
      </c>
      <c r="C386">
        <v>21</v>
      </c>
      <c r="D386">
        <v>29</v>
      </c>
      <c r="E386" t="s">
        <v>18</v>
      </c>
      <c r="F386" t="s">
        <v>29</v>
      </c>
      <c r="G386" t="s">
        <v>19</v>
      </c>
      <c r="H386">
        <v>68.599999999999994</v>
      </c>
      <c r="I386">
        <v>2056.25</v>
      </c>
      <c r="J386" t="s">
        <v>15</v>
      </c>
      <c r="K386" t="str">
        <f>IF(D386&lt;=12,"0-12 Months",IF(D386&lt;=24,"13-24 Months",IF(D386&lt;=48,"25-48 Months","49+ Months")))</f>
        <v>25-48 Months</v>
      </c>
      <c r="L386">
        <f>IF(Table134[[#This Row],[Churn]]="Yes",1,0)</f>
        <v>0</v>
      </c>
    </row>
    <row r="387" spans="1:12" x14ac:dyDescent="0.35">
      <c r="A387" t="s">
        <v>409</v>
      </c>
      <c r="B387" t="s">
        <v>17</v>
      </c>
      <c r="C387">
        <v>42</v>
      </c>
      <c r="D387">
        <v>5</v>
      </c>
      <c r="E387" t="s">
        <v>18</v>
      </c>
      <c r="F387" t="s">
        <v>13</v>
      </c>
      <c r="G387" t="s">
        <v>14</v>
      </c>
      <c r="H387">
        <v>101.29</v>
      </c>
      <c r="I387">
        <v>469.31</v>
      </c>
      <c r="J387" t="s">
        <v>15</v>
      </c>
      <c r="K387" t="str">
        <f>IF(D387&lt;=12,"0-12 Months",IF(D387&lt;=24,"13-24 Months",IF(D387&lt;=48,"25-48 Months","49+ Months")))</f>
        <v>0-12 Months</v>
      </c>
      <c r="L387">
        <f>IF(Table134[[#This Row],[Churn]]="Yes",1,0)</f>
        <v>0</v>
      </c>
    </row>
    <row r="388" spans="1:12" x14ac:dyDescent="0.35">
      <c r="A388" t="s">
        <v>410</v>
      </c>
      <c r="B388" t="s">
        <v>11</v>
      </c>
      <c r="C388">
        <v>62</v>
      </c>
      <c r="D388">
        <v>47</v>
      </c>
      <c r="E388" t="s">
        <v>12</v>
      </c>
      <c r="F388" t="s">
        <v>33</v>
      </c>
      <c r="G388" t="s">
        <v>23</v>
      </c>
      <c r="H388">
        <v>21.6</v>
      </c>
      <c r="I388">
        <v>1086.6400000000001</v>
      </c>
      <c r="J388" t="s">
        <v>15</v>
      </c>
      <c r="K388" t="str">
        <f>IF(D388&lt;=12,"0-12 Months",IF(D388&lt;=24,"13-24 Months",IF(D388&lt;=48,"25-48 Months","49+ Months")))</f>
        <v>25-48 Months</v>
      </c>
      <c r="L388">
        <f>IF(Table134[[#This Row],[Churn]]="Yes",1,0)</f>
        <v>0</v>
      </c>
    </row>
    <row r="389" spans="1:12" x14ac:dyDescent="0.35">
      <c r="A389" t="s">
        <v>411</v>
      </c>
      <c r="B389" t="s">
        <v>11</v>
      </c>
      <c r="C389">
        <v>59</v>
      </c>
      <c r="D389">
        <v>34</v>
      </c>
      <c r="E389" t="s">
        <v>12</v>
      </c>
      <c r="F389" t="s">
        <v>13</v>
      </c>
      <c r="G389" t="s">
        <v>23</v>
      </c>
      <c r="H389">
        <v>38.58</v>
      </c>
      <c r="I389">
        <v>1394.93</v>
      </c>
      <c r="J389" t="s">
        <v>27</v>
      </c>
      <c r="K389" t="str">
        <f>IF(D389&lt;=12,"0-12 Months",IF(D389&lt;=24,"13-24 Months",IF(D389&lt;=48,"25-48 Months","49+ Months")))</f>
        <v>25-48 Months</v>
      </c>
      <c r="L389">
        <f>IF(Table134[[#This Row],[Churn]]="Yes",1,0)</f>
        <v>1</v>
      </c>
    </row>
    <row r="390" spans="1:12" x14ac:dyDescent="0.35">
      <c r="A390" t="s">
        <v>412</v>
      </c>
      <c r="B390" t="s">
        <v>11</v>
      </c>
      <c r="C390">
        <v>42</v>
      </c>
      <c r="D390">
        <v>65</v>
      </c>
      <c r="E390" t="s">
        <v>18</v>
      </c>
      <c r="F390" t="s">
        <v>29</v>
      </c>
      <c r="G390" t="s">
        <v>14</v>
      </c>
      <c r="H390">
        <v>116.5</v>
      </c>
      <c r="I390">
        <v>6835.94</v>
      </c>
      <c r="J390" t="s">
        <v>15</v>
      </c>
      <c r="K390" t="str">
        <f>IF(D390&lt;=12,"0-12 Months",IF(D390&lt;=24,"13-24 Months",IF(D390&lt;=48,"25-48 Months","49+ Months")))</f>
        <v>49+ Months</v>
      </c>
      <c r="L390">
        <f>IF(Table134[[#This Row],[Churn]]="Yes",1,0)</f>
        <v>0</v>
      </c>
    </row>
    <row r="391" spans="1:12" x14ac:dyDescent="0.35">
      <c r="A391" t="s">
        <v>413</v>
      </c>
      <c r="B391" t="s">
        <v>11</v>
      </c>
      <c r="C391">
        <v>35</v>
      </c>
      <c r="D391">
        <v>55</v>
      </c>
      <c r="E391" t="s">
        <v>12</v>
      </c>
      <c r="F391" t="s">
        <v>22</v>
      </c>
      <c r="G391" t="s">
        <v>14</v>
      </c>
      <c r="H391">
        <v>51.74</v>
      </c>
      <c r="I391">
        <v>3070.92</v>
      </c>
      <c r="J391" t="s">
        <v>15</v>
      </c>
      <c r="K391" t="str">
        <f>IF(D391&lt;=12,"0-12 Months",IF(D391&lt;=24,"13-24 Months",IF(D391&lt;=48,"25-48 Months","49+ Months")))</f>
        <v>49+ Months</v>
      </c>
      <c r="L391">
        <f>IF(Table134[[#This Row],[Churn]]="Yes",1,0)</f>
        <v>0</v>
      </c>
    </row>
    <row r="392" spans="1:12" x14ac:dyDescent="0.35">
      <c r="A392" t="s">
        <v>414</v>
      </c>
      <c r="B392" t="s">
        <v>11</v>
      </c>
      <c r="C392">
        <v>57</v>
      </c>
      <c r="D392">
        <v>43</v>
      </c>
      <c r="E392" t="s">
        <v>12</v>
      </c>
      <c r="F392" t="s">
        <v>33</v>
      </c>
      <c r="G392" t="s">
        <v>23</v>
      </c>
      <c r="H392">
        <v>97.74</v>
      </c>
      <c r="I392">
        <v>3806.87</v>
      </c>
      <c r="J392" t="s">
        <v>27</v>
      </c>
      <c r="K392" t="str">
        <f>IF(D392&lt;=12,"0-12 Months",IF(D392&lt;=24,"13-24 Months",IF(D392&lt;=48,"25-48 Months","49+ Months")))</f>
        <v>25-48 Months</v>
      </c>
      <c r="L392">
        <f>IF(Table134[[#This Row],[Churn]]="Yes",1,0)</f>
        <v>1</v>
      </c>
    </row>
    <row r="393" spans="1:12" x14ac:dyDescent="0.35">
      <c r="A393" t="s">
        <v>415</v>
      </c>
      <c r="B393" t="s">
        <v>11</v>
      </c>
      <c r="C393">
        <v>25</v>
      </c>
      <c r="D393">
        <v>30</v>
      </c>
      <c r="E393" t="s">
        <v>18</v>
      </c>
      <c r="F393" t="s">
        <v>29</v>
      </c>
      <c r="G393" t="s">
        <v>19</v>
      </c>
      <c r="H393">
        <v>70.06</v>
      </c>
      <c r="I393">
        <v>1992.36</v>
      </c>
      <c r="J393" t="s">
        <v>15</v>
      </c>
      <c r="K393" t="str">
        <f>IF(D393&lt;=12,"0-12 Months",IF(D393&lt;=24,"13-24 Months",IF(D393&lt;=48,"25-48 Months","49+ Months")))</f>
        <v>25-48 Months</v>
      </c>
      <c r="L393">
        <f>IF(Table134[[#This Row],[Churn]]="Yes",1,0)</f>
        <v>0</v>
      </c>
    </row>
    <row r="394" spans="1:12" x14ac:dyDescent="0.35">
      <c r="A394" t="s">
        <v>416</v>
      </c>
      <c r="B394" t="s">
        <v>17</v>
      </c>
      <c r="C394">
        <v>56</v>
      </c>
      <c r="D394">
        <v>17</v>
      </c>
      <c r="E394" t="s">
        <v>12</v>
      </c>
      <c r="F394" t="s">
        <v>22</v>
      </c>
      <c r="G394" t="s">
        <v>23</v>
      </c>
      <c r="H394">
        <v>131.12</v>
      </c>
      <c r="I394">
        <v>2020.58</v>
      </c>
      <c r="J394" t="s">
        <v>15</v>
      </c>
      <c r="K394" t="str">
        <f>IF(D394&lt;=12,"0-12 Months",IF(D394&lt;=24,"13-24 Months",IF(D394&lt;=48,"25-48 Months","49+ Months")))</f>
        <v>13-24 Months</v>
      </c>
      <c r="L394">
        <f>IF(Table134[[#This Row],[Churn]]="Yes",1,0)</f>
        <v>0</v>
      </c>
    </row>
    <row r="395" spans="1:12" x14ac:dyDescent="0.35">
      <c r="A395" t="s">
        <v>417</v>
      </c>
      <c r="B395" t="s">
        <v>17</v>
      </c>
      <c r="C395">
        <v>57</v>
      </c>
      <c r="D395">
        <v>26</v>
      </c>
      <c r="E395" t="s">
        <v>12</v>
      </c>
      <c r="F395" t="s">
        <v>33</v>
      </c>
      <c r="G395" t="s">
        <v>23</v>
      </c>
      <c r="H395">
        <v>143.81</v>
      </c>
      <c r="I395">
        <v>3616.3</v>
      </c>
      <c r="J395" t="s">
        <v>15</v>
      </c>
      <c r="K395" t="str">
        <f>IF(D395&lt;=12,"0-12 Months",IF(D395&lt;=24,"13-24 Months",IF(D395&lt;=48,"25-48 Months","49+ Months")))</f>
        <v>25-48 Months</v>
      </c>
      <c r="L395">
        <f>IF(Table134[[#This Row],[Churn]]="Yes",1,0)</f>
        <v>0</v>
      </c>
    </row>
    <row r="396" spans="1:12" x14ac:dyDescent="0.35">
      <c r="A396" t="s">
        <v>418</v>
      </c>
      <c r="B396" t="s">
        <v>11</v>
      </c>
      <c r="C396">
        <v>31</v>
      </c>
      <c r="D396">
        <v>8</v>
      </c>
      <c r="E396" t="s">
        <v>12</v>
      </c>
      <c r="F396" t="s">
        <v>13</v>
      </c>
      <c r="G396" t="s">
        <v>14</v>
      </c>
      <c r="H396">
        <v>134.86000000000001</v>
      </c>
      <c r="I396">
        <v>1081.8699999999999</v>
      </c>
      <c r="J396" t="s">
        <v>15</v>
      </c>
      <c r="K396" t="str">
        <f>IF(D396&lt;=12,"0-12 Months",IF(D396&lt;=24,"13-24 Months",IF(D396&lt;=48,"25-48 Months","49+ Months")))</f>
        <v>0-12 Months</v>
      </c>
      <c r="L396">
        <f>IF(Table134[[#This Row],[Churn]]="Yes",1,0)</f>
        <v>0</v>
      </c>
    </row>
    <row r="397" spans="1:12" x14ac:dyDescent="0.35">
      <c r="A397" t="s">
        <v>419</v>
      </c>
      <c r="B397" t="s">
        <v>17</v>
      </c>
      <c r="C397">
        <v>49</v>
      </c>
      <c r="D397">
        <v>47</v>
      </c>
      <c r="E397" t="s">
        <v>18</v>
      </c>
      <c r="F397" t="s">
        <v>33</v>
      </c>
      <c r="G397" t="s">
        <v>14</v>
      </c>
      <c r="H397">
        <v>55.18</v>
      </c>
      <c r="I397">
        <v>2747.33</v>
      </c>
      <c r="J397" t="s">
        <v>15</v>
      </c>
      <c r="K397" t="str">
        <f>IF(D397&lt;=12,"0-12 Months",IF(D397&lt;=24,"13-24 Months",IF(D397&lt;=48,"25-48 Months","49+ Months")))</f>
        <v>25-48 Months</v>
      </c>
      <c r="L397">
        <f>IF(Table134[[#This Row],[Churn]]="Yes",1,0)</f>
        <v>0</v>
      </c>
    </row>
    <row r="398" spans="1:12" x14ac:dyDescent="0.35">
      <c r="A398" t="s">
        <v>420</v>
      </c>
      <c r="B398" t="s">
        <v>17</v>
      </c>
      <c r="C398">
        <v>68</v>
      </c>
      <c r="D398">
        <v>72</v>
      </c>
      <c r="E398" t="s">
        <v>21</v>
      </c>
      <c r="F398" t="s">
        <v>22</v>
      </c>
      <c r="G398" t="s">
        <v>23</v>
      </c>
      <c r="H398">
        <v>45.24</v>
      </c>
      <c r="I398">
        <v>3151.73</v>
      </c>
      <c r="J398" t="s">
        <v>15</v>
      </c>
      <c r="K398" t="str">
        <f>IF(D398&lt;=12,"0-12 Months",IF(D398&lt;=24,"13-24 Months",IF(D398&lt;=48,"25-48 Months","49+ Months")))</f>
        <v>49+ Months</v>
      </c>
      <c r="L398">
        <f>IF(Table134[[#This Row],[Churn]]="Yes",1,0)</f>
        <v>0</v>
      </c>
    </row>
    <row r="399" spans="1:12" x14ac:dyDescent="0.35">
      <c r="A399" t="s">
        <v>421</v>
      </c>
      <c r="B399" t="s">
        <v>17</v>
      </c>
      <c r="C399">
        <v>55</v>
      </c>
      <c r="D399">
        <v>46</v>
      </c>
      <c r="E399" t="s">
        <v>12</v>
      </c>
      <c r="F399" t="s">
        <v>22</v>
      </c>
      <c r="G399" t="s">
        <v>23</v>
      </c>
      <c r="H399">
        <v>81.680000000000007</v>
      </c>
      <c r="I399">
        <v>3911.7</v>
      </c>
      <c r="J399" t="s">
        <v>27</v>
      </c>
      <c r="K399" t="str">
        <f>IF(D399&lt;=12,"0-12 Months",IF(D399&lt;=24,"13-24 Months",IF(D399&lt;=48,"25-48 Months","49+ Months")))</f>
        <v>25-48 Months</v>
      </c>
      <c r="L399">
        <f>IF(Table134[[#This Row],[Churn]]="Yes",1,0)</f>
        <v>1</v>
      </c>
    </row>
    <row r="400" spans="1:12" x14ac:dyDescent="0.35">
      <c r="A400" t="s">
        <v>422</v>
      </c>
      <c r="B400" t="s">
        <v>17</v>
      </c>
      <c r="C400">
        <v>50</v>
      </c>
      <c r="D400">
        <v>68</v>
      </c>
      <c r="E400" t="s">
        <v>12</v>
      </c>
      <c r="F400" t="s">
        <v>22</v>
      </c>
      <c r="G400" t="s">
        <v>23</v>
      </c>
      <c r="H400">
        <v>20.95</v>
      </c>
      <c r="I400">
        <v>1335.56</v>
      </c>
      <c r="J400" t="s">
        <v>27</v>
      </c>
      <c r="K400" t="str">
        <f>IF(D400&lt;=12,"0-12 Months",IF(D400&lt;=24,"13-24 Months",IF(D400&lt;=48,"25-48 Months","49+ Months")))</f>
        <v>49+ Months</v>
      </c>
      <c r="L400">
        <f>IF(Table134[[#This Row],[Churn]]="Yes",1,0)</f>
        <v>1</v>
      </c>
    </row>
    <row r="401" spans="1:12" x14ac:dyDescent="0.35">
      <c r="A401" t="s">
        <v>423</v>
      </c>
      <c r="B401" t="s">
        <v>11</v>
      </c>
      <c r="C401">
        <v>40</v>
      </c>
      <c r="D401">
        <v>33</v>
      </c>
      <c r="E401" t="s">
        <v>12</v>
      </c>
      <c r="F401" t="s">
        <v>29</v>
      </c>
      <c r="G401" t="s">
        <v>14</v>
      </c>
      <c r="H401">
        <v>23.36</v>
      </c>
      <c r="I401">
        <v>809.52</v>
      </c>
      <c r="J401" t="s">
        <v>27</v>
      </c>
      <c r="K401" t="str">
        <f>IF(D401&lt;=12,"0-12 Months",IF(D401&lt;=24,"13-24 Months",IF(D401&lt;=48,"25-48 Months","49+ Months")))</f>
        <v>25-48 Months</v>
      </c>
      <c r="L401">
        <f>IF(Table134[[#This Row],[Churn]]="Yes",1,0)</f>
        <v>1</v>
      </c>
    </row>
    <row r="402" spans="1:12" x14ac:dyDescent="0.35">
      <c r="A402" t="s">
        <v>424</v>
      </c>
      <c r="B402" t="s">
        <v>17</v>
      </c>
      <c r="C402">
        <v>32</v>
      </c>
      <c r="D402">
        <v>1</v>
      </c>
      <c r="E402" t="s">
        <v>21</v>
      </c>
      <c r="F402" t="s">
        <v>29</v>
      </c>
      <c r="G402" t="s">
        <v>14</v>
      </c>
      <c r="H402">
        <v>91.93</v>
      </c>
      <c r="I402">
        <v>87.08</v>
      </c>
      <c r="J402" t="s">
        <v>15</v>
      </c>
      <c r="K402" t="str">
        <f>IF(D402&lt;=12,"0-12 Months",IF(D402&lt;=24,"13-24 Months",IF(D402&lt;=48,"25-48 Months","49+ Months")))</f>
        <v>0-12 Months</v>
      </c>
      <c r="L402">
        <f>IF(Table134[[#This Row],[Churn]]="Yes",1,0)</f>
        <v>0</v>
      </c>
    </row>
    <row r="403" spans="1:12" x14ac:dyDescent="0.35">
      <c r="A403" t="s">
        <v>425</v>
      </c>
      <c r="B403" t="s">
        <v>17</v>
      </c>
      <c r="C403">
        <v>50</v>
      </c>
      <c r="D403">
        <v>19</v>
      </c>
      <c r="E403" t="s">
        <v>21</v>
      </c>
      <c r="F403" t="s">
        <v>13</v>
      </c>
      <c r="G403" t="s">
        <v>23</v>
      </c>
      <c r="H403">
        <v>87.66</v>
      </c>
      <c r="I403">
        <v>1546.8</v>
      </c>
      <c r="J403" t="s">
        <v>15</v>
      </c>
      <c r="K403" t="str">
        <f>IF(D403&lt;=12,"0-12 Months",IF(D403&lt;=24,"13-24 Months",IF(D403&lt;=48,"25-48 Months","49+ Months")))</f>
        <v>13-24 Months</v>
      </c>
      <c r="L403">
        <f>IF(Table134[[#This Row],[Churn]]="Yes",1,0)</f>
        <v>0</v>
      </c>
    </row>
    <row r="404" spans="1:12" x14ac:dyDescent="0.35">
      <c r="A404" t="s">
        <v>426</v>
      </c>
      <c r="B404" t="s">
        <v>11</v>
      </c>
      <c r="C404">
        <v>42</v>
      </c>
      <c r="D404">
        <v>31</v>
      </c>
      <c r="E404" t="s">
        <v>12</v>
      </c>
      <c r="F404" t="s">
        <v>29</v>
      </c>
      <c r="G404" t="s">
        <v>14</v>
      </c>
      <c r="H404">
        <v>149.30000000000001</v>
      </c>
      <c r="I404">
        <v>4337.1000000000004</v>
      </c>
      <c r="J404" t="s">
        <v>15</v>
      </c>
      <c r="K404" t="str">
        <f>IF(D404&lt;=12,"0-12 Months",IF(D404&lt;=24,"13-24 Months",IF(D404&lt;=48,"25-48 Months","49+ Months")))</f>
        <v>25-48 Months</v>
      </c>
      <c r="L404">
        <f>IF(Table134[[#This Row],[Churn]]="Yes",1,0)</f>
        <v>0</v>
      </c>
    </row>
    <row r="405" spans="1:12" x14ac:dyDescent="0.35">
      <c r="A405" t="s">
        <v>427</v>
      </c>
      <c r="B405" t="s">
        <v>11</v>
      </c>
      <c r="C405">
        <v>34</v>
      </c>
      <c r="D405">
        <v>14</v>
      </c>
      <c r="E405" t="s">
        <v>18</v>
      </c>
      <c r="F405" t="s">
        <v>13</v>
      </c>
      <c r="G405" t="s">
        <v>14</v>
      </c>
      <c r="H405">
        <v>46.24</v>
      </c>
      <c r="I405">
        <v>606.20000000000005</v>
      </c>
      <c r="J405" t="s">
        <v>15</v>
      </c>
      <c r="K405" t="str">
        <f>IF(D405&lt;=12,"0-12 Months",IF(D405&lt;=24,"13-24 Months",IF(D405&lt;=48,"25-48 Months","49+ Months")))</f>
        <v>13-24 Months</v>
      </c>
      <c r="L405">
        <f>IF(Table134[[#This Row],[Churn]]="Yes",1,0)</f>
        <v>0</v>
      </c>
    </row>
    <row r="406" spans="1:12" x14ac:dyDescent="0.35">
      <c r="A406" t="s">
        <v>428</v>
      </c>
      <c r="B406" t="s">
        <v>17</v>
      </c>
      <c r="C406">
        <v>50</v>
      </c>
      <c r="D406">
        <v>53</v>
      </c>
      <c r="E406" t="s">
        <v>12</v>
      </c>
      <c r="F406" t="s">
        <v>33</v>
      </c>
      <c r="G406" t="s">
        <v>23</v>
      </c>
      <c r="H406">
        <v>53.55</v>
      </c>
      <c r="I406">
        <v>2845.45</v>
      </c>
      <c r="J406" t="s">
        <v>15</v>
      </c>
      <c r="K406" t="str">
        <f>IF(D406&lt;=12,"0-12 Months",IF(D406&lt;=24,"13-24 Months",IF(D406&lt;=48,"25-48 Months","49+ Months")))</f>
        <v>49+ Months</v>
      </c>
      <c r="L406">
        <f>IF(Table134[[#This Row],[Churn]]="Yes",1,0)</f>
        <v>0</v>
      </c>
    </row>
    <row r="407" spans="1:12" x14ac:dyDescent="0.35">
      <c r="A407" t="s">
        <v>429</v>
      </c>
      <c r="B407" t="s">
        <v>17</v>
      </c>
      <c r="C407">
        <v>64</v>
      </c>
      <c r="D407">
        <v>48</v>
      </c>
      <c r="E407" t="s">
        <v>12</v>
      </c>
      <c r="F407" t="s">
        <v>33</v>
      </c>
      <c r="G407" t="s">
        <v>23</v>
      </c>
      <c r="H407">
        <v>34.76</v>
      </c>
      <c r="I407">
        <v>1783.54</v>
      </c>
      <c r="J407" t="s">
        <v>15</v>
      </c>
      <c r="K407" t="str">
        <f>IF(D407&lt;=12,"0-12 Months",IF(D407&lt;=24,"13-24 Months",IF(D407&lt;=48,"25-48 Months","49+ Months")))</f>
        <v>25-48 Months</v>
      </c>
      <c r="L407">
        <f>IF(Table134[[#This Row],[Churn]]="Yes",1,0)</f>
        <v>0</v>
      </c>
    </row>
    <row r="408" spans="1:12" x14ac:dyDescent="0.35">
      <c r="A408" t="s">
        <v>430</v>
      </c>
      <c r="B408" t="s">
        <v>17</v>
      </c>
      <c r="C408">
        <v>19</v>
      </c>
      <c r="D408">
        <v>69</v>
      </c>
      <c r="E408" t="s">
        <v>12</v>
      </c>
      <c r="F408" t="s">
        <v>22</v>
      </c>
      <c r="G408" t="s">
        <v>19</v>
      </c>
      <c r="H408">
        <v>139.28</v>
      </c>
      <c r="I408">
        <v>8802.2900000000009</v>
      </c>
      <c r="J408" t="s">
        <v>27</v>
      </c>
      <c r="K408" t="str">
        <f>IF(D408&lt;=12,"0-12 Months",IF(D408&lt;=24,"13-24 Months",IF(D408&lt;=48,"25-48 Months","49+ Months")))</f>
        <v>49+ Months</v>
      </c>
      <c r="L408">
        <f>IF(Table134[[#This Row],[Churn]]="Yes",1,0)</f>
        <v>1</v>
      </c>
    </row>
    <row r="409" spans="1:12" x14ac:dyDescent="0.35">
      <c r="A409" t="s">
        <v>431</v>
      </c>
      <c r="B409" t="s">
        <v>17</v>
      </c>
      <c r="C409">
        <v>31</v>
      </c>
      <c r="D409">
        <v>62</v>
      </c>
      <c r="E409" t="s">
        <v>12</v>
      </c>
      <c r="F409" t="s">
        <v>33</v>
      </c>
      <c r="G409" t="s">
        <v>14</v>
      </c>
      <c r="H409">
        <v>121.12</v>
      </c>
      <c r="I409">
        <v>7820.27</v>
      </c>
      <c r="J409" t="s">
        <v>15</v>
      </c>
      <c r="K409" t="str">
        <f>IF(D409&lt;=12,"0-12 Months",IF(D409&lt;=24,"13-24 Months",IF(D409&lt;=48,"25-48 Months","49+ Months")))</f>
        <v>49+ Months</v>
      </c>
      <c r="L409">
        <f>IF(Table134[[#This Row],[Churn]]="Yes",1,0)</f>
        <v>0</v>
      </c>
    </row>
    <row r="410" spans="1:12" x14ac:dyDescent="0.35">
      <c r="A410" t="s">
        <v>432</v>
      </c>
      <c r="B410" t="s">
        <v>17</v>
      </c>
      <c r="C410">
        <v>70</v>
      </c>
      <c r="D410">
        <v>66</v>
      </c>
      <c r="E410" t="s">
        <v>12</v>
      </c>
      <c r="F410" t="s">
        <v>22</v>
      </c>
      <c r="G410" t="s">
        <v>23</v>
      </c>
      <c r="H410">
        <v>126.9</v>
      </c>
      <c r="I410">
        <v>8633.94</v>
      </c>
      <c r="J410" t="s">
        <v>15</v>
      </c>
      <c r="K410" t="str">
        <f>IF(D410&lt;=12,"0-12 Months",IF(D410&lt;=24,"13-24 Months",IF(D410&lt;=48,"25-48 Months","49+ Months")))</f>
        <v>49+ Months</v>
      </c>
      <c r="L410">
        <f>IF(Table134[[#This Row],[Churn]]="Yes",1,0)</f>
        <v>0</v>
      </c>
    </row>
    <row r="411" spans="1:12" x14ac:dyDescent="0.35">
      <c r="A411" t="s">
        <v>433</v>
      </c>
      <c r="B411" t="s">
        <v>17</v>
      </c>
      <c r="C411">
        <v>57</v>
      </c>
      <c r="D411">
        <v>64</v>
      </c>
      <c r="E411" t="s">
        <v>12</v>
      </c>
      <c r="F411" t="s">
        <v>13</v>
      </c>
      <c r="G411" t="s">
        <v>23</v>
      </c>
      <c r="H411">
        <v>137.36000000000001</v>
      </c>
      <c r="I411">
        <v>9446.01</v>
      </c>
      <c r="J411" t="s">
        <v>15</v>
      </c>
      <c r="K411" t="str">
        <f>IF(D411&lt;=12,"0-12 Months",IF(D411&lt;=24,"13-24 Months",IF(D411&lt;=48,"25-48 Months","49+ Months")))</f>
        <v>49+ Months</v>
      </c>
      <c r="L411">
        <f>IF(Table134[[#This Row],[Churn]]="Yes",1,0)</f>
        <v>0</v>
      </c>
    </row>
    <row r="412" spans="1:12" x14ac:dyDescent="0.35">
      <c r="A412" t="s">
        <v>434</v>
      </c>
      <c r="B412" t="s">
        <v>11</v>
      </c>
      <c r="C412">
        <v>57</v>
      </c>
      <c r="D412">
        <v>70</v>
      </c>
      <c r="E412" t="s">
        <v>12</v>
      </c>
      <c r="F412" t="s">
        <v>29</v>
      </c>
      <c r="G412" t="s">
        <v>23</v>
      </c>
      <c r="H412">
        <v>88.24</v>
      </c>
      <c r="I412">
        <v>5860.73</v>
      </c>
      <c r="J412" t="s">
        <v>15</v>
      </c>
      <c r="K412" t="str">
        <f>IF(D412&lt;=12,"0-12 Months",IF(D412&lt;=24,"13-24 Months",IF(D412&lt;=48,"25-48 Months","49+ Months")))</f>
        <v>49+ Months</v>
      </c>
      <c r="L412">
        <f>IF(Table134[[#This Row],[Churn]]="Yes",1,0)</f>
        <v>0</v>
      </c>
    </row>
    <row r="413" spans="1:12" x14ac:dyDescent="0.35">
      <c r="A413" t="s">
        <v>435</v>
      </c>
      <c r="B413" t="s">
        <v>17</v>
      </c>
      <c r="C413">
        <v>68</v>
      </c>
      <c r="D413">
        <v>63</v>
      </c>
      <c r="E413" t="s">
        <v>21</v>
      </c>
      <c r="F413" t="s">
        <v>13</v>
      </c>
      <c r="G413" t="s">
        <v>23</v>
      </c>
      <c r="H413">
        <v>78.66</v>
      </c>
      <c r="I413">
        <v>4906.13</v>
      </c>
      <c r="J413" t="s">
        <v>15</v>
      </c>
      <c r="K413" t="str">
        <f>IF(D413&lt;=12,"0-12 Months",IF(D413&lt;=24,"13-24 Months",IF(D413&lt;=48,"25-48 Months","49+ Months")))</f>
        <v>49+ Months</v>
      </c>
      <c r="L413">
        <f>IF(Table134[[#This Row],[Churn]]="Yes",1,0)</f>
        <v>0</v>
      </c>
    </row>
    <row r="414" spans="1:12" x14ac:dyDescent="0.35">
      <c r="A414" t="s">
        <v>436</v>
      </c>
      <c r="B414" t="s">
        <v>17</v>
      </c>
      <c r="C414">
        <v>56</v>
      </c>
      <c r="D414">
        <v>33</v>
      </c>
      <c r="E414" t="s">
        <v>12</v>
      </c>
      <c r="F414" t="s">
        <v>22</v>
      </c>
      <c r="G414" t="s">
        <v>23</v>
      </c>
      <c r="H414">
        <v>62.95</v>
      </c>
      <c r="I414">
        <v>2254.27</v>
      </c>
      <c r="J414" t="s">
        <v>27</v>
      </c>
      <c r="K414" t="str">
        <f>IF(D414&lt;=12,"0-12 Months",IF(D414&lt;=24,"13-24 Months",IF(D414&lt;=48,"25-48 Months","49+ Months")))</f>
        <v>25-48 Months</v>
      </c>
      <c r="L414">
        <f>IF(Table134[[#This Row],[Churn]]="Yes",1,0)</f>
        <v>1</v>
      </c>
    </row>
    <row r="415" spans="1:12" x14ac:dyDescent="0.35">
      <c r="A415" t="s">
        <v>437</v>
      </c>
      <c r="B415" t="s">
        <v>11</v>
      </c>
      <c r="C415">
        <v>68</v>
      </c>
      <c r="D415">
        <v>41</v>
      </c>
      <c r="E415" t="s">
        <v>21</v>
      </c>
      <c r="F415" t="s">
        <v>13</v>
      </c>
      <c r="G415" t="s">
        <v>23</v>
      </c>
      <c r="H415">
        <v>96.6</v>
      </c>
      <c r="I415">
        <v>4087.33</v>
      </c>
      <c r="J415" t="s">
        <v>15</v>
      </c>
      <c r="K415" t="str">
        <f>IF(D415&lt;=12,"0-12 Months",IF(D415&lt;=24,"13-24 Months",IF(D415&lt;=48,"25-48 Months","49+ Months")))</f>
        <v>25-48 Months</v>
      </c>
      <c r="L415">
        <f>IF(Table134[[#This Row],[Churn]]="Yes",1,0)</f>
        <v>0</v>
      </c>
    </row>
    <row r="416" spans="1:12" x14ac:dyDescent="0.35">
      <c r="A416" t="s">
        <v>438</v>
      </c>
      <c r="B416" t="s">
        <v>11</v>
      </c>
      <c r="C416">
        <v>23</v>
      </c>
      <c r="D416">
        <v>48</v>
      </c>
      <c r="E416" t="s">
        <v>18</v>
      </c>
      <c r="F416" t="s">
        <v>22</v>
      </c>
      <c r="G416" t="s">
        <v>19</v>
      </c>
      <c r="H416">
        <v>79.06</v>
      </c>
      <c r="I416">
        <v>3710.46</v>
      </c>
      <c r="J416" t="s">
        <v>15</v>
      </c>
      <c r="K416" t="str">
        <f>IF(D416&lt;=12,"0-12 Months",IF(D416&lt;=24,"13-24 Months",IF(D416&lt;=48,"25-48 Months","49+ Months")))</f>
        <v>25-48 Months</v>
      </c>
      <c r="L416">
        <f>IF(Table134[[#This Row],[Churn]]="Yes",1,0)</f>
        <v>0</v>
      </c>
    </row>
    <row r="417" spans="1:12" x14ac:dyDescent="0.35">
      <c r="A417" t="s">
        <v>439</v>
      </c>
      <c r="B417" t="s">
        <v>11</v>
      </c>
      <c r="C417">
        <v>23</v>
      </c>
      <c r="D417">
        <v>13</v>
      </c>
      <c r="E417" t="s">
        <v>12</v>
      </c>
      <c r="F417" t="s">
        <v>29</v>
      </c>
      <c r="G417" t="s">
        <v>19</v>
      </c>
      <c r="H417">
        <v>78.7</v>
      </c>
      <c r="I417">
        <v>947.68</v>
      </c>
      <c r="J417" t="s">
        <v>15</v>
      </c>
      <c r="K417" t="str">
        <f>IF(D417&lt;=12,"0-12 Months",IF(D417&lt;=24,"13-24 Months",IF(D417&lt;=48,"25-48 Months","49+ Months")))</f>
        <v>13-24 Months</v>
      </c>
      <c r="L417">
        <f>IF(Table134[[#This Row],[Churn]]="Yes",1,0)</f>
        <v>0</v>
      </c>
    </row>
    <row r="418" spans="1:12" x14ac:dyDescent="0.35">
      <c r="A418" t="s">
        <v>440</v>
      </c>
      <c r="B418" t="s">
        <v>11</v>
      </c>
      <c r="C418">
        <v>20</v>
      </c>
      <c r="D418">
        <v>31</v>
      </c>
      <c r="E418" t="s">
        <v>12</v>
      </c>
      <c r="F418" t="s">
        <v>22</v>
      </c>
      <c r="G418" t="s">
        <v>19</v>
      </c>
      <c r="H418">
        <v>141.80000000000001</v>
      </c>
      <c r="I418">
        <v>4186.99</v>
      </c>
      <c r="J418" t="s">
        <v>15</v>
      </c>
      <c r="K418" t="str">
        <f>IF(D418&lt;=12,"0-12 Months",IF(D418&lt;=24,"13-24 Months",IF(D418&lt;=48,"25-48 Months","49+ Months")))</f>
        <v>25-48 Months</v>
      </c>
      <c r="L418">
        <f>IF(Table134[[#This Row],[Churn]]="Yes",1,0)</f>
        <v>0</v>
      </c>
    </row>
    <row r="419" spans="1:12" x14ac:dyDescent="0.35">
      <c r="A419" t="s">
        <v>441</v>
      </c>
      <c r="B419" t="s">
        <v>17</v>
      </c>
      <c r="C419">
        <v>24</v>
      </c>
      <c r="D419">
        <v>68</v>
      </c>
      <c r="E419" t="s">
        <v>12</v>
      </c>
      <c r="F419" t="s">
        <v>33</v>
      </c>
      <c r="G419" t="s">
        <v>19</v>
      </c>
      <c r="H419">
        <v>147.91999999999999</v>
      </c>
      <c r="I419">
        <v>10221.94</v>
      </c>
      <c r="J419" t="s">
        <v>15</v>
      </c>
      <c r="K419" t="str">
        <f>IF(D419&lt;=12,"0-12 Months",IF(D419&lt;=24,"13-24 Months",IF(D419&lt;=48,"25-48 Months","49+ Months")))</f>
        <v>49+ Months</v>
      </c>
      <c r="L419">
        <f>IF(Table134[[#This Row],[Churn]]="Yes",1,0)</f>
        <v>0</v>
      </c>
    </row>
    <row r="420" spans="1:12" x14ac:dyDescent="0.35">
      <c r="A420" t="s">
        <v>442</v>
      </c>
      <c r="B420" t="s">
        <v>17</v>
      </c>
      <c r="C420">
        <v>68</v>
      </c>
      <c r="D420">
        <v>4</v>
      </c>
      <c r="E420" t="s">
        <v>12</v>
      </c>
      <c r="F420" t="s">
        <v>22</v>
      </c>
      <c r="G420" t="s">
        <v>23</v>
      </c>
      <c r="H420">
        <v>123.54</v>
      </c>
      <c r="I420">
        <v>515.72</v>
      </c>
      <c r="J420" t="s">
        <v>27</v>
      </c>
      <c r="K420" t="str">
        <f>IF(D420&lt;=12,"0-12 Months",IF(D420&lt;=24,"13-24 Months",IF(D420&lt;=48,"25-48 Months","49+ Months")))</f>
        <v>0-12 Months</v>
      </c>
      <c r="L420">
        <f>IF(Table134[[#This Row],[Churn]]="Yes",1,0)</f>
        <v>1</v>
      </c>
    </row>
    <row r="421" spans="1:12" x14ac:dyDescent="0.35">
      <c r="A421" t="s">
        <v>443</v>
      </c>
      <c r="B421" t="s">
        <v>17</v>
      </c>
      <c r="C421">
        <v>25</v>
      </c>
      <c r="D421">
        <v>19</v>
      </c>
      <c r="E421" t="s">
        <v>12</v>
      </c>
      <c r="F421" t="s">
        <v>33</v>
      </c>
      <c r="G421" t="s">
        <v>19</v>
      </c>
      <c r="H421">
        <v>118.38</v>
      </c>
      <c r="I421">
        <v>2080.27</v>
      </c>
      <c r="J421" t="s">
        <v>15</v>
      </c>
      <c r="K421" t="str">
        <f>IF(D421&lt;=12,"0-12 Months",IF(D421&lt;=24,"13-24 Months",IF(D421&lt;=48,"25-48 Months","49+ Months")))</f>
        <v>13-24 Months</v>
      </c>
      <c r="L421">
        <f>IF(Table134[[#This Row],[Churn]]="Yes",1,0)</f>
        <v>0</v>
      </c>
    </row>
    <row r="422" spans="1:12" x14ac:dyDescent="0.35">
      <c r="A422" t="s">
        <v>444</v>
      </c>
      <c r="B422" t="s">
        <v>17</v>
      </c>
      <c r="C422">
        <v>59</v>
      </c>
      <c r="D422">
        <v>70</v>
      </c>
      <c r="E422" t="s">
        <v>21</v>
      </c>
      <c r="F422" t="s">
        <v>33</v>
      </c>
      <c r="G422" t="s">
        <v>23</v>
      </c>
      <c r="H422">
        <v>108.47</v>
      </c>
      <c r="I422">
        <v>7744.15</v>
      </c>
      <c r="J422" t="s">
        <v>15</v>
      </c>
      <c r="K422" t="str">
        <f>IF(D422&lt;=12,"0-12 Months",IF(D422&lt;=24,"13-24 Months",IF(D422&lt;=48,"25-48 Months","49+ Months")))</f>
        <v>49+ Months</v>
      </c>
      <c r="L422">
        <f>IF(Table134[[#This Row],[Churn]]="Yes",1,0)</f>
        <v>0</v>
      </c>
    </row>
    <row r="423" spans="1:12" x14ac:dyDescent="0.35">
      <c r="A423" t="s">
        <v>445</v>
      </c>
      <c r="B423" t="s">
        <v>17</v>
      </c>
      <c r="C423">
        <v>69</v>
      </c>
      <c r="D423">
        <v>13</v>
      </c>
      <c r="E423" t="s">
        <v>21</v>
      </c>
      <c r="F423" t="s">
        <v>33</v>
      </c>
      <c r="G423" t="s">
        <v>23</v>
      </c>
      <c r="H423">
        <v>41.59</v>
      </c>
      <c r="I423">
        <v>546.11</v>
      </c>
      <c r="J423" t="s">
        <v>15</v>
      </c>
      <c r="K423" t="str">
        <f>IF(D423&lt;=12,"0-12 Months",IF(D423&lt;=24,"13-24 Months",IF(D423&lt;=48,"25-48 Months","49+ Months")))</f>
        <v>13-24 Months</v>
      </c>
      <c r="L423">
        <f>IF(Table134[[#This Row],[Churn]]="Yes",1,0)</f>
        <v>0</v>
      </c>
    </row>
    <row r="424" spans="1:12" x14ac:dyDescent="0.35">
      <c r="A424" t="s">
        <v>446</v>
      </c>
      <c r="B424" t="s">
        <v>17</v>
      </c>
      <c r="C424">
        <v>32</v>
      </c>
      <c r="D424">
        <v>23</v>
      </c>
      <c r="E424" t="s">
        <v>12</v>
      </c>
      <c r="F424" t="s">
        <v>33</v>
      </c>
      <c r="G424" t="s">
        <v>14</v>
      </c>
      <c r="H424">
        <v>27.68</v>
      </c>
      <c r="I424">
        <v>638.41999999999996</v>
      </c>
      <c r="J424" t="s">
        <v>15</v>
      </c>
      <c r="K424" t="str">
        <f>IF(D424&lt;=12,"0-12 Months",IF(D424&lt;=24,"13-24 Months",IF(D424&lt;=48,"25-48 Months","49+ Months")))</f>
        <v>13-24 Months</v>
      </c>
      <c r="L424">
        <f>IF(Table134[[#This Row],[Churn]]="Yes",1,0)</f>
        <v>0</v>
      </c>
    </row>
    <row r="425" spans="1:12" x14ac:dyDescent="0.35">
      <c r="A425" t="s">
        <v>447</v>
      </c>
      <c r="B425" t="s">
        <v>11</v>
      </c>
      <c r="C425">
        <v>64</v>
      </c>
      <c r="D425">
        <v>1</v>
      </c>
      <c r="E425" t="s">
        <v>18</v>
      </c>
      <c r="F425" t="s">
        <v>33</v>
      </c>
      <c r="G425" t="s">
        <v>23</v>
      </c>
      <c r="H425">
        <v>109.79</v>
      </c>
      <c r="I425">
        <v>113.96</v>
      </c>
      <c r="J425" t="s">
        <v>15</v>
      </c>
      <c r="K425" t="str">
        <f>IF(D425&lt;=12,"0-12 Months",IF(D425&lt;=24,"13-24 Months",IF(D425&lt;=48,"25-48 Months","49+ Months")))</f>
        <v>0-12 Months</v>
      </c>
      <c r="L425">
        <f>IF(Table134[[#This Row],[Churn]]="Yes",1,0)</f>
        <v>0</v>
      </c>
    </row>
    <row r="426" spans="1:12" x14ac:dyDescent="0.35">
      <c r="A426" t="s">
        <v>448</v>
      </c>
      <c r="B426" t="s">
        <v>17</v>
      </c>
      <c r="C426">
        <v>46</v>
      </c>
      <c r="D426">
        <v>54</v>
      </c>
      <c r="E426" t="s">
        <v>12</v>
      </c>
      <c r="F426" t="s">
        <v>22</v>
      </c>
      <c r="G426" t="s">
        <v>14</v>
      </c>
      <c r="H426">
        <v>114.74</v>
      </c>
      <c r="I426">
        <v>6614.12</v>
      </c>
      <c r="J426" t="s">
        <v>15</v>
      </c>
      <c r="K426" t="str">
        <f>IF(D426&lt;=12,"0-12 Months",IF(D426&lt;=24,"13-24 Months",IF(D426&lt;=48,"25-48 Months","49+ Months")))</f>
        <v>49+ Months</v>
      </c>
      <c r="L426">
        <f>IF(Table134[[#This Row],[Churn]]="Yes",1,0)</f>
        <v>0</v>
      </c>
    </row>
    <row r="427" spans="1:12" x14ac:dyDescent="0.35">
      <c r="A427" t="s">
        <v>449</v>
      </c>
      <c r="B427" t="s">
        <v>11</v>
      </c>
      <c r="C427">
        <v>50</v>
      </c>
      <c r="D427">
        <v>71</v>
      </c>
      <c r="E427" t="s">
        <v>18</v>
      </c>
      <c r="F427" t="s">
        <v>29</v>
      </c>
      <c r="G427" t="s">
        <v>23</v>
      </c>
      <c r="H427">
        <v>26.11</v>
      </c>
      <c r="I427">
        <v>1788.18</v>
      </c>
      <c r="J427" t="s">
        <v>27</v>
      </c>
      <c r="K427" t="str">
        <f>IF(D427&lt;=12,"0-12 Months",IF(D427&lt;=24,"13-24 Months",IF(D427&lt;=48,"25-48 Months","49+ Months")))</f>
        <v>49+ Months</v>
      </c>
      <c r="L427">
        <f>IF(Table134[[#This Row],[Churn]]="Yes",1,0)</f>
        <v>1</v>
      </c>
    </row>
    <row r="428" spans="1:12" x14ac:dyDescent="0.35">
      <c r="A428" t="s">
        <v>450</v>
      </c>
      <c r="B428" t="s">
        <v>11</v>
      </c>
      <c r="C428">
        <v>69</v>
      </c>
      <c r="D428">
        <v>15</v>
      </c>
      <c r="E428" t="s">
        <v>21</v>
      </c>
      <c r="F428" t="s">
        <v>13</v>
      </c>
      <c r="G428" t="s">
        <v>23</v>
      </c>
      <c r="H428">
        <v>140.65</v>
      </c>
      <c r="I428">
        <v>2273.89</v>
      </c>
      <c r="J428" t="s">
        <v>15</v>
      </c>
      <c r="K428" t="str">
        <f>IF(D428&lt;=12,"0-12 Months",IF(D428&lt;=24,"13-24 Months",IF(D428&lt;=48,"25-48 Months","49+ Months")))</f>
        <v>13-24 Months</v>
      </c>
      <c r="L428">
        <f>IF(Table134[[#This Row],[Churn]]="Yes",1,0)</f>
        <v>0</v>
      </c>
    </row>
    <row r="429" spans="1:12" x14ac:dyDescent="0.35">
      <c r="A429" t="s">
        <v>451</v>
      </c>
      <c r="B429" t="s">
        <v>17</v>
      </c>
      <c r="C429">
        <v>47</v>
      </c>
      <c r="D429">
        <v>65</v>
      </c>
      <c r="E429" t="s">
        <v>21</v>
      </c>
      <c r="F429" t="s">
        <v>13</v>
      </c>
      <c r="G429" t="s">
        <v>14</v>
      </c>
      <c r="H429">
        <v>31.85</v>
      </c>
      <c r="I429">
        <v>1929.74</v>
      </c>
      <c r="J429" t="s">
        <v>15</v>
      </c>
      <c r="K429" t="str">
        <f>IF(D429&lt;=12,"0-12 Months",IF(D429&lt;=24,"13-24 Months",IF(D429&lt;=48,"25-48 Months","49+ Months")))</f>
        <v>49+ Months</v>
      </c>
      <c r="L429">
        <f>IF(Table134[[#This Row],[Churn]]="Yes",1,0)</f>
        <v>0</v>
      </c>
    </row>
    <row r="430" spans="1:12" x14ac:dyDescent="0.35">
      <c r="A430" t="s">
        <v>452</v>
      </c>
      <c r="B430" t="s">
        <v>11</v>
      </c>
      <c r="C430">
        <v>56</v>
      </c>
      <c r="D430">
        <v>71</v>
      </c>
      <c r="E430" t="s">
        <v>12</v>
      </c>
      <c r="F430" t="s">
        <v>29</v>
      </c>
      <c r="G430" t="s">
        <v>23</v>
      </c>
      <c r="H430">
        <v>57.17</v>
      </c>
      <c r="I430">
        <v>3793.63</v>
      </c>
      <c r="J430" t="s">
        <v>15</v>
      </c>
      <c r="K430" t="str">
        <f>IF(D430&lt;=12,"0-12 Months",IF(D430&lt;=24,"13-24 Months",IF(D430&lt;=48,"25-48 Months","49+ Months")))</f>
        <v>49+ Months</v>
      </c>
      <c r="L430">
        <f>IF(Table134[[#This Row],[Churn]]="Yes",1,0)</f>
        <v>0</v>
      </c>
    </row>
    <row r="431" spans="1:12" x14ac:dyDescent="0.35">
      <c r="A431" t="s">
        <v>453</v>
      </c>
      <c r="B431" t="s">
        <v>17</v>
      </c>
      <c r="C431">
        <v>44</v>
      </c>
      <c r="D431">
        <v>15</v>
      </c>
      <c r="E431" t="s">
        <v>12</v>
      </c>
      <c r="F431" t="s">
        <v>29</v>
      </c>
      <c r="G431" t="s">
        <v>14</v>
      </c>
      <c r="H431">
        <v>107.41</v>
      </c>
      <c r="I431">
        <v>1536</v>
      </c>
      <c r="J431" t="s">
        <v>27</v>
      </c>
      <c r="K431" t="str">
        <f>IF(D431&lt;=12,"0-12 Months",IF(D431&lt;=24,"13-24 Months",IF(D431&lt;=48,"25-48 Months","49+ Months")))</f>
        <v>13-24 Months</v>
      </c>
      <c r="L431">
        <f>IF(Table134[[#This Row],[Churn]]="Yes",1,0)</f>
        <v>1</v>
      </c>
    </row>
    <row r="432" spans="1:12" x14ac:dyDescent="0.35">
      <c r="A432" t="s">
        <v>454</v>
      </c>
      <c r="B432" t="s">
        <v>11</v>
      </c>
      <c r="C432">
        <v>53</v>
      </c>
      <c r="D432">
        <v>21</v>
      </c>
      <c r="E432" t="s">
        <v>18</v>
      </c>
      <c r="F432" t="s">
        <v>33</v>
      </c>
      <c r="G432" t="s">
        <v>23</v>
      </c>
      <c r="H432">
        <v>42.08</v>
      </c>
      <c r="I432">
        <v>816.44</v>
      </c>
      <c r="J432" t="s">
        <v>15</v>
      </c>
      <c r="K432" t="str">
        <f>IF(D432&lt;=12,"0-12 Months",IF(D432&lt;=24,"13-24 Months",IF(D432&lt;=48,"25-48 Months","49+ Months")))</f>
        <v>13-24 Months</v>
      </c>
      <c r="L432">
        <f>IF(Table134[[#This Row],[Churn]]="Yes",1,0)</f>
        <v>0</v>
      </c>
    </row>
    <row r="433" spans="1:12" x14ac:dyDescent="0.35">
      <c r="A433" t="s">
        <v>455</v>
      </c>
      <c r="B433" t="s">
        <v>17</v>
      </c>
      <c r="C433">
        <v>46</v>
      </c>
      <c r="D433">
        <v>19</v>
      </c>
      <c r="E433" t="s">
        <v>12</v>
      </c>
      <c r="F433" t="s">
        <v>33</v>
      </c>
      <c r="G433" t="s">
        <v>14</v>
      </c>
      <c r="H433">
        <v>27.2</v>
      </c>
      <c r="I433">
        <v>488.93</v>
      </c>
      <c r="J433" t="s">
        <v>27</v>
      </c>
      <c r="K433" t="str">
        <f>IF(D433&lt;=12,"0-12 Months",IF(D433&lt;=24,"13-24 Months",IF(D433&lt;=48,"25-48 Months","49+ Months")))</f>
        <v>13-24 Months</v>
      </c>
      <c r="L433">
        <f>IF(Table134[[#This Row],[Churn]]="Yes",1,0)</f>
        <v>1</v>
      </c>
    </row>
    <row r="434" spans="1:12" x14ac:dyDescent="0.35">
      <c r="A434" t="s">
        <v>456</v>
      </c>
      <c r="B434" t="s">
        <v>11</v>
      </c>
      <c r="C434">
        <v>55</v>
      </c>
      <c r="D434">
        <v>60</v>
      </c>
      <c r="E434" t="s">
        <v>18</v>
      </c>
      <c r="F434" t="s">
        <v>33</v>
      </c>
      <c r="G434" t="s">
        <v>23</v>
      </c>
      <c r="H434">
        <v>63.05</v>
      </c>
      <c r="I434">
        <v>3485.21</v>
      </c>
      <c r="J434" t="s">
        <v>27</v>
      </c>
      <c r="K434" t="str">
        <f>IF(D434&lt;=12,"0-12 Months",IF(D434&lt;=24,"13-24 Months",IF(D434&lt;=48,"25-48 Months","49+ Months")))</f>
        <v>49+ Months</v>
      </c>
      <c r="L434">
        <f>IF(Table134[[#This Row],[Churn]]="Yes",1,0)</f>
        <v>1</v>
      </c>
    </row>
    <row r="435" spans="1:12" x14ac:dyDescent="0.35">
      <c r="A435" t="s">
        <v>457</v>
      </c>
      <c r="B435" t="s">
        <v>17</v>
      </c>
      <c r="C435">
        <v>50</v>
      </c>
      <c r="D435">
        <v>33</v>
      </c>
      <c r="E435" t="s">
        <v>12</v>
      </c>
      <c r="F435" t="s">
        <v>13</v>
      </c>
      <c r="G435" t="s">
        <v>23</v>
      </c>
      <c r="H435">
        <v>119.58</v>
      </c>
      <c r="I435">
        <v>4200.08</v>
      </c>
      <c r="J435" t="s">
        <v>27</v>
      </c>
      <c r="K435" t="str">
        <f>IF(D435&lt;=12,"0-12 Months",IF(D435&lt;=24,"13-24 Months",IF(D435&lt;=48,"25-48 Months","49+ Months")))</f>
        <v>25-48 Months</v>
      </c>
      <c r="L435">
        <f>IF(Table134[[#This Row],[Churn]]="Yes",1,0)</f>
        <v>1</v>
      </c>
    </row>
    <row r="436" spans="1:12" x14ac:dyDescent="0.35">
      <c r="A436" t="s">
        <v>458</v>
      </c>
      <c r="B436" t="s">
        <v>17</v>
      </c>
      <c r="C436">
        <v>54</v>
      </c>
      <c r="D436">
        <v>49</v>
      </c>
      <c r="E436" t="s">
        <v>12</v>
      </c>
      <c r="F436" t="s">
        <v>29</v>
      </c>
      <c r="G436" t="s">
        <v>23</v>
      </c>
      <c r="H436">
        <v>73.78</v>
      </c>
      <c r="I436">
        <v>3354.18</v>
      </c>
      <c r="J436" t="s">
        <v>15</v>
      </c>
      <c r="K436" t="str">
        <f>IF(D436&lt;=12,"0-12 Months",IF(D436&lt;=24,"13-24 Months",IF(D436&lt;=48,"25-48 Months","49+ Months")))</f>
        <v>49+ Months</v>
      </c>
      <c r="L436">
        <f>IF(Table134[[#This Row],[Churn]]="Yes",1,0)</f>
        <v>0</v>
      </c>
    </row>
    <row r="437" spans="1:12" x14ac:dyDescent="0.35">
      <c r="A437" t="s">
        <v>459</v>
      </c>
      <c r="B437" t="s">
        <v>17</v>
      </c>
      <c r="C437">
        <v>44</v>
      </c>
      <c r="D437">
        <v>35</v>
      </c>
      <c r="E437" t="s">
        <v>12</v>
      </c>
      <c r="F437" t="s">
        <v>29</v>
      </c>
      <c r="G437" t="s">
        <v>14</v>
      </c>
      <c r="H437">
        <v>104.89</v>
      </c>
      <c r="I437">
        <v>3852.72</v>
      </c>
      <c r="J437" t="s">
        <v>15</v>
      </c>
      <c r="K437" t="str">
        <f>IF(D437&lt;=12,"0-12 Months",IF(D437&lt;=24,"13-24 Months",IF(D437&lt;=48,"25-48 Months","49+ Months")))</f>
        <v>25-48 Months</v>
      </c>
      <c r="L437">
        <f>IF(Table134[[#This Row],[Churn]]="Yes",1,0)</f>
        <v>0</v>
      </c>
    </row>
    <row r="438" spans="1:12" x14ac:dyDescent="0.35">
      <c r="A438" t="s">
        <v>460</v>
      </c>
      <c r="B438" t="s">
        <v>17</v>
      </c>
      <c r="C438">
        <v>50</v>
      </c>
      <c r="D438">
        <v>44</v>
      </c>
      <c r="E438" t="s">
        <v>12</v>
      </c>
      <c r="F438" t="s">
        <v>29</v>
      </c>
      <c r="G438" t="s">
        <v>23</v>
      </c>
      <c r="H438">
        <v>95.35</v>
      </c>
      <c r="I438">
        <v>3816.06</v>
      </c>
      <c r="J438" t="s">
        <v>15</v>
      </c>
      <c r="K438" t="str">
        <f>IF(D438&lt;=12,"0-12 Months",IF(D438&lt;=24,"13-24 Months",IF(D438&lt;=48,"25-48 Months","49+ Months")))</f>
        <v>25-48 Months</v>
      </c>
      <c r="L438">
        <f>IF(Table134[[#This Row],[Churn]]="Yes",1,0)</f>
        <v>0</v>
      </c>
    </row>
    <row r="439" spans="1:12" x14ac:dyDescent="0.35">
      <c r="A439" t="s">
        <v>461</v>
      </c>
      <c r="B439" t="s">
        <v>17</v>
      </c>
      <c r="C439">
        <v>21</v>
      </c>
      <c r="D439">
        <v>11</v>
      </c>
      <c r="E439" t="s">
        <v>18</v>
      </c>
      <c r="F439" t="s">
        <v>29</v>
      </c>
      <c r="G439" t="s">
        <v>19</v>
      </c>
      <c r="H439">
        <v>22.89</v>
      </c>
      <c r="I439">
        <v>274.38</v>
      </c>
      <c r="J439" t="s">
        <v>15</v>
      </c>
      <c r="K439" t="str">
        <f>IF(D439&lt;=12,"0-12 Months",IF(D439&lt;=24,"13-24 Months",IF(D439&lt;=48,"25-48 Months","49+ Months")))</f>
        <v>0-12 Months</v>
      </c>
      <c r="L439">
        <f>IF(Table134[[#This Row],[Churn]]="Yes",1,0)</f>
        <v>0</v>
      </c>
    </row>
    <row r="440" spans="1:12" x14ac:dyDescent="0.35">
      <c r="A440" t="s">
        <v>462</v>
      </c>
      <c r="B440" t="s">
        <v>11</v>
      </c>
      <c r="C440">
        <v>39</v>
      </c>
      <c r="D440">
        <v>72</v>
      </c>
      <c r="E440" t="s">
        <v>12</v>
      </c>
      <c r="F440" t="s">
        <v>29</v>
      </c>
      <c r="G440" t="s">
        <v>14</v>
      </c>
      <c r="H440">
        <v>148.51</v>
      </c>
      <c r="I440">
        <v>11144.3</v>
      </c>
      <c r="J440" t="s">
        <v>27</v>
      </c>
      <c r="K440" t="str">
        <f>IF(D440&lt;=12,"0-12 Months",IF(D440&lt;=24,"13-24 Months",IF(D440&lt;=48,"25-48 Months","49+ Months")))</f>
        <v>49+ Months</v>
      </c>
      <c r="L440">
        <f>IF(Table134[[#This Row],[Churn]]="Yes",1,0)</f>
        <v>1</v>
      </c>
    </row>
    <row r="441" spans="1:12" x14ac:dyDescent="0.35">
      <c r="A441" t="s">
        <v>463</v>
      </c>
      <c r="B441" t="s">
        <v>11</v>
      </c>
      <c r="C441">
        <v>19</v>
      </c>
      <c r="D441">
        <v>66</v>
      </c>
      <c r="E441" t="s">
        <v>12</v>
      </c>
      <c r="F441" t="s">
        <v>33</v>
      </c>
      <c r="G441" t="s">
        <v>19</v>
      </c>
      <c r="H441">
        <v>25.39</v>
      </c>
      <c r="I441">
        <v>1510.44</v>
      </c>
      <c r="J441" t="s">
        <v>15</v>
      </c>
      <c r="K441" t="str">
        <f>IF(D441&lt;=12,"0-12 Months",IF(D441&lt;=24,"13-24 Months",IF(D441&lt;=48,"25-48 Months","49+ Months")))</f>
        <v>49+ Months</v>
      </c>
      <c r="L441">
        <f>IF(Table134[[#This Row],[Churn]]="Yes",1,0)</f>
        <v>0</v>
      </c>
    </row>
    <row r="442" spans="1:12" x14ac:dyDescent="0.35">
      <c r="A442" t="s">
        <v>464</v>
      </c>
      <c r="B442" t="s">
        <v>11</v>
      </c>
      <c r="C442">
        <v>27</v>
      </c>
      <c r="D442">
        <v>46</v>
      </c>
      <c r="E442" t="s">
        <v>12</v>
      </c>
      <c r="F442" t="s">
        <v>22</v>
      </c>
      <c r="G442" t="s">
        <v>19</v>
      </c>
      <c r="H442">
        <v>145.81</v>
      </c>
      <c r="I442">
        <v>7061.21</v>
      </c>
      <c r="J442" t="s">
        <v>27</v>
      </c>
      <c r="K442" t="str">
        <f>IF(D442&lt;=12,"0-12 Months",IF(D442&lt;=24,"13-24 Months",IF(D442&lt;=48,"25-48 Months","49+ Months")))</f>
        <v>25-48 Months</v>
      </c>
      <c r="L442">
        <f>IF(Table134[[#This Row],[Churn]]="Yes",1,0)</f>
        <v>1</v>
      </c>
    </row>
    <row r="443" spans="1:12" x14ac:dyDescent="0.35">
      <c r="A443" t="s">
        <v>465</v>
      </c>
      <c r="B443" t="s">
        <v>17</v>
      </c>
      <c r="C443">
        <v>22</v>
      </c>
      <c r="D443">
        <v>9</v>
      </c>
      <c r="E443" t="s">
        <v>12</v>
      </c>
      <c r="F443" t="s">
        <v>29</v>
      </c>
      <c r="G443" t="s">
        <v>19</v>
      </c>
      <c r="H443">
        <v>91.48</v>
      </c>
      <c r="I443">
        <v>825.64</v>
      </c>
      <c r="J443" t="s">
        <v>27</v>
      </c>
      <c r="K443" t="str">
        <f>IF(D443&lt;=12,"0-12 Months",IF(D443&lt;=24,"13-24 Months",IF(D443&lt;=48,"25-48 Months","49+ Months")))</f>
        <v>0-12 Months</v>
      </c>
      <c r="L443">
        <f>IF(Table134[[#This Row],[Churn]]="Yes",1,0)</f>
        <v>1</v>
      </c>
    </row>
    <row r="444" spans="1:12" x14ac:dyDescent="0.35">
      <c r="A444" t="s">
        <v>466</v>
      </c>
      <c r="B444" t="s">
        <v>11</v>
      </c>
      <c r="C444">
        <v>27</v>
      </c>
      <c r="D444">
        <v>3</v>
      </c>
      <c r="E444" t="s">
        <v>12</v>
      </c>
      <c r="F444" t="s">
        <v>29</v>
      </c>
      <c r="G444" t="s">
        <v>19</v>
      </c>
      <c r="H444">
        <v>145.21</v>
      </c>
      <c r="I444">
        <v>459.97</v>
      </c>
      <c r="J444" t="s">
        <v>15</v>
      </c>
      <c r="K444" t="str">
        <f>IF(D444&lt;=12,"0-12 Months",IF(D444&lt;=24,"13-24 Months",IF(D444&lt;=48,"25-48 Months","49+ Months")))</f>
        <v>0-12 Months</v>
      </c>
      <c r="L444">
        <f>IF(Table134[[#This Row],[Churn]]="Yes",1,0)</f>
        <v>0</v>
      </c>
    </row>
    <row r="445" spans="1:12" x14ac:dyDescent="0.35">
      <c r="A445" t="s">
        <v>467</v>
      </c>
      <c r="B445" t="s">
        <v>17</v>
      </c>
      <c r="C445">
        <v>50</v>
      </c>
      <c r="D445">
        <v>26</v>
      </c>
      <c r="E445" t="s">
        <v>12</v>
      </c>
      <c r="F445" t="s">
        <v>13</v>
      </c>
      <c r="G445" t="s">
        <v>23</v>
      </c>
      <c r="H445">
        <v>34.92</v>
      </c>
      <c r="I445">
        <v>912.01</v>
      </c>
      <c r="J445" t="s">
        <v>27</v>
      </c>
      <c r="K445" t="str">
        <f>IF(D445&lt;=12,"0-12 Months",IF(D445&lt;=24,"13-24 Months",IF(D445&lt;=48,"25-48 Months","49+ Months")))</f>
        <v>25-48 Months</v>
      </c>
      <c r="L445">
        <f>IF(Table134[[#This Row],[Churn]]="Yes",1,0)</f>
        <v>1</v>
      </c>
    </row>
    <row r="446" spans="1:12" x14ac:dyDescent="0.35">
      <c r="A446" t="s">
        <v>468</v>
      </c>
      <c r="B446" t="s">
        <v>17</v>
      </c>
      <c r="C446">
        <v>55</v>
      </c>
      <c r="D446">
        <v>72</v>
      </c>
      <c r="E446" t="s">
        <v>18</v>
      </c>
      <c r="F446" t="s">
        <v>29</v>
      </c>
      <c r="G446" t="s">
        <v>23</v>
      </c>
      <c r="H446">
        <v>83.07</v>
      </c>
      <c r="I446">
        <v>6200.08</v>
      </c>
      <c r="J446" t="s">
        <v>15</v>
      </c>
      <c r="K446" t="str">
        <f>IF(D446&lt;=12,"0-12 Months",IF(D446&lt;=24,"13-24 Months",IF(D446&lt;=48,"25-48 Months","49+ Months")))</f>
        <v>49+ Months</v>
      </c>
      <c r="L446">
        <f>IF(Table134[[#This Row],[Churn]]="Yes",1,0)</f>
        <v>0</v>
      </c>
    </row>
    <row r="447" spans="1:12" x14ac:dyDescent="0.35">
      <c r="A447" t="s">
        <v>469</v>
      </c>
      <c r="B447" t="s">
        <v>11</v>
      </c>
      <c r="C447">
        <v>30</v>
      </c>
      <c r="D447">
        <v>48</v>
      </c>
      <c r="E447" t="s">
        <v>12</v>
      </c>
      <c r="F447" t="s">
        <v>33</v>
      </c>
      <c r="G447" t="s">
        <v>14</v>
      </c>
      <c r="H447">
        <v>42.04</v>
      </c>
      <c r="I447">
        <v>2133.48</v>
      </c>
      <c r="J447" t="s">
        <v>15</v>
      </c>
      <c r="K447" t="str">
        <f>IF(D447&lt;=12,"0-12 Months",IF(D447&lt;=24,"13-24 Months",IF(D447&lt;=48,"25-48 Months","49+ Months")))</f>
        <v>25-48 Months</v>
      </c>
      <c r="L447">
        <f>IF(Table134[[#This Row],[Churn]]="Yes",1,0)</f>
        <v>0</v>
      </c>
    </row>
    <row r="448" spans="1:12" x14ac:dyDescent="0.35">
      <c r="A448" t="s">
        <v>470</v>
      </c>
      <c r="B448" t="s">
        <v>11</v>
      </c>
      <c r="C448">
        <v>48</v>
      </c>
      <c r="D448">
        <v>66</v>
      </c>
      <c r="E448" t="s">
        <v>12</v>
      </c>
      <c r="F448" t="s">
        <v>13</v>
      </c>
      <c r="G448" t="s">
        <v>14</v>
      </c>
      <c r="H448">
        <v>26.63</v>
      </c>
      <c r="I448">
        <v>1724.22</v>
      </c>
      <c r="J448" t="s">
        <v>15</v>
      </c>
      <c r="K448" t="str">
        <f>IF(D448&lt;=12,"0-12 Months",IF(D448&lt;=24,"13-24 Months",IF(D448&lt;=48,"25-48 Months","49+ Months")))</f>
        <v>49+ Months</v>
      </c>
      <c r="L448">
        <f>IF(Table134[[#This Row],[Churn]]="Yes",1,0)</f>
        <v>0</v>
      </c>
    </row>
    <row r="449" spans="1:12" x14ac:dyDescent="0.35">
      <c r="A449" t="s">
        <v>471</v>
      </c>
      <c r="B449" t="s">
        <v>17</v>
      </c>
      <c r="C449">
        <v>64</v>
      </c>
      <c r="D449">
        <v>70</v>
      </c>
      <c r="E449" t="s">
        <v>12</v>
      </c>
      <c r="F449" t="s">
        <v>13</v>
      </c>
      <c r="G449" t="s">
        <v>23</v>
      </c>
      <c r="H449">
        <v>100.28</v>
      </c>
      <c r="I449">
        <v>6321.44</v>
      </c>
      <c r="J449" t="s">
        <v>15</v>
      </c>
      <c r="K449" t="str">
        <f>IF(D449&lt;=12,"0-12 Months",IF(D449&lt;=24,"13-24 Months",IF(D449&lt;=48,"25-48 Months","49+ Months")))</f>
        <v>49+ Months</v>
      </c>
      <c r="L449">
        <f>IF(Table134[[#This Row],[Churn]]="Yes",1,0)</f>
        <v>0</v>
      </c>
    </row>
    <row r="450" spans="1:12" x14ac:dyDescent="0.35">
      <c r="A450" t="s">
        <v>472</v>
      </c>
      <c r="B450" t="s">
        <v>11</v>
      </c>
      <c r="C450">
        <v>53</v>
      </c>
      <c r="D450">
        <v>28</v>
      </c>
      <c r="E450" t="s">
        <v>12</v>
      </c>
      <c r="F450" t="s">
        <v>13</v>
      </c>
      <c r="G450" t="s">
        <v>23</v>
      </c>
      <c r="H450">
        <v>47.01</v>
      </c>
      <c r="I450">
        <v>1408.41</v>
      </c>
      <c r="J450" t="s">
        <v>27</v>
      </c>
      <c r="K450" t="str">
        <f>IF(D450&lt;=12,"0-12 Months",IF(D450&lt;=24,"13-24 Months",IF(D450&lt;=48,"25-48 Months","49+ Months")))</f>
        <v>25-48 Months</v>
      </c>
      <c r="L450">
        <f>IF(Table134[[#This Row],[Churn]]="Yes",1,0)</f>
        <v>1</v>
      </c>
    </row>
    <row r="451" spans="1:12" x14ac:dyDescent="0.35">
      <c r="A451" t="s">
        <v>473</v>
      </c>
      <c r="B451" t="s">
        <v>17</v>
      </c>
      <c r="C451">
        <v>62</v>
      </c>
      <c r="D451">
        <v>26</v>
      </c>
      <c r="E451" t="s">
        <v>18</v>
      </c>
      <c r="F451" t="s">
        <v>29</v>
      </c>
      <c r="G451" t="s">
        <v>23</v>
      </c>
      <c r="H451">
        <v>96.4</v>
      </c>
      <c r="I451">
        <v>2446.69</v>
      </c>
      <c r="J451" t="s">
        <v>15</v>
      </c>
      <c r="K451" t="str">
        <f>IF(D451&lt;=12,"0-12 Months",IF(D451&lt;=24,"13-24 Months",IF(D451&lt;=48,"25-48 Months","49+ Months")))</f>
        <v>25-48 Months</v>
      </c>
      <c r="L451">
        <f>IF(Table134[[#This Row],[Churn]]="Yes",1,0)</f>
        <v>0</v>
      </c>
    </row>
    <row r="452" spans="1:12" x14ac:dyDescent="0.35">
      <c r="A452" t="s">
        <v>474</v>
      </c>
      <c r="B452" t="s">
        <v>17</v>
      </c>
      <c r="C452">
        <v>41</v>
      </c>
      <c r="D452">
        <v>25</v>
      </c>
      <c r="E452" t="s">
        <v>12</v>
      </c>
      <c r="F452" t="s">
        <v>22</v>
      </c>
      <c r="G452" t="s">
        <v>14</v>
      </c>
      <c r="H452">
        <v>34.61</v>
      </c>
      <c r="I452">
        <v>864.57</v>
      </c>
      <c r="J452" t="s">
        <v>15</v>
      </c>
      <c r="K452" t="str">
        <f>IF(D452&lt;=12,"0-12 Months",IF(D452&lt;=24,"13-24 Months",IF(D452&lt;=48,"25-48 Months","49+ Months")))</f>
        <v>25-48 Months</v>
      </c>
      <c r="L452">
        <f>IF(Table134[[#This Row],[Churn]]="Yes",1,0)</f>
        <v>0</v>
      </c>
    </row>
    <row r="453" spans="1:12" x14ac:dyDescent="0.35">
      <c r="A453" t="s">
        <v>475</v>
      </c>
      <c r="B453" t="s">
        <v>17</v>
      </c>
      <c r="C453">
        <v>69</v>
      </c>
      <c r="D453">
        <v>12</v>
      </c>
      <c r="E453" t="s">
        <v>12</v>
      </c>
      <c r="F453" t="s">
        <v>22</v>
      </c>
      <c r="G453" t="s">
        <v>23</v>
      </c>
      <c r="H453">
        <v>63.16</v>
      </c>
      <c r="I453">
        <v>683.31</v>
      </c>
      <c r="J453" t="s">
        <v>15</v>
      </c>
      <c r="K453" t="str">
        <f>IF(D453&lt;=12,"0-12 Months",IF(D453&lt;=24,"13-24 Months",IF(D453&lt;=48,"25-48 Months","49+ Months")))</f>
        <v>0-12 Months</v>
      </c>
      <c r="L453">
        <f>IF(Table134[[#This Row],[Churn]]="Yes",1,0)</f>
        <v>0</v>
      </c>
    </row>
    <row r="454" spans="1:12" x14ac:dyDescent="0.35">
      <c r="A454" t="s">
        <v>476</v>
      </c>
      <c r="B454" t="s">
        <v>17</v>
      </c>
      <c r="C454">
        <v>32</v>
      </c>
      <c r="D454">
        <v>5</v>
      </c>
      <c r="E454" t="s">
        <v>21</v>
      </c>
      <c r="F454" t="s">
        <v>22</v>
      </c>
      <c r="G454" t="s">
        <v>14</v>
      </c>
      <c r="H454">
        <v>121.61</v>
      </c>
      <c r="I454">
        <v>607.09</v>
      </c>
      <c r="J454" t="s">
        <v>27</v>
      </c>
      <c r="K454" t="str">
        <f>IF(D454&lt;=12,"0-12 Months",IF(D454&lt;=24,"13-24 Months",IF(D454&lt;=48,"25-48 Months","49+ Months")))</f>
        <v>0-12 Months</v>
      </c>
      <c r="L454">
        <f>IF(Table134[[#This Row],[Churn]]="Yes",1,0)</f>
        <v>1</v>
      </c>
    </row>
    <row r="455" spans="1:12" x14ac:dyDescent="0.35">
      <c r="A455" t="s">
        <v>477</v>
      </c>
      <c r="B455" t="s">
        <v>17</v>
      </c>
      <c r="C455">
        <v>46</v>
      </c>
      <c r="D455">
        <v>48</v>
      </c>
      <c r="E455" t="s">
        <v>12</v>
      </c>
      <c r="F455" t="s">
        <v>29</v>
      </c>
      <c r="G455" t="s">
        <v>14</v>
      </c>
      <c r="H455">
        <v>76.819999999999993</v>
      </c>
      <c r="I455">
        <v>4046.13</v>
      </c>
      <c r="J455" t="s">
        <v>15</v>
      </c>
      <c r="K455" t="str">
        <f>IF(D455&lt;=12,"0-12 Months",IF(D455&lt;=24,"13-24 Months",IF(D455&lt;=48,"25-48 Months","49+ Months")))</f>
        <v>25-48 Months</v>
      </c>
      <c r="L455">
        <f>IF(Table134[[#This Row],[Churn]]="Yes",1,0)</f>
        <v>0</v>
      </c>
    </row>
    <row r="456" spans="1:12" x14ac:dyDescent="0.35">
      <c r="A456" t="s">
        <v>478</v>
      </c>
      <c r="B456" t="s">
        <v>11</v>
      </c>
      <c r="C456">
        <v>25</v>
      </c>
      <c r="D456">
        <v>37</v>
      </c>
      <c r="E456" t="s">
        <v>12</v>
      </c>
      <c r="F456" t="s">
        <v>1024</v>
      </c>
      <c r="G456" t="s">
        <v>19</v>
      </c>
      <c r="H456">
        <v>101.61</v>
      </c>
      <c r="I456">
        <v>3592.85</v>
      </c>
      <c r="J456" t="s">
        <v>15</v>
      </c>
      <c r="K456" t="str">
        <f>IF(D456&lt;=12,"0-12 Months",IF(D456&lt;=24,"13-24 Months",IF(D456&lt;=48,"25-48 Months","49+ Months")))</f>
        <v>25-48 Months</v>
      </c>
      <c r="L456">
        <f>IF(Table134[[#This Row],[Churn]]="Yes",1,0)</f>
        <v>0</v>
      </c>
    </row>
    <row r="457" spans="1:12" x14ac:dyDescent="0.35">
      <c r="A457" t="s">
        <v>479</v>
      </c>
      <c r="B457" t="s">
        <v>11</v>
      </c>
      <c r="C457">
        <v>22</v>
      </c>
      <c r="D457">
        <v>44</v>
      </c>
      <c r="E457" t="s">
        <v>18</v>
      </c>
      <c r="F457" t="s">
        <v>13</v>
      </c>
      <c r="G457" t="s">
        <v>19</v>
      </c>
      <c r="H457">
        <v>104.17</v>
      </c>
      <c r="I457">
        <v>4487.6099999999997</v>
      </c>
      <c r="J457" t="s">
        <v>15</v>
      </c>
      <c r="K457" t="str">
        <f>IF(D457&lt;=12,"0-12 Months",IF(D457&lt;=24,"13-24 Months",IF(D457&lt;=48,"25-48 Months","49+ Months")))</f>
        <v>25-48 Months</v>
      </c>
      <c r="L457">
        <f>IF(Table134[[#This Row],[Churn]]="Yes",1,0)</f>
        <v>0</v>
      </c>
    </row>
    <row r="458" spans="1:12" x14ac:dyDescent="0.35">
      <c r="A458" t="s">
        <v>480</v>
      </c>
      <c r="B458" t="s">
        <v>17</v>
      </c>
      <c r="C458">
        <v>46</v>
      </c>
      <c r="D458">
        <v>15</v>
      </c>
      <c r="E458" t="s">
        <v>21</v>
      </c>
      <c r="F458" t="s">
        <v>33</v>
      </c>
      <c r="G458" t="s">
        <v>14</v>
      </c>
      <c r="H458">
        <v>129.69</v>
      </c>
      <c r="I458">
        <v>2018.18</v>
      </c>
      <c r="J458" t="s">
        <v>15</v>
      </c>
      <c r="K458" t="str">
        <f>IF(D458&lt;=12,"0-12 Months",IF(D458&lt;=24,"13-24 Months",IF(D458&lt;=48,"25-48 Months","49+ Months")))</f>
        <v>13-24 Months</v>
      </c>
      <c r="L458">
        <f>IF(Table134[[#This Row],[Churn]]="Yes",1,0)</f>
        <v>0</v>
      </c>
    </row>
    <row r="459" spans="1:12" x14ac:dyDescent="0.35">
      <c r="A459" t="s">
        <v>481</v>
      </c>
      <c r="B459" t="s">
        <v>17</v>
      </c>
      <c r="C459">
        <v>64</v>
      </c>
      <c r="D459">
        <v>43</v>
      </c>
      <c r="E459" t="s">
        <v>18</v>
      </c>
      <c r="F459" t="s">
        <v>13</v>
      </c>
      <c r="G459" t="s">
        <v>23</v>
      </c>
      <c r="H459">
        <v>62.24</v>
      </c>
      <c r="I459">
        <v>2844.82</v>
      </c>
      <c r="J459" t="s">
        <v>15</v>
      </c>
      <c r="K459" t="str">
        <f>IF(D459&lt;=12,"0-12 Months",IF(D459&lt;=24,"13-24 Months",IF(D459&lt;=48,"25-48 Months","49+ Months")))</f>
        <v>25-48 Months</v>
      </c>
      <c r="L459">
        <f>IF(Table134[[#This Row],[Churn]]="Yes",1,0)</f>
        <v>0</v>
      </c>
    </row>
    <row r="460" spans="1:12" x14ac:dyDescent="0.35">
      <c r="A460" t="s">
        <v>482</v>
      </c>
      <c r="B460" t="s">
        <v>11</v>
      </c>
      <c r="C460">
        <v>21</v>
      </c>
      <c r="D460">
        <v>48</v>
      </c>
      <c r="E460" t="s">
        <v>12</v>
      </c>
      <c r="F460" t="s">
        <v>13</v>
      </c>
      <c r="G460" t="s">
        <v>19</v>
      </c>
      <c r="H460">
        <v>109.35</v>
      </c>
      <c r="I460">
        <v>5162.08</v>
      </c>
      <c r="J460" t="s">
        <v>15</v>
      </c>
      <c r="K460" t="str">
        <f>IF(D460&lt;=12,"0-12 Months",IF(D460&lt;=24,"13-24 Months",IF(D460&lt;=48,"25-48 Months","49+ Months")))</f>
        <v>25-48 Months</v>
      </c>
      <c r="L460">
        <f>IF(Table134[[#This Row],[Churn]]="Yes",1,0)</f>
        <v>0</v>
      </c>
    </row>
    <row r="461" spans="1:12" x14ac:dyDescent="0.35">
      <c r="A461" t="s">
        <v>483</v>
      </c>
      <c r="B461" t="s">
        <v>11</v>
      </c>
      <c r="C461">
        <v>29</v>
      </c>
      <c r="D461">
        <v>70</v>
      </c>
      <c r="E461" t="s">
        <v>12</v>
      </c>
      <c r="F461" t="s">
        <v>22</v>
      </c>
      <c r="G461" t="s">
        <v>19</v>
      </c>
      <c r="H461">
        <v>145.01</v>
      </c>
      <c r="I461">
        <v>9764.2999999999993</v>
      </c>
      <c r="J461" t="s">
        <v>15</v>
      </c>
      <c r="K461" t="str">
        <f>IF(D461&lt;=12,"0-12 Months",IF(D461&lt;=24,"13-24 Months",IF(D461&lt;=48,"25-48 Months","49+ Months")))</f>
        <v>49+ Months</v>
      </c>
      <c r="L461">
        <f>IF(Table134[[#This Row],[Churn]]="Yes",1,0)</f>
        <v>0</v>
      </c>
    </row>
    <row r="462" spans="1:12" x14ac:dyDescent="0.35">
      <c r="A462" t="s">
        <v>484</v>
      </c>
      <c r="B462" t="s">
        <v>17</v>
      </c>
      <c r="C462">
        <v>62</v>
      </c>
      <c r="D462">
        <v>46</v>
      </c>
      <c r="E462" t="s">
        <v>12</v>
      </c>
      <c r="F462" t="s">
        <v>22</v>
      </c>
      <c r="G462" t="s">
        <v>23</v>
      </c>
      <c r="H462">
        <v>114.93</v>
      </c>
      <c r="I462">
        <v>5749.72</v>
      </c>
      <c r="J462" t="s">
        <v>27</v>
      </c>
      <c r="K462" t="str">
        <f>IF(D462&lt;=12,"0-12 Months",IF(D462&lt;=24,"13-24 Months",IF(D462&lt;=48,"25-48 Months","49+ Months")))</f>
        <v>25-48 Months</v>
      </c>
      <c r="L462">
        <f>IF(Table134[[#This Row],[Churn]]="Yes",1,0)</f>
        <v>1</v>
      </c>
    </row>
    <row r="463" spans="1:12" x14ac:dyDescent="0.35">
      <c r="A463" t="s">
        <v>485</v>
      </c>
      <c r="B463" t="s">
        <v>11</v>
      </c>
      <c r="C463">
        <v>19</v>
      </c>
      <c r="D463">
        <v>43</v>
      </c>
      <c r="E463" t="s">
        <v>12</v>
      </c>
      <c r="F463" t="s">
        <v>13</v>
      </c>
      <c r="G463" t="s">
        <v>19</v>
      </c>
      <c r="H463">
        <v>83.68</v>
      </c>
      <c r="I463">
        <v>3725.72</v>
      </c>
      <c r="J463" t="s">
        <v>15</v>
      </c>
      <c r="K463" t="str">
        <f>IF(D463&lt;=12,"0-12 Months",IF(D463&lt;=24,"13-24 Months",IF(D463&lt;=48,"25-48 Months","49+ Months")))</f>
        <v>25-48 Months</v>
      </c>
      <c r="L463">
        <f>IF(Table134[[#This Row],[Churn]]="Yes",1,0)</f>
        <v>0</v>
      </c>
    </row>
    <row r="464" spans="1:12" x14ac:dyDescent="0.35">
      <c r="A464" t="s">
        <v>486</v>
      </c>
      <c r="B464" t="s">
        <v>17</v>
      </c>
      <c r="C464">
        <v>44</v>
      </c>
      <c r="D464">
        <v>21</v>
      </c>
      <c r="E464" t="s">
        <v>18</v>
      </c>
      <c r="F464" t="s">
        <v>13</v>
      </c>
      <c r="G464" t="s">
        <v>14</v>
      </c>
      <c r="H464">
        <v>101.99</v>
      </c>
      <c r="I464">
        <v>1978.59</v>
      </c>
      <c r="J464" t="s">
        <v>15</v>
      </c>
      <c r="K464" t="str">
        <f>IF(D464&lt;=12,"0-12 Months",IF(D464&lt;=24,"13-24 Months",IF(D464&lt;=48,"25-48 Months","49+ Months")))</f>
        <v>13-24 Months</v>
      </c>
      <c r="L464">
        <f>IF(Table134[[#This Row],[Churn]]="Yes",1,0)</f>
        <v>0</v>
      </c>
    </row>
    <row r="465" spans="1:12" x14ac:dyDescent="0.35">
      <c r="A465" t="s">
        <v>487</v>
      </c>
      <c r="B465" t="s">
        <v>11</v>
      </c>
      <c r="C465">
        <v>48</v>
      </c>
      <c r="D465">
        <v>23</v>
      </c>
      <c r="E465" t="s">
        <v>12</v>
      </c>
      <c r="F465" t="s">
        <v>13</v>
      </c>
      <c r="G465" t="s">
        <v>14</v>
      </c>
      <c r="H465">
        <v>116.16</v>
      </c>
      <c r="I465">
        <v>2441.34</v>
      </c>
      <c r="J465" t="s">
        <v>27</v>
      </c>
      <c r="K465" t="str">
        <f>IF(D465&lt;=12,"0-12 Months",IF(D465&lt;=24,"13-24 Months",IF(D465&lt;=48,"25-48 Months","49+ Months")))</f>
        <v>13-24 Months</v>
      </c>
      <c r="L465">
        <f>IF(Table134[[#This Row],[Churn]]="Yes",1,0)</f>
        <v>1</v>
      </c>
    </row>
    <row r="466" spans="1:12" x14ac:dyDescent="0.35">
      <c r="A466" t="s">
        <v>488</v>
      </c>
      <c r="B466" t="s">
        <v>17</v>
      </c>
      <c r="C466">
        <v>68</v>
      </c>
      <c r="D466">
        <v>47</v>
      </c>
      <c r="E466" t="s">
        <v>18</v>
      </c>
      <c r="F466" t="s">
        <v>33</v>
      </c>
      <c r="G466" t="s">
        <v>23</v>
      </c>
      <c r="H466">
        <v>99.6</v>
      </c>
      <c r="I466">
        <v>4665.8</v>
      </c>
      <c r="J466" t="s">
        <v>15</v>
      </c>
      <c r="K466" t="str">
        <f>IF(D466&lt;=12,"0-12 Months",IF(D466&lt;=24,"13-24 Months",IF(D466&lt;=48,"25-48 Months","49+ Months")))</f>
        <v>25-48 Months</v>
      </c>
      <c r="L466">
        <f>IF(Table134[[#This Row],[Churn]]="Yes",1,0)</f>
        <v>0</v>
      </c>
    </row>
    <row r="467" spans="1:12" x14ac:dyDescent="0.35">
      <c r="A467" t="s">
        <v>489</v>
      </c>
      <c r="B467" t="s">
        <v>11</v>
      </c>
      <c r="C467">
        <v>68</v>
      </c>
      <c r="D467">
        <v>15</v>
      </c>
      <c r="E467" t="s">
        <v>21</v>
      </c>
      <c r="F467" t="s">
        <v>13</v>
      </c>
      <c r="G467" t="s">
        <v>23</v>
      </c>
      <c r="H467">
        <v>22.17</v>
      </c>
      <c r="I467">
        <v>313.93</v>
      </c>
      <c r="J467" t="s">
        <v>15</v>
      </c>
      <c r="K467" t="str">
        <f>IF(D467&lt;=12,"0-12 Months",IF(D467&lt;=24,"13-24 Months",IF(D467&lt;=48,"25-48 Months","49+ Months")))</f>
        <v>13-24 Months</v>
      </c>
      <c r="L467">
        <f>IF(Table134[[#This Row],[Churn]]="Yes",1,0)</f>
        <v>0</v>
      </c>
    </row>
    <row r="468" spans="1:12" x14ac:dyDescent="0.35">
      <c r="A468" t="s">
        <v>490</v>
      </c>
      <c r="B468" t="s">
        <v>17</v>
      </c>
      <c r="C468">
        <v>53</v>
      </c>
      <c r="D468">
        <v>25</v>
      </c>
      <c r="E468" t="s">
        <v>12</v>
      </c>
      <c r="F468" t="s">
        <v>33</v>
      </c>
      <c r="G468" t="s">
        <v>23</v>
      </c>
      <c r="H468">
        <v>45.32</v>
      </c>
      <c r="I468">
        <v>1077.25</v>
      </c>
      <c r="J468" t="s">
        <v>15</v>
      </c>
      <c r="K468" t="str">
        <f>IF(D468&lt;=12,"0-12 Months",IF(D468&lt;=24,"13-24 Months",IF(D468&lt;=48,"25-48 Months","49+ Months")))</f>
        <v>25-48 Months</v>
      </c>
      <c r="L468">
        <f>IF(Table134[[#This Row],[Churn]]="Yes",1,0)</f>
        <v>0</v>
      </c>
    </row>
    <row r="469" spans="1:12" x14ac:dyDescent="0.35">
      <c r="A469" t="s">
        <v>491</v>
      </c>
      <c r="B469" t="s">
        <v>11</v>
      </c>
      <c r="C469">
        <v>53</v>
      </c>
      <c r="D469">
        <v>36</v>
      </c>
      <c r="E469" t="s">
        <v>12</v>
      </c>
      <c r="F469" t="s">
        <v>13</v>
      </c>
      <c r="G469" t="s">
        <v>23</v>
      </c>
      <c r="H469">
        <v>125.36</v>
      </c>
      <c r="I469">
        <v>4853.8599999999997</v>
      </c>
      <c r="J469" t="s">
        <v>27</v>
      </c>
      <c r="K469" t="str">
        <f>IF(D469&lt;=12,"0-12 Months",IF(D469&lt;=24,"13-24 Months",IF(D469&lt;=48,"25-48 Months","49+ Months")))</f>
        <v>25-48 Months</v>
      </c>
      <c r="L469">
        <f>IF(Table134[[#This Row],[Churn]]="Yes",1,0)</f>
        <v>1</v>
      </c>
    </row>
    <row r="470" spans="1:12" x14ac:dyDescent="0.35">
      <c r="A470" t="s">
        <v>492</v>
      </c>
      <c r="B470" t="s">
        <v>11</v>
      </c>
      <c r="C470">
        <v>43</v>
      </c>
      <c r="D470">
        <v>51</v>
      </c>
      <c r="E470" t="s">
        <v>21</v>
      </c>
      <c r="F470" t="s">
        <v>33</v>
      </c>
      <c r="G470" t="s">
        <v>14</v>
      </c>
      <c r="H470">
        <v>55.44</v>
      </c>
      <c r="I470">
        <v>2595.34</v>
      </c>
      <c r="J470" t="s">
        <v>15</v>
      </c>
      <c r="K470" t="str">
        <f>IF(D470&lt;=12,"0-12 Months",IF(D470&lt;=24,"13-24 Months",IF(D470&lt;=48,"25-48 Months","49+ Months")))</f>
        <v>49+ Months</v>
      </c>
      <c r="L470">
        <f>IF(Table134[[#This Row],[Churn]]="Yes",1,0)</f>
        <v>0</v>
      </c>
    </row>
    <row r="471" spans="1:12" x14ac:dyDescent="0.35">
      <c r="A471" t="s">
        <v>493</v>
      </c>
      <c r="B471" t="s">
        <v>17</v>
      </c>
      <c r="C471">
        <v>60</v>
      </c>
      <c r="D471">
        <v>15</v>
      </c>
      <c r="E471" t="s">
        <v>12</v>
      </c>
      <c r="F471" t="s">
        <v>33</v>
      </c>
      <c r="G471" t="s">
        <v>23</v>
      </c>
      <c r="H471">
        <v>115.1</v>
      </c>
      <c r="I471">
        <v>1800.87</v>
      </c>
      <c r="J471" t="s">
        <v>27</v>
      </c>
      <c r="K471" t="str">
        <f>IF(D471&lt;=12,"0-12 Months",IF(D471&lt;=24,"13-24 Months",IF(D471&lt;=48,"25-48 Months","49+ Months")))</f>
        <v>13-24 Months</v>
      </c>
      <c r="L471">
        <f>IF(Table134[[#This Row],[Churn]]="Yes",1,0)</f>
        <v>1</v>
      </c>
    </row>
    <row r="472" spans="1:12" x14ac:dyDescent="0.35">
      <c r="A472" t="s">
        <v>494</v>
      </c>
      <c r="B472" t="s">
        <v>11</v>
      </c>
      <c r="C472">
        <v>44</v>
      </c>
      <c r="D472">
        <v>68</v>
      </c>
      <c r="E472" t="s">
        <v>18</v>
      </c>
      <c r="F472" t="s">
        <v>13</v>
      </c>
      <c r="G472" t="s">
        <v>14</v>
      </c>
      <c r="H472">
        <v>68.38</v>
      </c>
      <c r="I472">
        <v>4437.01</v>
      </c>
      <c r="J472" t="s">
        <v>27</v>
      </c>
      <c r="K472" t="str">
        <f>IF(D472&lt;=12,"0-12 Months",IF(D472&lt;=24,"13-24 Months",IF(D472&lt;=48,"25-48 Months","49+ Months")))</f>
        <v>49+ Months</v>
      </c>
      <c r="L472">
        <f>IF(Table134[[#This Row],[Churn]]="Yes",1,0)</f>
        <v>1</v>
      </c>
    </row>
    <row r="473" spans="1:12" x14ac:dyDescent="0.35">
      <c r="A473" t="s">
        <v>495</v>
      </c>
      <c r="B473" t="s">
        <v>17</v>
      </c>
      <c r="C473">
        <v>22</v>
      </c>
      <c r="D473">
        <v>21</v>
      </c>
      <c r="E473" t="s">
        <v>12</v>
      </c>
      <c r="F473" t="s">
        <v>33</v>
      </c>
      <c r="G473" t="s">
        <v>19</v>
      </c>
      <c r="H473">
        <v>87.84</v>
      </c>
      <c r="I473">
        <v>1940.68</v>
      </c>
      <c r="J473" t="s">
        <v>27</v>
      </c>
      <c r="K473" t="str">
        <f>IF(D473&lt;=12,"0-12 Months",IF(D473&lt;=24,"13-24 Months",IF(D473&lt;=48,"25-48 Months","49+ Months")))</f>
        <v>13-24 Months</v>
      </c>
      <c r="L473">
        <f>IF(Table134[[#This Row],[Churn]]="Yes",1,0)</f>
        <v>1</v>
      </c>
    </row>
    <row r="474" spans="1:12" x14ac:dyDescent="0.35">
      <c r="A474" t="s">
        <v>496</v>
      </c>
      <c r="B474" t="s">
        <v>11</v>
      </c>
      <c r="C474">
        <v>37</v>
      </c>
      <c r="D474">
        <v>13</v>
      </c>
      <c r="E474" t="s">
        <v>12</v>
      </c>
      <c r="F474" t="s">
        <v>29</v>
      </c>
      <c r="G474" t="s">
        <v>14</v>
      </c>
      <c r="H474">
        <v>28.84</v>
      </c>
      <c r="I474">
        <v>391.6</v>
      </c>
      <c r="J474" t="s">
        <v>15</v>
      </c>
      <c r="K474" t="str">
        <f>IF(D474&lt;=12,"0-12 Months",IF(D474&lt;=24,"13-24 Months",IF(D474&lt;=48,"25-48 Months","49+ Months")))</f>
        <v>13-24 Months</v>
      </c>
      <c r="L474">
        <f>IF(Table134[[#This Row],[Churn]]="Yes",1,0)</f>
        <v>0</v>
      </c>
    </row>
    <row r="475" spans="1:12" x14ac:dyDescent="0.35">
      <c r="A475" t="s">
        <v>497</v>
      </c>
      <c r="B475" t="s">
        <v>17</v>
      </c>
      <c r="C475">
        <v>28</v>
      </c>
      <c r="D475">
        <v>19</v>
      </c>
      <c r="E475" t="s">
        <v>21</v>
      </c>
      <c r="F475" t="s">
        <v>33</v>
      </c>
      <c r="G475" t="s">
        <v>19</v>
      </c>
      <c r="H475">
        <v>43.56</v>
      </c>
      <c r="I475">
        <v>746.1</v>
      </c>
      <c r="J475" t="s">
        <v>15</v>
      </c>
      <c r="K475" t="str">
        <f>IF(D475&lt;=12,"0-12 Months",IF(D475&lt;=24,"13-24 Months",IF(D475&lt;=48,"25-48 Months","49+ Months")))</f>
        <v>13-24 Months</v>
      </c>
      <c r="L475">
        <f>IF(Table134[[#This Row],[Churn]]="Yes",1,0)</f>
        <v>0</v>
      </c>
    </row>
    <row r="476" spans="1:12" x14ac:dyDescent="0.35">
      <c r="A476" t="s">
        <v>498</v>
      </c>
      <c r="B476" t="s">
        <v>11</v>
      </c>
      <c r="C476">
        <v>27</v>
      </c>
      <c r="D476">
        <v>34</v>
      </c>
      <c r="E476" t="s">
        <v>18</v>
      </c>
      <c r="F476" t="s">
        <v>22</v>
      </c>
      <c r="G476" t="s">
        <v>19</v>
      </c>
      <c r="H476">
        <v>144.44</v>
      </c>
      <c r="I476">
        <v>4919.93</v>
      </c>
      <c r="J476" t="s">
        <v>27</v>
      </c>
      <c r="K476" t="str">
        <f>IF(D476&lt;=12,"0-12 Months",IF(D476&lt;=24,"13-24 Months",IF(D476&lt;=48,"25-48 Months","49+ Months")))</f>
        <v>25-48 Months</v>
      </c>
      <c r="L476">
        <f>IF(Table134[[#This Row],[Churn]]="Yes",1,0)</f>
        <v>1</v>
      </c>
    </row>
    <row r="477" spans="1:12" x14ac:dyDescent="0.35">
      <c r="A477" t="s">
        <v>499</v>
      </c>
      <c r="B477" t="s">
        <v>17</v>
      </c>
      <c r="C477">
        <v>57</v>
      </c>
      <c r="D477">
        <v>68</v>
      </c>
      <c r="E477" t="s">
        <v>12</v>
      </c>
      <c r="F477" t="s">
        <v>29</v>
      </c>
      <c r="G477" t="s">
        <v>23</v>
      </c>
      <c r="H477">
        <v>135.72</v>
      </c>
      <c r="I477">
        <v>8563.2199999999993</v>
      </c>
      <c r="J477" t="s">
        <v>15</v>
      </c>
      <c r="K477" t="str">
        <f>IF(D477&lt;=12,"0-12 Months",IF(D477&lt;=24,"13-24 Months",IF(D477&lt;=48,"25-48 Months","49+ Months")))</f>
        <v>49+ Months</v>
      </c>
      <c r="L477">
        <f>IF(Table134[[#This Row],[Churn]]="Yes",1,0)</f>
        <v>0</v>
      </c>
    </row>
    <row r="478" spans="1:12" x14ac:dyDescent="0.35">
      <c r="A478" t="s">
        <v>500</v>
      </c>
      <c r="B478" t="s">
        <v>11</v>
      </c>
      <c r="C478">
        <v>55</v>
      </c>
      <c r="D478">
        <v>52</v>
      </c>
      <c r="E478" t="s">
        <v>18</v>
      </c>
      <c r="F478" t="s">
        <v>22</v>
      </c>
      <c r="G478" t="s">
        <v>23</v>
      </c>
      <c r="H478">
        <v>104.8</v>
      </c>
      <c r="I478">
        <v>5848.76</v>
      </c>
      <c r="J478" t="s">
        <v>15</v>
      </c>
      <c r="K478" t="str">
        <f>IF(D478&lt;=12,"0-12 Months",IF(D478&lt;=24,"13-24 Months",IF(D478&lt;=48,"25-48 Months","49+ Months")))</f>
        <v>49+ Months</v>
      </c>
      <c r="L478">
        <f>IF(Table134[[#This Row],[Churn]]="Yes",1,0)</f>
        <v>0</v>
      </c>
    </row>
    <row r="479" spans="1:12" x14ac:dyDescent="0.35">
      <c r="A479" t="s">
        <v>501</v>
      </c>
      <c r="B479" t="s">
        <v>17</v>
      </c>
      <c r="C479">
        <v>23</v>
      </c>
      <c r="D479">
        <v>27</v>
      </c>
      <c r="E479" t="s">
        <v>12</v>
      </c>
      <c r="F479" t="s">
        <v>33</v>
      </c>
      <c r="G479" t="s">
        <v>19</v>
      </c>
      <c r="H479">
        <v>79.75</v>
      </c>
      <c r="I479">
        <v>2313.27</v>
      </c>
      <c r="J479" t="s">
        <v>15</v>
      </c>
      <c r="K479" t="str">
        <f>IF(D479&lt;=12,"0-12 Months",IF(D479&lt;=24,"13-24 Months",IF(D479&lt;=48,"25-48 Months","49+ Months")))</f>
        <v>25-48 Months</v>
      </c>
      <c r="L479">
        <f>IF(Table134[[#This Row],[Churn]]="Yes",1,0)</f>
        <v>0</v>
      </c>
    </row>
    <row r="480" spans="1:12" x14ac:dyDescent="0.35">
      <c r="A480" t="s">
        <v>502</v>
      </c>
      <c r="B480" t="s">
        <v>11</v>
      </c>
      <c r="C480">
        <v>25</v>
      </c>
      <c r="D480">
        <v>29</v>
      </c>
      <c r="E480" t="s">
        <v>21</v>
      </c>
      <c r="F480" t="s">
        <v>29</v>
      </c>
      <c r="G480" t="s">
        <v>19</v>
      </c>
      <c r="H480">
        <v>107.85</v>
      </c>
      <c r="I480">
        <v>3076.57</v>
      </c>
      <c r="J480" t="s">
        <v>15</v>
      </c>
      <c r="K480" t="str">
        <f>IF(D480&lt;=12,"0-12 Months",IF(D480&lt;=24,"13-24 Months",IF(D480&lt;=48,"25-48 Months","49+ Months")))</f>
        <v>25-48 Months</v>
      </c>
      <c r="L480">
        <f>IF(Table134[[#This Row],[Churn]]="Yes",1,0)</f>
        <v>0</v>
      </c>
    </row>
    <row r="481" spans="1:12" x14ac:dyDescent="0.35">
      <c r="A481" t="s">
        <v>503</v>
      </c>
      <c r="B481" t="s">
        <v>17</v>
      </c>
      <c r="C481">
        <v>40</v>
      </c>
      <c r="D481">
        <v>28</v>
      </c>
      <c r="E481" t="s">
        <v>21</v>
      </c>
      <c r="F481" t="s">
        <v>13</v>
      </c>
      <c r="G481" t="s">
        <v>14</v>
      </c>
      <c r="H481">
        <v>100.42</v>
      </c>
      <c r="I481">
        <v>2780.49</v>
      </c>
      <c r="J481" t="s">
        <v>15</v>
      </c>
      <c r="K481" t="str">
        <f>IF(D481&lt;=12,"0-12 Months",IF(D481&lt;=24,"13-24 Months",IF(D481&lt;=48,"25-48 Months","49+ Months")))</f>
        <v>25-48 Months</v>
      </c>
      <c r="L481">
        <f>IF(Table134[[#This Row],[Churn]]="Yes",1,0)</f>
        <v>0</v>
      </c>
    </row>
    <row r="482" spans="1:12" x14ac:dyDescent="0.35">
      <c r="A482" t="s">
        <v>504</v>
      </c>
      <c r="B482" t="s">
        <v>17</v>
      </c>
      <c r="C482">
        <v>64</v>
      </c>
      <c r="D482">
        <v>35</v>
      </c>
      <c r="E482" t="s">
        <v>12</v>
      </c>
      <c r="F482" t="s">
        <v>22</v>
      </c>
      <c r="G482" t="s">
        <v>23</v>
      </c>
      <c r="H482">
        <v>93.91</v>
      </c>
      <c r="I482">
        <v>3157.53</v>
      </c>
      <c r="J482" t="s">
        <v>15</v>
      </c>
      <c r="K482" t="str">
        <f>IF(D482&lt;=12,"0-12 Months",IF(D482&lt;=24,"13-24 Months",IF(D482&lt;=48,"25-48 Months","49+ Months")))</f>
        <v>25-48 Months</v>
      </c>
      <c r="L482">
        <f>IF(Table134[[#This Row],[Churn]]="Yes",1,0)</f>
        <v>0</v>
      </c>
    </row>
    <row r="483" spans="1:12" x14ac:dyDescent="0.35">
      <c r="A483" t="s">
        <v>505</v>
      </c>
      <c r="B483" t="s">
        <v>17</v>
      </c>
      <c r="C483">
        <v>43</v>
      </c>
      <c r="D483">
        <v>8</v>
      </c>
      <c r="E483" t="s">
        <v>12</v>
      </c>
      <c r="F483" t="s">
        <v>33</v>
      </c>
      <c r="G483" t="s">
        <v>14</v>
      </c>
      <c r="H483">
        <v>27.69</v>
      </c>
      <c r="I483">
        <v>231.12</v>
      </c>
      <c r="J483" t="s">
        <v>15</v>
      </c>
      <c r="K483" t="str">
        <f>IF(D483&lt;=12,"0-12 Months",IF(D483&lt;=24,"13-24 Months",IF(D483&lt;=48,"25-48 Months","49+ Months")))</f>
        <v>0-12 Months</v>
      </c>
      <c r="L483">
        <f>IF(Table134[[#This Row],[Churn]]="Yes",1,0)</f>
        <v>0</v>
      </c>
    </row>
    <row r="484" spans="1:12" x14ac:dyDescent="0.35">
      <c r="A484" t="s">
        <v>506</v>
      </c>
      <c r="B484" t="s">
        <v>11</v>
      </c>
      <c r="C484">
        <v>63</v>
      </c>
      <c r="D484">
        <v>16</v>
      </c>
      <c r="E484" t="s">
        <v>21</v>
      </c>
      <c r="F484" t="s">
        <v>13</v>
      </c>
      <c r="G484" t="s">
        <v>23</v>
      </c>
      <c r="H484">
        <v>102.26</v>
      </c>
      <c r="I484">
        <v>1589.91</v>
      </c>
      <c r="J484" t="s">
        <v>15</v>
      </c>
      <c r="K484" t="str">
        <f>IF(D484&lt;=12,"0-12 Months",IF(D484&lt;=24,"13-24 Months",IF(D484&lt;=48,"25-48 Months","49+ Months")))</f>
        <v>13-24 Months</v>
      </c>
      <c r="L484">
        <f>IF(Table134[[#This Row],[Churn]]="Yes",1,0)</f>
        <v>0</v>
      </c>
    </row>
    <row r="485" spans="1:12" x14ac:dyDescent="0.35">
      <c r="A485" t="s">
        <v>507</v>
      </c>
      <c r="B485" t="s">
        <v>17</v>
      </c>
      <c r="C485">
        <v>60</v>
      </c>
      <c r="D485">
        <v>36</v>
      </c>
      <c r="E485" t="s">
        <v>12</v>
      </c>
      <c r="F485" t="s">
        <v>29</v>
      </c>
      <c r="G485" t="s">
        <v>23</v>
      </c>
      <c r="H485">
        <v>119.96</v>
      </c>
      <c r="I485">
        <v>4118</v>
      </c>
      <c r="J485" t="s">
        <v>15</v>
      </c>
      <c r="K485" t="str">
        <f>IF(D485&lt;=12,"0-12 Months",IF(D485&lt;=24,"13-24 Months",IF(D485&lt;=48,"25-48 Months","49+ Months")))</f>
        <v>25-48 Months</v>
      </c>
      <c r="L485">
        <f>IF(Table134[[#This Row],[Churn]]="Yes",1,0)</f>
        <v>0</v>
      </c>
    </row>
    <row r="486" spans="1:12" x14ac:dyDescent="0.35">
      <c r="A486" t="s">
        <v>508</v>
      </c>
      <c r="B486" t="s">
        <v>11</v>
      </c>
      <c r="C486">
        <v>29</v>
      </c>
      <c r="D486">
        <v>30</v>
      </c>
      <c r="E486" t="s">
        <v>21</v>
      </c>
      <c r="F486" t="s">
        <v>29</v>
      </c>
      <c r="G486" t="s">
        <v>19</v>
      </c>
      <c r="H486">
        <v>149.22999999999999</v>
      </c>
      <c r="I486">
        <v>4416.22</v>
      </c>
      <c r="J486" t="s">
        <v>15</v>
      </c>
      <c r="K486" t="str">
        <f>IF(D486&lt;=12,"0-12 Months",IF(D486&lt;=24,"13-24 Months",IF(D486&lt;=48,"25-48 Months","49+ Months")))</f>
        <v>25-48 Months</v>
      </c>
      <c r="L486">
        <f>IF(Table134[[#This Row],[Churn]]="Yes",1,0)</f>
        <v>0</v>
      </c>
    </row>
    <row r="487" spans="1:12" x14ac:dyDescent="0.35">
      <c r="A487" t="s">
        <v>509</v>
      </c>
      <c r="B487" t="s">
        <v>17</v>
      </c>
      <c r="C487">
        <v>43</v>
      </c>
      <c r="D487">
        <v>18</v>
      </c>
      <c r="E487" t="s">
        <v>12</v>
      </c>
      <c r="F487" t="s">
        <v>13</v>
      </c>
      <c r="G487" t="s">
        <v>14</v>
      </c>
      <c r="H487">
        <v>21.44</v>
      </c>
      <c r="I487">
        <v>354.39</v>
      </c>
      <c r="J487" t="s">
        <v>15</v>
      </c>
      <c r="K487" t="str">
        <f>IF(D487&lt;=12,"0-12 Months",IF(D487&lt;=24,"13-24 Months",IF(D487&lt;=48,"25-48 Months","49+ Months")))</f>
        <v>13-24 Months</v>
      </c>
      <c r="L487">
        <f>IF(Table134[[#This Row],[Churn]]="Yes",1,0)</f>
        <v>0</v>
      </c>
    </row>
    <row r="488" spans="1:12" x14ac:dyDescent="0.35">
      <c r="A488" t="s">
        <v>510</v>
      </c>
      <c r="B488" t="s">
        <v>11</v>
      </c>
      <c r="C488">
        <v>30</v>
      </c>
      <c r="D488">
        <v>2</v>
      </c>
      <c r="E488" t="s">
        <v>18</v>
      </c>
      <c r="F488" t="s">
        <v>13</v>
      </c>
      <c r="G488" t="s">
        <v>14</v>
      </c>
      <c r="H488">
        <v>114.92</v>
      </c>
      <c r="I488">
        <v>241.18</v>
      </c>
      <c r="J488" t="s">
        <v>27</v>
      </c>
      <c r="K488" t="str">
        <f>IF(D488&lt;=12,"0-12 Months",IF(D488&lt;=24,"13-24 Months",IF(D488&lt;=48,"25-48 Months","49+ Months")))</f>
        <v>0-12 Months</v>
      </c>
      <c r="L488">
        <f>IF(Table134[[#This Row],[Churn]]="Yes",1,0)</f>
        <v>1</v>
      </c>
    </row>
    <row r="489" spans="1:12" x14ac:dyDescent="0.35">
      <c r="A489" t="s">
        <v>511</v>
      </c>
      <c r="B489" t="s">
        <v>17</v>
      </c>
      <c r="C489">
        <v>57</v>
      </c>
      <c r="D489">
        <v>49</v>
      </c>
      <c r="E489" t="s">
        <v>21</v>
      </c>
      <c r="F489" t="s">
        <v>33</v>
      </c>
      <c r="G489" t="s">
        <v>23</v>
      </c>
      <c r="H489">
        <v>94.33</v>
      </c>
      <c r="I489">
        <v>4171.6000000000004</v>
      </c>
      <c r="J489" t="s">
        <v>15</v>
      </c>
      <c r="K489" t="str">
        <f>IF(D489&lt;=12,"0-12 Months",IF(D489&lt;=24,"13-24 Months",IF(D489&lt;=48,"25-48 Months","49+ Months")))</f>
        <v>49+ Months</v>
      </c>
      <c r="L489">
        <f>IF(Table134[[#This Row],[Churn]]="Yes",1,0)</f>
        <v>0</v>
      </c>
    </row>
    <row r="490" spans="1:12" x14ac:dyDescent="0.35">
      <c r="A490" t="s">
        <v>512</v>
      </c>
      <c r="B490" t="s">
        <v>11</v>
      </c>
      <c r="C490">
        <v>35</v>
      </c>
      <c r="D490">
        <v>4</v>
      </c>
      <c r="E490" t="s">
        <v>18</v>
      </c>
      <c r="F490" t="s">
        <v>29</v>
      </c>
      <c r="G490" t="s">
        <v>14</v>
      </c>
      <c r="H490">
        <v>76.430000000000007</v>
      </c>
      <c r="I490">
        <v>314.55</v>
      </c>
      <c r="J490" t="s">
        <v>15</v>
      </c>
      <c r="K490" t="str">
        <f>IF(D490&lt;=12,"0-12 Months",IF(D490&lt;=24,"13-24 Months",IF(D490&lt;=48,"25-48 Months","49+ Months")))</f>
        <v>0-12 Months</v>
      </c>
      <c r="L490">
        <f>IF(Table134[[#This Row],[Churn]]="Yes",1,0)</f>
        <v>0</v>
      </c>
    </row>
    <row r="491" spans="1:12" x14ac:dyDescent="0.35">
      <c r="A491" t="s">
        <v>513</v>
      </c>
      <c r="B491" t="s">
        <v>11</v>
      </c>
      <c r="C491">
        <v>42</v>
      </c>
      <c r="D491">
        <v>7</v>
      </c>
      <c r="E491" t="s">
        <v>12</v>
      </c>
      <c r="F491" t="s">
        <v>22</v>
      </c>
      <c r="G491" t="s">
        <v>14</v>
      </c>
      <c r="H491">
        <v>36.58</v>
      </c>
      <c r="I491">
        <v>239.82</v>
      </c>
      <c r="J491" t="s">
        <v>27</v>
      </c>
      <c r="K491" t="str">
        <f>IF(D491&lt;=12,"0-12 Months",IF(D491&lt;=24,"13-24 Months",IF(D491&lt;=48,"25-48 Months","49+ Months")))</f>
        <v>0-12 Months</v>
      </c>
      <c r="L491">
        <f>IF(Table134[[#This Row],[Churn]]="Yes",1,0)</f>
        <v>1</v>
      </c>
    </row>
    <row r="492" spans="1:12" x14ac:dyDescent="0.35">
      <c r="A492" t="s">
        <v>514</v>
      </c>
      <c r="B492" t="s">
        <v>17</v>
      </c>
      <c r="C492">
        <v>50</v>
      </c>
      <c r="D492">
        <v>39</v>
      </c>
      <c r="E492" t="s">
        <v>21</v>
      </c>
      <c r="F492" t="s">
        <v>29</v>
      </c>
      <c r="G492" t="s">
        <v>23</v>
      </c>
      <c r="H492">
        <v>73.180000000000007</v>
      </c>
      <c r="I492">
        <v>2701.28</v>
      </c>
      <c r="J492" t="s">
        <v>15</v>
      </c>
      <c r="K492" t="str">
        <f>IF(D492&lt;=12,"0-12 Months",IF(D492&lt;=24,"13-24 Months",IF(D492&lt;=48,"25-48 Months","49+ Months")))</f>
        <v>25-48 Months</v>
      </c>
      <c r="L492">
        <f>IF(Table134[[#This Row],[Churn]]="Yes",1,0)</f>
        <v>0</v>
      </c>
    </row>
    <row r="493" spans="1:12" x14ac:dyDescent="0.35">
      <c r="A493" t="s">
        <v>515</v>
      </c>
      <c r="B493" t="s">
        <v>11</v>
      </c>
      <c r="C493">
        <v>64</v>
      </c>
      <c r="D493">
        <v>13</v>
      </c>
      <c r="E493" t="s">
        <v>21</v>
      </c>
      <c r="F493" t="s">
        <v>29</v>
      </c>
      <c r="G493" t="s">
        <v>23</v>
      </c>
      <c r="H493">
        <v>66.069999999999993</v>
      </c>
      <c r="I493">
        <v>882.21</v>
      </c>
      <c r="J493" t="s">
        <v>15</v>
      </c>
      <c r="K493" t="str">
        <f>IF(D493&lt;=12,"0-12 Months",IF(D493&lt;=24,"13-24 Months",IF(D493&lt;=48,"25-48 Months","49+ Months")))</f>
        <v>13-24 Months</v>
      </c>
      <c r="L493">
        <f>IF(Table134[[#This Row],[Churn]]="Yes",1,0)</f>
        <v>0</v>
      </c>
    </row>
    <row r="494" spans="1:12" x14ac:dyDescent="0.35">
      <c r="A494" t="s">
        <v>516</v>
      </c>
      <c r="B494" t="s">
        <v>11</v>
      </c>
      <c r="C494">
        <v>57</v>
      </c>
      <c r="D494">
        <v>31</v>
      </c>
      <c r="E494" t="s">
        <v>12</v>
      </c>
      <c r="F494" t="s">
        <v>13</v>
      </c>
      <c r="G494" t="s">
        <v>23</v>
      </c>
      <c r="H494">
        <v>59.37</v>
      </c>
      <c r="I494">
        <v>2021.92</v>
      </c>
      <c r="J494" t="s">
        <v>15</v>
      </c>
      <c r="K494" t="str">
        <f>IF(D494&lt;=12,"0-12 Months",IF(D494&lt;=24,"13-24 Months",IF(D494&lt;=48,"25-48 Months","49+ Months")))</f>
        <v>25-48 Months</v>
      </c>
      <c r="L494">
        <f>IF(Table134[[#This Row],[Churn]]="Yes",1,0)</f>
        <v>0</v>
      </c>
    </row>
    <row r="495" spans="1:12" x14ac:dyDescent="0.35">
      <c r="A495" t="s">
        <v>517</v>
      </c>
      <c r="B495" t="s">
        <v>17</v>
      </c>
      <c r="C495">
        <v>60</v>
      </c>
      <c r="D495">
        <v>71</v>
      </c>
      <c r="E495" t="s">
        <v>12</v>
      </c>
      <c r="F495" t="s">
        <v>13</v>
      </c>
      <c r="G495" t="s">
        <v>23</v>
      </c>
      <c r="H495">
        <v>115.01</v>
      </c>
      <c r="I495">
        <v>8619.26</v>
      </c>
      <c r="J495" t="s">
        <v>15</v>
      </c>
      <c r="K495" t="str">
        <f>IF(D495&lt;=12,"0-12 Months",IF(D495&lt;=24,"13-24 Months",IF(D495&lt;=48,"25-48 Months","49+ Months")))</f>
        <v>49+ Months</v>
      </c>
      <c r="L495">
        <f>IF(Table134[[#This Row],[Churn]]="Yes",1,0)</f>
        <v>0</v>
      </c>
    </row>
    <row r="496" spans="1:12" x14ac:dyDescent="0.35">
      <c r="A496" t="s">
        <v>518</v>
      </c>
      <c r="B496" t="s">
        <v>11</v>
      </c>
      <c r="C496">
        <v>29</v>
      </c>
      <c r="D496">
        <v>63</v>
      </c>
      <c r="E496" t="s">
        <v>12</v>
      </c>
      <c r="F496" t="s">
        <v>22</v>
      </c>
      <c r="G496" t="s">
        <v>19</v>
      </c>
      <c r="H496">
        <v>111.09</v>
      </c>
      <c r="I496">
        <v>6614.92</v>
      </c>
      <c r="J496" t="s">
        <v>15</v>
      </c>
      <c r="K496" t="str">
        <f>IF(D496&lt;=12,"0-12 Months",IF(D496&lt;=24,"13-24 Months",IF(D496&lt;=48,"25-48 Months","49+ Months")))</f>
        <v>49+ Months</v>
      </c>
      <c r="L496">
        <f>IF(Table134[[#This Row],[Churn]]="Yes",1,0)</f>
        <v>0</v>
      </c>
    </row>
    <row r="497" spans="1:12" x14ac:dyDescent="0.35">
      <c r="A497" t="s">
        <v>519</v>
      </c>
      <c r="B497" t="s">
        <v>11</v>
      </c>
      <c r="C497">
        <v>61</v>
      </c>
      <c r="D497">
        <v>56</v>
      </c>
      <c r="E497" t="s">
        <v>21</v>
      </c>
      <c r="F497" t="s">
        <v>33</v>
      </c>
      <c r="G497" t="s">
        <v>23</v>
      </c>
      <c r="H497">
        <v>96.57</v>
      </c>
      <c r="I497">
        <v>5057.51</v>
      </c>
      <c r="J497" t="s">
        <v>15</v>
      </c>
      <c r="K497" t="str">
        <f>IF(D497&lt;=12,"0-12 Months",IF(D497&lt;=24,"13-24 Months",IF(D497&lt;=48,"25-48 Months","49+ Months")))</f>
        <v>49+ Months</v>
      </c>
      <c r="L497">
        <f>IF(Table134[[#This Row],[Churn]]="Yes",1,0)</f>
        <v>0</v>
      </c>
    </row>
    <row r="498" spans="1:12" x14ac:dyDescent="0.35">
      <c r="A498" t="s">
        <v>520</v>
      </c>
      <c r="B498" t="s">
        <v>11</v>
      </c>
      <c r="C498">
        <v>53</v>
      </c>
      <c r="D498">
        <v>42</v>
      </c>
      <c r="E498" t="s">
        <v>12</v>
      </c>
      <c r="F498" t="s">
        <v>22</v>
      </c>
      <c r="G498" t="s">
        <v>23</v>
      </c>
      <c r="H498">
        <v>142.03</v>
      </c>
      <c r="I498">
        <v>6402.19</v>
      </c>
      <c r="J498" t="s">
        <v>15</v>
      </c>
      <c r="K498" t="str">
        <f>IF(D498&lt;=12,"0-12 Months",IF(D498&lt;=24,"13-24 Months",IF(D498&lt;=48,"25-48 Months","49+ Months")))</f>
        <v>25-48 Months</v>
      </c>
      <c r="L498">
        <f>IF(Table134[[#This Row],[Churn]]="Yes",1,0)</f>
        <v>0</v>
      </c>
    </row>
    <row r="499" spans="1:12" x14ac:dyDescent="0.35">
      <c r="A499" t="s">
        <v>521</v>
      </c>
      <c r="B499" t="s">
        <v>17</v>
      </c>
      <c r="C499">
        <v>65</v>
      </c>
      <c r="D499">
        <v>61</v>
      </c>
      <c r="E499" t="s">
        <v>12</v>
      </c>
      <c r="F499" t="s">
        <v>33</v>
      </c>
      <c r="G499" t="s">
        <v>23</v>
      </c>
      <c r="H499">
        <v>65.48</v>
      </c>
      <c r="I499">
        <v>3949.69</v>
      </c>
      <c r="J499" t="s">
        <v>15</v>
      </c>
      <c r="K499" t="str">
        <f>IF(D499&lt;=12,"0-12 Months",IF(D499&lt;=24,"13-24 Months",IF(D499&lt;=48,"25-48 Months","49+ Months")))</f>
        <v>49+ Months</v>
      </c>
      <c r="L499">
        <f>IF(Table134[[#This Row],[Churn]]="Yes",1,0)</f>
        <v>0</v>
      </c>
    </row>
    <row r="500" spans="1:12" x14ac:dyDescent="0.35">
      <c r="A500" t="s">
        <v>522</v>
      </c>
      <c r="B500" t="s">
        <v>11</v>
      </c>
      <c r="C500">
        <v>21</v>
      </c>
      <c r="D500">
        <v>42</v>
      </c>
      <c r="E500" t="s">
        <v>21</v>
      </c>
      <c r="F500" t="s">
        <v>33</v>
      </c>
      <c r="G500" t="s">
        <v>19</v>
      </c>
      <c r="H500">
        <v>51.69</v>
      </c>
      <c r="I500">
        <v>2013.39</v>
      </c>
      <c r="J500" t="s">
        <v>15</v>
      </c>
      <c r="K500" t="str">
        <f>IF(D500&lt;=12,"0-12 Months",IF(D500&lt;=24,"13-24 Months",IF(D500&lt;=48,"25-48 Months","49+ Months")))</f>
        <v>25-48 Months</v>
      </c>
      <c r="L500">
        <f>IF(Table134[[#This Row],[Churn]]="Yes",1,0)</f>
        <v>0</v>
      </c>
    </row>
    <row r="501" spans="1:12" x14ac:dyDescent="0.35">
      <c r="A501" t="s">
        <v>523</v>
      </c>
      <c r="B501" t="s">
        <v>17</v>
      </c>
      <c r="C501">
        <v>22</v>
      </c>
      <c r="D501">
        <v>56</v>
      </c>
      <c r="E501" t="s">
        <v>12</v>
      </c>
      <c r="F501" t="s">
        <v>13</v>
      </c>
      <c r="G501" t="s">
        <v>19</v>
      </c>
      <c r="H501">
        <v>105.27</v>
      </c>
      <c r="I501">
        <v>6322.18</v>
      </c>
      <c r="J501" t="s">
        <v>15</v>
      </c>
      <c r="K501" t="str">
        <f>IF(D501&lt;=12,"0-12 Months",IF(D501&lt;=24,"13-24 Months",IF(D501&lt;=48,"25-48 Months","49+ Months")))</f>
        <v>49+ Months</v>
      </c>
      <c r="L501">
        <f>IF(Table134[[#This Row],[Churn]]="Yes",1,0)</f>
        <v>0</v>
      </c>
    </row>
    <row r="502" spans="1:12" x14ac:dyDescent="0.35">
      <c r="A502" t="s">
        <v>524</v>
      </c>
      <c r="B502" t="s">
        <v>11</v>
      </c>
      <c r="C502">
        <v>54</v>
      </c>
      <c r="D502">
        <v>36</v>
      </c>
      <c r="E502" t="s">
        <v>12</v>
      </c>
      <c r="F502" t="s">
        <v>33</v>
      </c>
      <c r="G502" t="s">
        <v>23</v>
      </c>
      <c r="H502">
        <v>45.85</v>
      </c>
      <c r="I502">
        <v>1754.95</v>
      </c>
      <c r="J502" t="s">
        <v>15</v>
      </c>
      <c r="K502" t="str">
        <f>IF(D502&lt;=12,"0-12 Months",IF(D502&lt;=24,"13-24 Months",IF(D502&lt;=48,"25-48 Months","49+ Months")))</f>
        <v>25-48 Months</v>
      </c>
      <c r="L502">
        <f>IF(Table134[[#This Row],[Churn]]="Yes",1,0)</f>
        <v>0</v>
      </c>
    </row>
    <row r="503" spans="1:12" x14ac:dyDescent="0.35">
      <c r="A503" t="s">
        <v>525</v>
      </c>
      <c r="B503" t="s">
        <v>11</v>
      </c>
      <c r="C503">
        <v>25</v>
      </c>
      <c r="D503">
        <v>68</v>
      </c>
      <c r="E503" t="s">
        <v>18</v>
      </c>
      <c r="F503" t="s">
        <v>22</v>
      </c>
      <c r="G503" t="s">
        <v>19</v>
      </c>
      <c r="H503">
        <v>60.95</v>
      </c>
      <c r="I503">
        <v>4545.72</v>
      </c>
      <c r="J503" t="s">
        <v>15</v>
      </c>
      <c r="K503" t="str">
        <f>IF(D503&lt;=12,"0-12 Months",IF(D503&lt;=24,"13-24 Months",IF(D503&lt;=48,"25-48 Months","49+ Months")))</f>
        <v>49+ Months</v>
      </c>
      <c r="L503">
        <f>IF(Table134[[#This Row],[Churn]]="Yes",1,0)</f>
        <v>0</v>
      </c>
    </row>
    <row r="504" spans="1:12" x14ac:dyDescent="0.35">
      <c r="A504" t="s">
        <v>526</v>
      </c>
      <c r="B504" t="s">
        <v>11</v>
      </c>
      <c r="C504">
        <v>59</v>
      </c>
      <c r="D504">
        <v>7</v>
      </c>
      <c r="E504" t="s">
        <v>18</v>
      </c>
      <c r="F504" t="s">
        <v>29</v>
      </c>
      <c r="G504" t="s">
        <v>23</v>
      </c>
      <c r="H504">
        <v>49.2</v>
      </c>
      <c r="I504">
        <v>372.62</v>
      </c>
      <c r="J504" t="s">
        <v>15</v>
      </c>
      <c r="K504" t="str">
        <f>IF(D504&lt;=12,"0-12 Months",IF(D504&lt;=24,"13-24 Months",IF(D504&lt;=48,"25-48 Months","49+ Months")))</f>
        <v>0-12 Months</v>
      </c>
      <c r="L504">
        <f>IF(Table134[[#This Row],[Churn]]="Yes",1,0)</f>
        <v>0</v>
      </c>
    </row>
    <row r="505" spans="1:12" x14ac:dyDescent="0.35">
      <c r="A505" t="s">
        <v>527</v>
      </c>
      <c r="B505" t="s">
        <v>17</v>
      </c>
      <c r="C505">
        <v>66</v>
      </c>
      <c r="D505">
        <v>54</v>
      </c>
      <c r="E505" t="s">
        <v>12</v>
      </c>
      <c r="F505" t="s">
        <v>22</v>
      </c>
      <c r="G505" t="s">
        <v>23</v>
      </c>
      <c r="H505">
        <v>28.99</v>
      </c>
      <c r="I505">
        <v>1675.6</v>
      </c>
      <c r="J505" t="s">
        <v>27</v>
      </c>
      <c r="K505" t="str">
        <f>IF(D505&lt;=12,"0-12 Months",IF(D505&lt;=24,"13-24 Months",IF(D505&lt;=48,"25-48 Months","49+ Months")))</f>
        <v>49+ Months</v>
      </c>
      <c r="L505">
        <f>IF(Table134[[#This Row],[Churn]]="Yes",1,0)</f>
        <v>1</v>
      </c>
    </row>
    <row r="506" spans="1:12" x14ac:dyDescent="0.35">
      <c r="A506" t="s">
        <v>528</v>
      </c>
      <c r="B506" t="s">
        <v>11</v>
      </c>
      <c r="C506">
        <v>45</v>
      </c>
      <c r="D506">
        <v>1</v>
      </c>
      <c r="E506" t="s">
        <v>12</v>
      </c>
      <c r="F506" t="s">
        <v>29</v>
      </c>
      <c r="G506" t="s">
        <v>14</v>
      </c>
      <c r="H506">
        <v>127.57</v>
      </c>
      <c r="I506">
        <v>116.15</v>
      </c>
      <c r="J506" t="s">
        <v>27</v>
      </c>
      <c r="K506" t="str">
        <f>IF(D506&lt;=12,"0-12 Months",IF(D506&lt;=24,"13-24 Months",IF(D506&lt;=48,"25-48 Months","49+ Months")))</f>
        <v>0-12 Months</v>
      </c>
      <c r="L506">
        <f>IF(Table134[[#This Row],[Churn]]="Yes",1,0)</f>
        <v>1</v>
      </c>
    </row>
    <row r="507" spans="1:12" x14ac:dyDescent="0.35">
      <c r="A507" t="s">
        <v>529</v>
      </c>
      <c r="B507" t="s">
        <v>11</v>
      </c>
      <c r="C507">
        <v>48</v>
      </c>
      <c r="D507">
        <v>44</v>
      </c>
      <c r="E507" t="s">
        <v>21</v>
      </c>
      <c r="F507" t="s">
        <v>13</v>
      </c>
      <c r="G507" t="s">
        <v>14</v>
      </c>
      <c r="H507">
        <v>53.09</v>
      </c>
      <c r="I507">
        <v>2151.15</v>
      </c>
      <c r="J507" t="s">
        <v>15</v>
      </c>
      <c r="K507" t="str">
        <f>IF(D507&lt;=12,"0-12 Months",IF(D507&lt;=24,"13-24 Months",IF(D507&lt;=48,"25-48 Months","49+ Months")))</f>
        <v>25-48 Months</v>
      </c>
      <c r="L507">
        <f>IF(Table134[[#This Row],[Churn]]="Yes",1,0)</f>
        <v>0</v>
      </c>
    </row>
    <row r="508" spans="1:12" x14ac:dyDescent="0.35">
      <c r="A508" t="s">
        <v>530</v>
      </c>
      <c r="B508" t="s">
        <v>17</v>
      </c>
      <c r="C508">
        <v>26</v>
      </c>
      <c r="D508">
        <v>45</v>
      </c>
      <c r="E508" t="s">
        <v>12</v>
      </c>
      <c r="F508" t="s">
        <v>22</v>
      </c>
      <c r="G508" t="s">
        <v>19</v>
      </c>
      <c r="H508">
        <v>81.489999999999995</v>
      </c>
      <c r="I508">
        <v>3717.64</v>
      </c>
      <c r="J508" t="s">
        <v>15</v>
      </c>
      <c r="K508" t="str">
        <f>IF(D508&lt;=12,"0-12 Months",IF(D508&lt;=24,"13-24 Months",IF(D508&lt;=48,"25-48 Months","49+ Months")))</f>
        <v>25-48 Months</v>
      </c>
      <c r="L508">
        <f>IF(Table134[[#This Row],[Churn]]="Yes",1,0)</f>
        <v>0</v>
      </c>
    </row>
    <row r="509" spans="1:12" x14ac:dyDescent="0.35">
      <c r="A509" t="s">
        <v>531</v>
      </c>
      <c r="B509" t="s">
        <v>11</v>
      </c>
      <c r="C509">
        <v>68</v>
      </c>
      <c r="D509">
        <v>47</v>
      </c>
      <c r="E509" t="s">
        <v>12</v>
      </c>
      <c r="F509" t="s">
        <v>29</v>
      </c>
      <c r="G509" t="s">
        <v>23</v>
      </c>
      <c r="H509">
        <v>25.63</v>
      </c>
      <c r="I509">
        <v>1212.19</v>
      </c>
      <c r="J509" t="s">
        <v>27</v>
      </c>
      <c r="K509" t="str">
        <f>IF(D509&lt;=12,"0-12 Months",IF(D509&lt;=24,"13-24 Months",IF(D509&lt;=48,"25-48 Months","49+ Months")))</f>
        <v>25-48 Months</v>
      </c>
      <c r="L509">
        <f>IF(Table134[[#This Row],[Churn]]="Yes",1,0)</f>
        <v>1</v>
      </c>
    </row>
    <row r="510" spans="1:12" x14ac:dyDescent="0.35">
      <c r="A510" t="s">
        <v>532</v>
      </c>
      <c r="B510" t="s">
        <v>17</v>
      </c>
      <c r="C510">
        <v>46</v>
      </c>
      <c r="D510">
        <v>13</v>
      </c>
      <c r="E510" t="s">
        <v>12</v>
      </c>
      <c r="F510" t="s">
        <v>29</v>
      </c>
      <c r="G510" t="s">
        <v>14</v>
      </c>
      <c r="H510">
        <v>110.91</v>
      </c>
      <c r="I510">
        <v>1429.71</v>
      </c>
      <c r="J510" t="s">
        <v>27</v>
      </c>
      <c r="K510" t="str">
        <f>IF(D510&lt;=12,"0-12 Months",IF(D510&lt;=24,"13-24 Months",IF(D510&lt;=48,"25-48 Months","49+ Months")))</f>
        <v>13-24 Months</v>
      </c>
      <c r="L510">
        <f>IF(Table134[[#This Row],[Churn]]="Yes",1,0)</f>
        <v>1</v>
      </c>
    </row>
    <row r="511" spans="1:12" x14ac:dyDescent="0.35">
      <c r="A511" t="s">
        <v>533</v>
      </c>
      <c r="B511" t="s">
        <v>17</v>
      </c>
      <c r="C511">
        <v>31</v>
      </c>
      <c r="D511">
        <v>22</v>
      </c>
      <c r="E511" t="s">
        <v>12</v>
      </c>
      <c r="F511" t="s">
        <v>33</v>
      </c>
      <c r="G511" t="s">
        <v>14</v>
      </c>
      <c r="H511">
        <v>62.97</v>
      </c>
      <c r="I511">
        <v>1356.74</v>
      </c>
      <c r="J511" t="s">
        <v>27</v>
      </c>
      <c r="K511" t="str">
        <f>IF(D511&lt;=12,"0-12 Months",IF(D511&lt;=24,"13-24 Months",IF(D511&lt;=48,"25-48 Months","49+ Months")))</f>
        <v>13-24 Months</v>
      </c>
      <c r="L511">
        <f>IF(Table134[[#This Row],[Churn]]="Yes",1,0)</f>
        <v>1</v>
      </c>
    </row>
    <row r="512" spans="1:12" x14ac:dyDescent="0.35">
      <c r="A512" t="s">
        <v>534</v>
      </c>
      <c r="B512" t="s">
        <v>11</v>
      </c>
      <c r="C512">
        <v>57</v>
      </c>
      <c r="D512">
        <v>21</v>
      </c>
      <c r="E512" t="s">
        <v>21</v>
      </c>
      <c r="F512" t="s">
        <v>22</v>
      </c>
      <c r="G512" t="s">
        <v>23</v>
      </c>
      <c r="H512">
        <v>116.82</v>
      </c>
      <c r="I512">
        <v>2419.4699999999998</v>
      </c>
      <c r="J512" t="s">
        <v>15</v>
      </c>
      <c r="K512" t="str">
        <f>IF(D512&lt;=12,"0-12 Months",IF(D512&lt;=24,"13-24 Months",IF(D512&lt;=48,"25-48 Months","49+ Months")))</f>
        <v>13-24 Months</v>
      </c>
      <c r="L512">
        <f>IF(Table134[[#This Row],[Churn]]="Yes",1,0)</f>
        <v>0</v>
      </c>
    </row>
    <row r="513" spans="1:12" x14ac:dyDescent="0.35">
      <c r="A513" t="s">
        <v>535</v>
      </c>
      <c r="B513" t="s">
        <v>17</v>
      </c>
      <c r="C513">
        <v>58</v>
      </c>
      <c r="D513">
        <v>9</v>
      </c>
      <c r="E513" t="s">
        <v>12</v>
      </c>
      <c r="F513" t="s">
        <v>29</v>
      </c>
      <c r="G513" t="s">
        <v>23</v>
      </c>
      <c r="H513">
        <v>73.61</v>
      </c>
      <c r="I513">
        <v>671.67</v>
      </c>
      <c r="J513" t="s">
        <v>27</v>
      </c>
      <c r="K513" t="str">
        <f>IF(D513&lt;=12,"0-12 Months",IF(D513&lt;=24,"13-24 Months",IF(D513&lt;=48,"25-48 Months","49+ Months")))</f>
        <v>0-12 Months</v>
      </c>
      <c r="L513">
        <f>IF(Table134[[#This Row],[Churn]]="Yes",1,0)</f>
        <v>1</v>
      </c>
    </row>
    <row r="514" spans="1:12" x14ac:dyDescent="0.35">
      <c r="A514" t="s">
        <v>536</v>
      </c>
      <c r="B514" t="s">
        <v>11</v>
      </c>
      <c r="C514">
        <v>39</v>
      </c>
      <c r="D514">
        <v>26</v>
      </c>
      <c r="E514" t="s">
        <v>21</v>
      </c>
      <c r="F514" t="s">
        <v>22</v>
      </c>
      <c r="G514" t="s">
        <v>14</v>
      </c>
      <c r="H514">
        <v>45.45</v>
      </c>
      <c r="I514">
        <v>1064.02</v>
      </c>
      <c r="J514" t="s">
        <v>15</v>
      </c>
      <c r="K514" t="str">
        <f>IF(D514&lt;=12,"0-12 Months",IF(D514&lt;=24,"13-24 Months",IF(D514&lt;=48,"25-48 Months","49+ Months")))</f>
        <v>25-48 Months</v>
      </c>
      <c r="L514">
        <f>IF(Table134[[#This Row],[Churn]]="Yes",1,0)</f>
        <v>0</v>
      </c>
    </row>
    <row r="515" spans="1:12" x14ac:dyDescent="0.35">
      <c r="A515" t="s">
        <v>537</v>
      </c>
      <c r="B515" t="s">
        <v>17</v>
      </c>
      <c r="C515">
        <v>28</v>
      </c>
      <c r="D515">
        <v>9</v>
      </c>
      <c r="E515" t="s">
        <v>18</v>
      </c>
      <c r="F515" t="s">
        <v>13</v>
      </c>
      <c r="G515" t="s">
        <v>19</v>
      </c>
      <c r="H515">
        <v>86.71</v>
      </c>
      <c r="I515">
        <v>743.04</v>
      </c>
      <c r="J515" t="s">
        <v>15</v>
      </c>
      <c r="K515" t="str">
        <f>IF(D515&lt;=12,"0-12 Months",IF(D515&lt;=24,"13-24 Months",IF(D515&lt;=48,"25-48 Months","49+ Months")))</f>
        <v>0-12 Months</v>
      </c>
      <c r="L515">
        <f>IF(Table134[[#This Row],[Churn]]="Yes",1,0)</f>
        <v>0</v>
      </c>
    </row>
    <row r="516" spans="1:12" x14ac:dyDescent="0.35">
      <c r="A516" t="s">
        <v>538</v>
      </c>
      <c r="B516" t="s">
        <v>17</v>
      </c>
      <c r="C516">
        <v>40</v>
      </c>
      <c r="D516">
        <v>15</v>
      </c>
      <c r="E516" t="s">
        <v>12</v>
      </c>
      <c r="F516" t="s">
        <v>13</v>
      </c>
      <c r="G516" t="s">
        <v>14</v>
      </c>
      <c r="H516">
        <v>36.97</v>
      </c>
      <c r="I516">
        <v>556.58000000000004</v>
      </c>
      <c r="J516" t="s">
        <v>15</v>
      </c>
      <c r="K516" t="str">
        <f>IF(D516&lt;=12,"0-12 Months",IF(D516&lt;=24,"13-24 Months",IF(D516&lt;=48,"25-48 Months","49+ Months")))</f>
        <v>13-24 Months</v>
      </c>
      <c r="L516">
        <f>IF(Table134[[#This Row],[Churn]]="Yes",1,0)</f>
        <v>0</v>
      </c>
    </row>
    <row r="517" spans="1:12" x14ac:dyDescent="0.35">
      <c r="A517" t="s">
        <v>539</v>
      </c>
      <c r="B517" t="s">
        <v>11</v>
      </c>
      <c r="C517">
        <v>18</v>
      </c>
      <c r="D517">
        <v>10</v>
      </c>
      <c r="E517" t="s">
        <v>21</v>
      </c>
      <c r="F517" t="s">
        <v>33</v>
      </c>
      <c r="G517" t="s">
        <v>19</v>
      </c>
      <c r="H517">
        <v>77.27</v>
      </c>
      <c r="I517">
        <v>807.04</v>
      </c>
      <c r="J517" t="s">
        <v>15</v>
      </c>
      <c r="K517" t="str">
        <f>IF(D517&lt;=12,"0-12 Months",IF(D517&lt;=24,"13-24 Months",IF(D517&lt;=48,"25-48 Months","49+ Months")))</f>
        <v>0-12 Months</v>
      </c>
      <c r="L517">
        <f>IF(Table134[[#This Row],[Churn]]="Yes",1,0)</f>
        <v>0</v>
      </c>
    </row>
    <row r="518" spans="1:12" x14ac:dyDescent="0.35">
      <c r="A518" t="s">
        <v>540</v>
      </c>
      <c r="B518" t="s">
        <v>17</v>
      </c>
      <c r="C518">
        <v>63</v>
      </c>
      <c r="D518">
        <v>42</v>
      </c>
      <c r="E518" t="s">
        <v>18</v>
      </c>
      <c r="F518" t="s">
        <v>22</v>
      </c>
      <c r="G518" t="s">
        <v>23</v>
      </c>
      <c r="H518">
        <v>61.25</v>
      </c>
      <c r="I518">
        <v>2404.85</v>
      </c>
      <c r="J518" t="s">
        <v>15</v>
      </c>
      <c r="K518" t="str">
        <f>IF(D518&lt;=12,"0-12 Months",IF(D518&lt;=24,"13-24 Months",IF(D518&lt;=48,"25-48 Months","49+ Months")))</f>
        <v>25-48 Months</v>
      </c>
      <c r="L518">
        <f>IF(Table134[[#This Row],[Churn]]="Yes",1,0)</f>
        <v>0</v>
      </c>
    </row>
    <row r="519" spans="1:12" x14ac:dyDescent="0.35">
      <c r="A519" t="s">
        <v>541</v>
      </c>
      <c r="B519" t="s">
        <v>17</v>
      </c>
      <c r="C519">
        <v>54</v>
      </c>
      <c r="D519">
        <v>72</v>
      </c>
      <c r="E519" t="s">
        <v>12</v>
      </c>
      <c r="F519" t="s">
        <v>13</v>
      </c>
      <c r="G519" t="s">
        <v>23</v>
      </c>
      <c r="H519">
        <v>138.55000000000001</v>
      </c>
      <c r="I519">
        <v>10069.129999999999</v>
      </c>
      <c r="J519" t="s">
        <v>15</v>
      </c>
      <c r="K519" t="str">
        <f>IF(D519&lt;=12,"0-12 Months",IF(D519&lt;=24,"13-24 Months",IF(D519&lt;=48,"25-48 Months","49+ Months")))</f>
        <v>49+ Months</v>
      </c>
      <c r="L519">
        <f>IF(Table134[[#This Row],[Churn]]="Yes",1,0)</f>
        <v>0</v>
      </c>
    </row>
    <row r="520" spans="1:12" x14ac:dyDescent="0.35">
      <c r="A520" t="s">
        <v>542</v>
      </c>
      <c r="B520" t="s">
        <v>17</v>
      </c>
      <c r="C520">
        <v>38</v>
      </c>
      <c r="D520">
        <v>24</v>
      </c>
      <c r="E520" t="s">
        <v>12</v>
      </c>
      <c r="F520" t="s">
        <v>33</v>
      </c>
      <c r="G520" t="s">
        <v>14</v>
      </c>
      <c r="H520">
        <v>27.92</v>
      </c>
      <c r="I520">
        <v>698.82</v>
      </c>
      <c r="J520" t="s">
        <v>15</v>
      </c>
      <c r="K520" t="str">
        <f>IF(D520&lt;=12,"0-12 Months",IF(D520&lt;=24,"13-24 Months",IF(D520&lt;=48,"25-48 Months","49+ Months")))</f>
        <v>13-24 Months</v>
      </c>
      <c r="L520">
        <f>IF(Table134[[#This Row],[Churn]]="Yes",1,0)</f>
        <v>0</v>
      </c>
    </row>
    <row r="521" spans="1:12" x14ac:dyDescent="0.35">
      <c r="A521" t="s">
        <v>543</v>
      </c>
      <c r="B521" t="s">
        <v>17</v>
      </c>
      <c r="C521">
        <v>43</v>
      </c>
      <c r="D521">
        <v>49</v>
      </c>
      <c r="E521" t="s">
        <v>21</v>
      </c>
      <c r="F521" t="s">
        <v>33</v>
      </c>
      <c r="G521" t="s">
        <v>14</v>
      </c>
      <c r="H521">
        <v>110.22</v>
      </c>
      <c r="I521">
        <v>5340.97</v>
      </c>
      <c r="J521" t="s">
        <v>15</v>
      </c>
      <c r="K521" t="str">
        <f>IF(D521&lt;=12,"0-12 Months",IF(D521&lt;=24,"13-24 Months",IF(D521&lt;=48,"25-48 Months","49+ Months")))</f>
        <v>49+ Months</v>
      </c>
      <c r="L521">
        <f>IF(Table134[[#This Row],[Churn]]="Yes",1,0)</f>
        <v>0</v>
      </c>
    </row>
    <row r="522" spans="1:12" x14ac:dyDescent="0.35">
      <c r="A522" t="s">
        <v>544</v>
      </c>
      <c r="B522" t="s">
        <v>17</v>
      </c>
      <c r="C522">
        <v>63</v>
      </c>
      <c r="D522">
        <v>26</v>
      </c>
      <c r="E522" t="s">
        <v>21</v>
      </c>
      <c r="F522" t="s">
        <v>29</v>
      </c>
      <c r="G522" t="s">
        <v>23</v>
      </c>
      <c r="H522">
        <v>43.76</v>
      </c>
      <c r="I522">
        <v>1030.1500000000001</v>
      </c>
      <c r="J522" t="s">
        <v>15</v>
      </c>
      <c r="K522" t="str">
        <f>IF(D522&lt;=12,"0-12 Months",IF(D522&lt;=24,"13-24 Months",IF(D522&lt;=48,"25-48 Months","49+ Months")))</f>
        <v>25-48 Months</v>
      </c>
      <c r="L522">
        <f>IF(Table134[[#This Row],[Churn]]="Yes",1,0)</f>
        <v>0</v>
      </c>
    </row>
    <row r="523" spans="1:12" x14ac:dyDescent="0.35">
      <c r="A523" t="s">
        <v>545</v>
      </c>
      <c r="B523" t="s">
        <v>11</v>
      </c>
      <c r="C523">
        <v>53</v>
      </c>
      <c r="D523">
        <v>37</v>
      </c>
      <c r="E523" t="s">
        <v>18</v>
      </c>
      <c r="F523" t="s">
        <v>29</v>
      </c>
      <c r="G523" t="s">
        <v>23</v>
      </c>
      <c r="H523">
        <v>61.48</v>
      </c>
      <c r="I523">
        <v>2251.6799999999998</v>
      </c>
      <c r="J523" t="s">
        <v>15</v>
      </c>
      <c r="K523" t="str">
        <f>IF(D523&lt;=12,"0-12 Months",IF(D523&lt;=24,"13-24 Months",IF(D523&lt;=48,"25-48 Months","49+ Months")))</f>
        <v>25-48 Months</v>
      </c>
      <c r="L523">
        <f>IF(Table134[[#This Row],[Churn]]="Yes",1,0)</f>
        <v>0</v>
      </c>
    </row>
    <row r="524" spans="1:12" x14ac:dyDescent="0.35">
      <c r="A524" t="s">
        <v>546</v>
      </c>
      <c r="B524" t="s">
        <v>17</v>
      </c>
      <c r="C524">
        <v>40</v>
      </c>
      <c r="D524">
        <v>68</v>
      </c>
      <c r="E524" t="s">
        <v>12</v>
      </c>
      <c r="F524" t="s">
        <v>29</v>
      </c>
      <c r="G524" t="s">
        <v>14</v>
      </c>
      <c r="H524">
        <v>74.02</v>
      </c>
      <c r="I524">
        <v>4828.45</v>
      </c>
      <c r="J524" t="s">
        <v>27</v>
      </c>
      <c r="K524" t="str">
        <f>IF(D524&lt;=12,"0-12 Months",IF(D524&lt;=24,"13-24 Months",IF(D524&lt;=48,"25-48 Months","49+ Months")))</f>
        <v>49+ Months</v>
      </c>
      <c r="L524">
        <f>IF(Table134[[#This Row],[Churn]]="Yes",1,0)</f>
        <v>1</v>
      </c>
    </row>
    <row r="525" spans="1:12" x14ac:dyDescent="0.35">
      <c r="A525" t="s">
        <v>547</v>
      </c>
      <c r="B525" t="s">
        <v>11</v>
      </c>
      <c r="C525">
        <v>18</v>
      </c>
      <c r="D525">
        <v>50</v>
      </c>
      <c r="E525" t="s">
        <v>18</v>
      </c>
      <c r="F525" t="s">
        <v>22</v>
      </c>
      <c r="G525" t="s">
        <v>19</v>
      </c>
      <c r="H525">
        <v>138.04</v>
      </c>
      <c r="I525">
        <v>7495.09</v>
      </c>
      <c r="J525" t="s">
        <v>15</v>
      </c>
      <c r="K525" t="str">
        <f>IF(D525&lt;=12,"0-12 Months",IF(D525&lt;=24,"13-24 Months",IF(D525&lt;=48,"25-48 Months","49+ Months")))</f>
        <v>49+ Months</v>
      </c>
      <c r="L525">
        <f>IF(Table134[[#This Row],[Churn]]="Yes",1,0)</f>
        <v>0</v>
      </c>
    </row>
    <row r="526" spans="1:12" x14ac:dyDescent="0.35">
      <c r="A526" t="s">
        <v>548</v>
      </c>
      <c r="B526" t="s">
        <v>17</v>
      </c>
      <c r="C526">
        <v>68</v>
      </c>
      <c r="D526">
        <v>24</v>
      </c>
      <c r="E526" t="s">
        <v>12</v>
      </c>
      <c r="F526" t="s">
        <v>22</v>
      </c>
      <c r="G526" t="s">
        <v>23</v>
      </c>
      <c r="H526">
        <v>51.54</v>
      </c>
      <c r="I526">
        <v>1144.0899999999999</v>
      </c>
      <c r="J526" t="s">
        <v>15</v>
      </c>
      <c r="K526" t="str">
        <f>IF(D526&lt;=12,"0-12 Months",IF(D526&lt;=24,"13-24 Months",IF(D526&lt;=48,"25-48 Months","49+ Months")))</f>
        <v>13-24 Months</v>
      </c>
      <c r="L526">
        <f>IF(Table134[[#This Row],[Churn]]="Yes",1,0)</f>
        <v>0</v>
      </c>
    </row>
    <row r="527" spans="1:12" x14ac:dyDescent="0.35">
      <c r="A527" t="s">
        <v>549</v>
      </c>
      <c r="B527" t="s">
        <v>11</v>
      </c>
      <c r="C527">
        <v>57</v>
      </c>
      <c r="D527">
        <v>19</v>
      </c>
      <c r="E527" t="s">
        <v>12</v>
      </c>
      <c r="F527" t="s">
        <v>22</v>
      </c>
      <c r="G527" t="s">
        <v>23</v>
      </c>
      <c r="H527">
        <v>31.87</v>
      </c>
      <c r="I527">
        <v>624</v>
      </c>
      <c r="J527" t="s">
        <v>15</v>
      </c>
      <c r="K527" t="str">
        <f>IF(D527&lt;=12,"0-12 Months",IF(D527&lt;=24,"13-24 Months",IF(D527&lt;=48,"25-48 Months","49+ Months")))</f>
        <v>13-24 Months</v>
      </c>
      <c r="L527">
        <f>IF(Table134[[#This Row],[Churn]]="Yes",1,0)</f>
        <v>0</v>
      </c>
    </row>
    <row r="528" spans="1:12" x14ac:dyDescent="0.35">
      <c r="A528" t="s">
        <v>550</v>
      </c>
      <c r="B528" t="s">
        <v>11</v>
      </c>
      <c r="C528">
        <v>32</v>
      </c>
      <c r="D528">
        <v>60</v>
      </c>
      <c r="E528" t="s">
        <v>21</v>
      </c>
      <c r="F528" t="s">
        <v>33</v>
      </c>
      <c r="G528" t="s">
        <v>14</v>
      </c>
      <c r="H528">
        <v>61.43</v>
      </c>
      <c r="I528">
        <v>3356.08</v>
      </c>
      <c r="J528" t="s">
        <v>15</v>
      </c>
      <c r="K528" t="str">
        <f>IF(D528&lt;=12,"0-12 Months",IF(D528&lt;=24,"13-24 Months",IF(D528&lt;=48,"25-48 Months","49+ Months")))</f>
        <v>49+ Months</v>
      </c>
      <c r="L528">
        <f>IF(Table134[[#This Row],[Churn]]="Yes",1,0)</f>
        <v>0</v>
      </c>
    </row>
    <row r="529" spans="1:12" x14ac:dyDescent="0.35">
      <c r="A529" t="s">
        <v>551</v>
      </c>
      <c r="B529" t="s">
        <v>17</v>
      </c>
      <c r="C529">
        <v>38</v>
      </c>
      <c r="D529">
        <v>39</v>
      </c>
      <c r="E529" t="s">
        <v>12</v>
      </c>
      <c r="F529" t="s">
        <v>22</v>
      </c>
      <c r="G529" t="s">
        <v>14</v>
      </c>
      <c r="H529">
        <v>33.61</v>
      </c>
      <c r="I529">
        <v>1296.68</v>
      </c>
      <c r="J529" t="s">
        <v>15</v>
      </c>
      <c r="K529" t="str">
        <f>IF(D529&lt;=12,"0-12 Months",IF(D529&lt;=24,"13-24 Months",IF(D529&lt;=48,"25-48 Months","49+ Months")))</f>
        <v>25-48 Months</v>
      </c>
      <c r="L529">
        <f>IF(Table134[[#This Row],[Churn]]="Yes",1,0)</f>
        <v>0</v>
      </c>
    </row>
    <row r="530" spans="1:12" x14ac:dyDescent="0.35">
      <c r="A530" t="s">
        <v>552</v>
      </c>
      <c r="B530" t="s">
        <v>17</v>
      </c>
      <c r="C530">
        <v>64</v>
      </c>
      <c r="D530">
        <v>18</v>
      </c>
      <c r="E530" t="s">
        <v>12</v>
      </c>
      <c r="F530" t="s">
        <v>29</v>
      </c>
      <c r="G530" t="s">
        <v>23</v>
      </c>
      <c r="H530">
        <v>36.72</v>
      </c>
      <c r="I530">
        <v>668.1</v>
      </c>
      <c r="J530" t="s">
        <v>15</v>
      </c>
      <c r="K530" t="str">
        <f>IF(D530&lt;=12,"0-12 Months",IF(D530&lt;=24,"13-24 Months",IF(D530&lt;=48,"25-48 Months","49+ Months")))</f>
        <v>13-24 Months</v>
      </c>
      <c r="L530">
        <f>IF(Table134[[#This Row],[Churn]]="Yes",1,0)</f>
        <v>0</v>
      </c>
    </row>
    <row r="531" spans="1:12" x14ac:dyDescent="0.35">
      <c r="A531" t="s">
        <v>553</v>
      </c>
      <c r="B531" t="s">
        <v>17</v>
      </c>
      <c r="C531">
        <v>26</v>
      </c>
      <c r="D531">
        <v>19</v>
      </c>
      <c r="E531" t="s">
        <v>12</v>
      </c>
      <c r="F531" t="s">
        <v>29</v>
      </c>
      <c r="G531" t="s">
        <v>19</v>
      </c>
      <c r="H531">
        <v>94.6</v>
      </c>
      <c r="I531">
        <v>1724.77</v>
      </c>
      <c r="J531" t="s">
        <v>27</v>
      </c>
      <c r="K531" t="str">
        <f>IF(D531&lt;=12,"0-12 Months",IF(D531&lt;=24,"13-24 Months",IF(D531&lt;=48,"25-48 Months","49+ Months")))</f>
        <v>13-24 Months</v>
      </c>
      <c r="L531">
        <f>IF(Table134[[#This Row],[Churn]]="Yes",1,0)</f>
        <v>1</v>
      </c>
    </row>
    <row r="532" spans="1:12" x14ac:dyDescent="0.35">
      <c r="A532" t="s">
        <v>554</v>
      </c>
      <c r="B532" t="s">
        <v>11</v>
      </c>
      <c r="C532">
        <v>70</v>
      </c>
      <c r="D532">
        <v>36</v>
      </c>
      <c r="E532" t="s">
        <v>12</v>
      </c>
      <c r="F532" t="s">
        <v>13</v>
      </c>
      <c r="G532" t="s">
        <v>23</v>
      </c>
      <c r="H532">
        <v>27.92</v>
      </c>
      <c r="I532">
        <v>996.09</v>
      </c>
      <c r="J532" t="s">
        <v>15</v>
      </c>
      <c r="K532" t="str">
        <f>IF(D532&lt;=12,"0-12 Months",IF(D532&lt;=24,"13-24 Months",IF(D532&lt;=48,"25-48 Months","49+ Months")))</f>
        <v>25-48 Months</v>
      </c>
      <c r="L532">
        <f>IF(Table134[[#This Row],[Churn]]="Yes",1,0)</f>
        <v>0</v>
      </c>
    </row>
    <row r="533" spans="1:12" x14ac:dyDescent="0.35">
      <c r="A533" t="s">
        <v>555</v>
      </c>
      <c r="B533" t="s">
        <v>17</v>
      </c>
      <c r="C533">
        <v>26</v>
      </c>
      <c r="D533">
        <v>55</v>
      </c>
      <c r="E533" t="s">
        <v>12</v>
      </c>
      <c r="F533" t="s">
        <v>13</v>
      </c>
      <c r="G533" t="s">
        <v>19</v>
      </c>
      <c r="H533">
        <v>24.02</v>
      </c>
      <c r="I533">
        <v>1232.2</v>
      </c>
      <c r="J533" t="s">
        <v>27</v>
      </c>
      <c r="K533" t="str">
        <f>IF(D533&lt;=12,"0-12 Months",IF(D533&lt;=24,"13-24 Months",IF(D533&lt;=48,"25-48 Months","49+ Months")))</f>
        <v>49+ Months</v>
      </c>
      <c r="L533">
        <f>IF(Table134[[#This Row],[Churn]]="Yes",1,0)</f>
        <v>1</v>
      </c>
    </row>
    <row r="534" spans="1:12" x14ac:dyDescent="0.35">
      <c r="A534" t="s">
        <v>556</v>
      </c>
      <c r="B534" t="s">
        <v>11</v>
      </c>
      <c r="C534">
        <v>27</v>
      </c>
      <c r="D534">
        <v>69</v>
      </c>
      <c r="E534" t="s">
        <v>18</v>
      </c>
      <c r="F534" t="s">
        <v>22</v>
      </c>
      <c r="G534" t="s">
        <v>19</v>
      </c>
      <c r="H534">
        <v>112.87</v>
      </c>
      <c r="I534">
        <v>7482.93</v>
      </c>
      <c r="J534" t="s">
        <v>27</v>
      </c>
      <c r="K534" t="str">
        <f>IF(D534&lt;=12,"0-12 Months",IF(D534&lt;=24,"13-24 Months",IF(D534&lt;=48,"25-48 Months","49+ Months")))</f>
        <v>49+ Months</v>
      </c>
      <c r="L534">
        <f>IF(Table134[[#This Row],[Churn]]="Yes",1,0)</f>
        <v>1</v>
      </c>
    </row>
    <row r="535" spans="1:12" x14ac:dyDescent="0.35">
      <c r="A535" t="s">
        <v>557</v>
      </c>
      <c r="B535" t="s">
        <v>11</v>
      </c>
      <c r="C535">
        <v>69</v>
      </c>
      <c r="D535">
        <v>47</v>
      </c>
      <c r="E535" t="s">
        <v>12</v>
      </c>
      <c r="F535" t="s">
        <v>33</v>
      </c>
      <c r="G535" t="s">
        <v>23</v>
      </c>
      <c r="H535">
        <v>67.010000000000005</v>
      </c>
      <c r="I535">
        <v>3225.75</v>
      </c>
      <c r="J535" t="s">
        <v>15</v>
      </c>
      <c r="K535" t="str">
        <f>IF(D535&lt;=12,"0-12 Months",IF(D535&lt;=24,"13-24 Months",IF(D535&lt;=48,"25-48 Months","49+ Months")))</f>
        <v>25-48 Months</v>
      </c>
      <c r="L535">
        <f>IF(Table134[[#This Row],[Churn]]="Yes",1,0)</f>
        <v>0</v>
      </c>
    </row>
    <row r="536" spans="1:12" x14ac:dyDescent="0.35">
      <c r="A536" t="s">
        <v>558</v>
      </c>
      <c r="B536" t="s">
        <v>11</v>
      </c>
      <c r="C536">
        <v>70</v>
      </c>
      <c r="D536">
        <v>49</v>
      </c>
      <c r="E536" t="s">
        <v>21</v>
      </c>
      <c r="F536" t="s">
        <v>29</v>
      </c>
      <c r="G536" t="s">
        <v>23</v>
      </c>
      <c r="H536">
        <v>36.299999999999997</v>
      </c>
      <c r="I536">
        <v>1708.19</v>
      </c>
      <c r="J536" t="s">
        <v>15</v>
      </c>
      <c r="K536" t="str">
        <f>IF(D536&lt;=12,"0-12 Months",IF(D536&lt;=24,"13-24 Months",IF(D536&lt;=48,"25-48 Months","49+ Months")))</f>
        <v>49+ Months</v>
      </c>
      <c r="L536">
        <f>IF(Table134[[#This Row],[Churn]]="Yes",1,0)</f>
        <v>0</v>
      </c>
    </row>
    <row r="537" spans="1:12" x14ac:dyDescent="0.35">
      <c r="A537" t="s">
        <v>559</v>
      </c>
      <c r="B537" t="s">
        <v>17</v>
      </c>
      <c r="C537">
        <v>43</v>
      </c>
      <c r="D537">
        <v>33</v>
      </c>
      <c r="E537" t="s">
        <v>21</v>
      </c>
      <c r="F537" t="s">
        <v>13</v>
      </c>
      <c r="G537" t="s">
        <v>14</v>
      </c>
      <c r="H537">
        <v>52.97</v>
      </c>
      <c r="I537">
        <v>1887.76</v>
      </c>
      <c r="J537" t="s">
        <v>15</v>
      </c>
      <c r="K537" t="str">
        <f>IF(D537&lt;=12,"0-12 Months",IF(D537&lt;=24,"13-24 Months",IF(D537&lt;=48,"25-48 Months","49+ Months")))</f>
        <v>25-48 Months</v>
      </c>
      <c r="L537">
        <f>IF(Table134[[#This Row],[Churn]]="Yes",1,0)</f>
        <v>0</v>
      </c>
    </row>
    <row r="538" spans="1:12" x14ac:dyDescent="0.35">
      <c r="A538" t="s">
        <v>560</v>
      </c>
      <c r="B538" t="s">
        <v>17</v>
      </c>
      <c r="C538">
        <v>58</v>
      </c>
      <c r="D538">
        <v>21</v>
      </c>
      <c r="E538" t="s">
        <v>18</v>
      </c>
      <c r="F538" t="s">
        <v>22</v>
      </c>
      <c r="G538" t="s">
        <v>23</v>
      </c>
      <c r="H538">
        <v>103.47</v>
      </c>
      <c r="I538">
        <v>2228.67</v>
      </c>
      <c r="J538" t="s">
        <v>15</v>
      </c>
      <c r="K538" t="str">
        <f>IF(D538&lt;=12,"0-12 Months",IF(D538&lt;=24,"13-24 Months",IF(D538&lt;=48,"25-48 Months","49+ Months")))</f>
        <v>13-24 Months</v>
      </c>
      <c r="L538">
        <f>IF(Table134[[#This Row],[Churn]]="Yes",1,0)</f>
        <v>0</v>
      </c>
    </row>
    <row r="539" spans="1:12" x14ac:dyDescent="0.35">
      <c r="A539" t="s">
        <v>561</v>
      </c>
      <c r="B539" t="s">
        <v>11</v>
      </c>
      <c r="C539">
        <v>52</v>
      </c>
      <c r="D539">
        <v>22</v>
      </c>
      <c r="E539" t="s">
        <v>12</v>
      </c>
      <c r="F539" t="s">
        <v>13</v>
      </c>
      <c r="G539" t="s">
        <v>23</v>
      </c>
      <c r="H539">
        <v>55.82</v>
      </c>
      <c r="I539">
        <v>1212.97</v>
      </c>
      <c r="J539" t="s">
        <v>15</v>
      </c>
      <c r="K539" t="str">
        <f>IF(D539&lt;=12,"0-12 Months",IF(D539&lt;=24,"13-24 Months",IF(D539&lt;=48,"25-48 Months","49+ Months")))</f>
        <v>13-24 Months</v>
      </c>
      <c r="L539">
        <f>IF(Table134[[#This Row],[Churn]]="Yes",1,0)</f>
        <v>0</v>
      </c>
    </row>
    <row r="540" spans="1:12" x14ac:dyDescent="0.35">
      <c r="A540" t="s">
        <v>562</v>
      </c>
      <c r="B540" t="s">
        <v>11</v>
      </c>
      <c r="C540">
        <v>69</v>
      </c>
      <c r="D540">
        <v>48</v>
      </c>
      <c r="E540" t="s">
        <v>18</v>
      </c>
      <c r="F540" t="s">
        <v>29</v>
      </c>
      <c r="G540" t="s">
        <v>23</v>
      </c>
      <c r="H540">
        <v>84.29</v>
      </c>
      <c r="I540">
        <v>3672.69</v>
      </c>
      <c r="J540" t="s">
        <v>15</v>
      </c>
      <c r="K540" t="str">
        <f>IF(D540&lt;=12,"0-12 Months",IF(D540&lt;=24,"13-24 Months",IF(D540&lt;=48,"25-48 Months","49+ Months")))</f>
        <v>25-48 Months</v>
      </c>
      <c r="L540">
        <f>IF(Table134[[#This Row],[Churn]]="Yes",1,0)</f>
        <v>0</v>
      </c>
    </row>
    <row r="541" spans="1:12" x14ac:dyDescent="0.35">
      <c r="A541" t="s">
        <v>563</v>
      </c>
      <c r="B541" t="s">
        <v>17</v>
      </c>
      <c r="C541">
        <v>42</v>
      </c>
      <c r="D541">
        <v>37</v>
      </c>
      <c r="E541" t="s">
        <v>12</v>
      </c>
      <c r="F541" t="s">
        <v>13</v>
      </c>
      <c r="G541" t="s">
        <v>14</v>
      </c>
      <c r="H541">
        <v>35.82</v>
      </c>
      <c r="I541">
        <v>1325.22</v>
      </c>
      <c r="J541" t="s">
        <v>15</v>
      </c>
      <c r="K541" t="str">
        <f>IF(D541&lt;=12,"0-12 Months",IF(D541&lt;=24,"13-24 Months",IF(D541&lt;=48,"25-48 Months","49+ Months")))</f>
        <v>25-48 Months</v>
      </c>
      <c r="L541">
        <f>IF(Table134[[#This Row],[Churn]]="Yes",1,0)</f>
        <v>0</v>
      </c>
    </row>
    <row r="542" spans="1:12" x14ac:dyDescent="0.35">
      <c r="A542" t="s">
        <v>564</v>
      </c>
      <c r="B542" t="s">
        <v>11</v>
      </c>
      <c r="C542">
        <v>43</v>
      </c>
      <c r="D542">
        <v>15</v>
      </c>
      <c r="E542" t="s">
        <v>21</v>
      </c>
      <c r="F542" t="s">
        <v>29</v>
      </c>
      <c r="G542" t="s">
        <v>14</v>
      </c>
      <c r="H542">
        <v>96.45</v>
      </c>
      <c r="I542">
        <v>1523.36</v>
      </c>
      <c r="J542" t="s">
        <v>15</v>
      </c>
      <c r="K542" t="str">
        <f>IF(D542&lt;=12,"0-12 Months",IF(D542&lt;=24,"13-24 Months",IF(D542&lt;=48,"25-48 Months","49+ Months")))</f>
        <v>13-24 Months</v>
      </c>
      <c r="L542">
        <f>IF(Table134[[#This Row],[Churn]]="Yes",1,0)</f>
        <v>0</v>
      </c>
    </row>
    <row r="543" spans="1:12" x14ac:dyDescent="0.35">
      <c r="A543" t="s">
        <v>565</v>
      </c>
      <c r="B543" t="s">
        <v>17</v>
      </c>
      <c r="C543">
        <v>28</v>
      </c>
      <c r="D543">
        <v>35</v>
      </c>
      <c r="E543" t="s">
        <v>21</v>
      </c>
      <c r="F543" t="s">
        <v>33</v>
      </c>
      <c r="G543" t="s">
        <v>19</v>
      </c>
      <c r="H543">
        <v>61.09</v>
      </c>
      <c r="I543">
        <v>2037.9</v>
      </c>
      <c r="J543" t="s">
        <v>15</v>
      </c>
      <c r="K543" t="str">
        <f>IF(D543&lt;=12,"0-12 Months",IF(D543&lt;=24,"13-24 Months",IF(D543&lt;=48,"25-48 Months","49+ Months")))</f>
        <v>25-48 Months</v>
      </c>
      <c r="L543">
        <f>IF(Table134[[#This Row],[Churn]]="Yes",1,0)</f>
        <v>0</v>
      </c>
    </row>
    <row r="544" spans="1:12" x14ac:dyDescent="0.35">
      <c r="A544" t="s">
        <v>566</v>
      </c>
      <c r="B544" t="s">
        <v>11</v>
      </c>
      <c r="C544">
        <v>55</v>
      </c>
      <c r="D544">
        <v>71</v>
      </c>
      <c r="E544" t="s">
        <v>18</v>
      </c>
      <c r="F544" t="s">
        <v>29</v>
      </c>
      <c r="G544" t="s">
        <v>23</v>
      </c>
      <c r="H544">
        <v>101.51</v>
      </c>
      <c r="I544">
        <v>7649.41</v>
      </c>
      <c r="J544" t="s">
        <v>15</v>
      </c>
      <c r="K544" t="str">
        <f>IF(D544&lt;=12,"0-12 Months",IF(D544&lt;=24,"13-24 Months",IF(D544&lt;=48,"25-48 Months","49+ Months")))</f>
        <v>49+ Months</v>
      </c>
      <c r="L544">
        <f>IF(Table134[[#This Row],[Churn]]="Yes",1,0)</f>
        <v>0</v>
      </c>
    </row>
    <row r="545" spans="1:12" x14ac:dyDescent="0.35">
      <c r="A545" t="s">
        <v>567</v>
      </c>
      <c r="B545" t="s">
        <v>17</v>
      </c>
      <c r="C545">
        <v>19</v>
      </c>
      <c r="D545">
        <v>32</v>
      </c>
      <c r="E545" t="s">
        <v>12</v>
      </c>
      <c r="F545" t="s">
        <v>13</v>
      </c>
      <c r="G545" t="s">
        <v>19</v>
      </c>
      <c r="H545">
        <v>125.09</v>
      </c>
      <c r="I545">
        <v>3804.18</v>
      </c>
      <c r="J545" t="s">
        <v>15</v>
      </c>
      <c r="K545" t="str">
        <f>IF(D545&lt;=12,"0-12 Months",IF(D545&lt;=24,"13-24 Months",IF(D545&lt;=48,"25-48 Months","49+ Months")))</f>
        <v>25-48 Months</v>
      </c>
      <c r="L545">
        <f>IF(Table134[[#This Row],[Churn]]="Yes",1,0)</f>
        <v>0</v>
      </c>
    </row>
    <row r="546" spans="1:12" x14ac:dyDescent="0.35">
      <c r="A546" t="s">
        <v>568</v>
      </c>
      <c r="B546" t="s">
        <v>11</v>
      </c>
      <c r="C546">
        <v>24</v>
      </c>
      <c r="D546">
        <v>11</v>
      </c>
      <c r="E546" t="s">
        <v>21</v>
      </c>
      <c r="F546" t="s">
        <v>13</v>
      </c>
      <c r="G546" t="s">
        <v>19</v>
      </c>
      <c r="H546">
        <v>99.51</v>
      </c>
      <c r="I546">
        <v>1165.49</v>
      </c>
      <c r="J546" t="s">
        <v>15</v>
      </c>
      <c r="K546" t="str">
        <f>IF(D546&lt;=12,"0-12 Months",IF(D546&lt;=24,"13-24 Months",IF(D546&lt;=48,"25-48 Months","49+ Months")))</f>
        <v>0-12 Months</v>
      </c>
      <c r="L546">
        <f>IF(Table134[[#This Row],[Churn]]="Yes",1,0)</f>
        <v>0</v>
      </c>
    </row>
    <row r="547" spans="1:12" x14ac:dyDescent="0.35">
      <c r="A547" t="s">
        <v>569</v>
      </c>
      <c r="B547" t="s">
        <v>17</v>
      </c>
      <c r="C547">
        <v>35</v>
      </c>
      <c r="D547">
        <v>10</v>
      </c>
      <c r="E547" t="s">
        <v>12</v>
      </c>
      <c r="F547" t="s">
        <v>33</v>
      </c>
      <c r="G547" t="s">
        <v>14</v>
      </c>
      <c r="H547">
        <v>58.45</v>
      </c>
      <c r="I547">
        <v>536.02</v>
      </c>
      <c r="J547" t="s">
        <v>15</v>
      </c>
      <c r="K547" t="str">
        <f>IF(D547&lt;=12,"0-12 Months",IF(D547&lt;=24,"13-24 Months",IF(D547&lt;=48,"25-48 Months","49+ Months")))</f>
        <v>0-12 Months</v>
      </c>
      <c r="L547">
        <f>IF(Table134[[#This Row],[Churn]]="Yes",1,0)</f>
        <v>0</v>
      </c>
    </row>
    <row r="548" spans="1:12" x14ac:dyDescent="0.35">
      <c r="A548" t="s">
        <v>570</v>
      </c>
      <c r="B548" t="s">
        <v>11</v>
      </c>
      <c r="C548">
        <v>44</v>
      </c>
      <c r="D548">
        <v>57</v>
      </c>
      <c r="E548" t="s">
        <v>21</v>
      </c>
      <c r="F548" t="s">
        <v>29</v>
      </c>
      <c r="G548" t="s">
        <v>14</v>
      </c>
      <c r="H548">
        <v>53.25</v>
      </c>
      <c r="I548">
        <v>3257.54</v>
      </c>
      <c r="J548" t="s">
        <v>27</v>
      </c>
      <c r="K548" t="str">
        <f>IF(D548&lt;=12,"0-12 Months",IF(D548&lt;=24,"13-24 Months",IF(D548&lt;=48,"25-48 Months","49+ Months")))</f>
        <v>49+ Months</v>
      </c>
      <c r="L548">
        <f>IF(Table134[[#This Row],[Churn]]="Yes",1,0)</f>
        <v>1</v>
      </c>
    </row>
    <row r="549" spans="1:12" x14ac:dyDescent="0.35">
      <c r="A549" t="s">
        <v>571</v>
      </c>
      <c r="B549" t="s">
        <v>17</v>
      </c>
      <c r="C549">
        <v>51</v>
      </c>
      <c r="D549">
        <v>25</v>
      </c>
      <c r="E549" t="s">
        <v>18</v>
      </c>
      <c r="F549" t="s">
        <v>29</v>
      </c>
      <c r="G549" t="s">
        <v>23</v>
      </c>
      <c r="H549">
        <v>62.56</v>
      </c>
      <c r="I549">
        <v>1563.75</v>
      </c>
      <c r="J549" t="s">
        <v>15</v>
      </c>
      <c r="K549" t="str">
        <f>IF(D549&lt;=12,"0-12 Months",IF(D549&lt;=24,"13-24 Months",IF(D549&lt;=48,"25-48 Months","49+ Months")))</f>
        <v>25-48 Months</v>
      </c>
      <c r="L549">
        <f>IF(Table134[[#This Row],[Churn]]="Yes",1,0)</f>
        <v>0</v>
      </c>
    </row>
    <row r="550" spans="1:12" x14ac:dyDescent="0.35">
      <c r="A550" t="s">
        <v>572</v>
      </c>
      <c r="B550" t="s">
        <v>17</v>
      </c>
      <c r="C550">
        <v>44</v>
      </c>
      <c r="D550">
        <v>2</v>
      </c>
      <c r="E550" t="s">
        <v>12</v>
      </c>
      <c r="F550" t="s">
        <v>29</v>
      </c>
      <c r="G550" t="s">
        <v>14</v>
      </c>
      <c r="H550">
        <v>41.4</v>
      </c>
      <c r="I550">
        <v>79.430000000000007</v>
      </c>
      <c r="J550" t="s">
        <v>15</v>
      </c>
      <c r="K550" t="str">
        <f>IF(D550&lt;=12,"0-12 Months",IF(D550&lt;=24,"13-24 Months",IF(D550&lt;=48,"25-48 Months","49+ Months")))</f>
        <v>0-12 Months</v>
      </c>
      <c r="L550">
        <f>IF(Table134[[#This Row],[Churn]]="Yes",1,0)</f>
        <v>0</v>
      </c>
    </row>
    <row r="551" spans="1:12" x14ac:dyDescent="0.35">
      <c r="A551" t="s">
        <v>573</v>
      </c>
      <c r="B551" t="s">
        <v>11</v>
      </c>
      <c r="C551">
        <v>34</v>
      </c>
      <c r="D551">
        <v>64</v>
      </c>
      <c r="E551" t="s">
        <v>18</v>
      </c>
      <c r="F551" t="s">
        <v>29</v>
      </c>
      <c r="G551" t="s">
        <v>14</v>
      </c>
      <c r="H551">
        <v>43.55</v>
      </c>
      <c r="I551">
        <v>2656.26</v>
      </c>
      <c r="J551" t="s">
        <v>15</v>
      </c>
      <c r="K551" t="str">
        <f>IF(D551&lt;=12,"0-12 Months",IF(D551&lt;=24,"13-24 Months",IF(D551&lt;=48,"25-48 Months","49+ Months")))</f>
        <v>49+ Months</v>
      </c>
      <c r="L551">
        <f>IF(Table134[[#This Row],[Churn]]="Yes",1,0)</f>
        <v>0</v>
      </c>
    </row>
    <row r="552" spans="1:12" x14ac:dyDescent="0.35">
      <c r="A552" t="s">
        <v>574</v>
      </c>
      <c r="B552" t="s">
        <v>11</v>
      </c>
      <c r="C552">
        <v>60</v>
      </c>
      <c r="D552">
        <v>35</v>
      </c>
      <c r="E552" t="s">
        <v>12</v>
      </c>
      <c r="F552" t="s">
        <v>29</v>
      </c>
      <c r="G552" t="s">
        <v>23</v>
      </c>
      <c r="H552">
        <v>122.79</v>
      </c>
      <c r="I552">
        <v>4239.21</v>
      </c>
      <c r="J552" t="s">
        <v>27</v>
      </c>
      <c r="K552" t="str">
        <f>IF(D552&lt;=12,"0-12 Months",IF(D552&lt;=24,"13-24 Months",IF(D552&lt;=48,"25-48 Months","49+ Months")))</f>
        <v>25-48 Months</v>
      </c>
      <c r="L552">
        <f>IF(Table134[[#This Row],[Churn]]="Yes",1,0)</f>
        <v>1</v>
      </c>
    </row>
    <row r="553" spans="1:12" x14ac:dyDescent="0.35">
      <c r="A553" t="s">
        <v>575</v>
      </c>
      <c r="B553" t="s">
        <v>17</v>
      </c>
      <c r="C553">
        <v>61</v>
      </c>
      <c r="D553">
        <v>7</v>
      </c>
      <c r="E553" t="s">
        <v>12</v>
      </c>
      <c r="F553" t="s">
        <v>22</v>
      </c>
      <c r="G553" t="s">
        <v>23</v>
      </c>
      <c r="H553">
        <v>70.02</v>
      </c>
      <c r="I553">
        <v>539.05999999999995</v>
      </c>
      <c r="J553" t="s">
        <v>27</v>
      </c>
      <c r="K553" t="str">
        <f>IF(D553&lt;=12,"0-12 Months",IF(D553&lt;=24,"13-24 Months",IF(D553&lt;=48,"25-48 Months","49+ Months")))</f>
        <v>0-12 Months</v>
      </c>
      <c r="L553">
        <f>IF(Table134[[#This Row],[Churn]]="Yes",1,0)</f>
        <v>1</v>
      </c>
    </row>
    <row r="554" spans="1:12" x14ac:dyDescent="0.35">
      <c r="A554" t="s">
        <v>576</v>
      </c>
      <c r="B554" t="s">
        <v>11</v>
      </c>
      <c r="C554">
        <v>68</v>
      </c>
      <c r="D554">
        <v>18</v>
      </c>
      <c r="E554" t="s">
        <v>12</v>
      </c>
      <c r="F554" t="s">
        <v>29</v>
      </c>
      <c r="G554" t="s">
        <v>23</v>
      </c>
      <c r="H554">
        <v>76.680000000000007</v>
      </c>
      <c r="I554">
        <v>1303.04</v>
      </c>
      <c r="J554" t="s">
        <v>27</v>
      </c>
      <c r="K554" t="str">
        <f>IF(D554&lt;=12,"0-12 Months",IF(D554&lt;=24,"13-24 Months",IF(D554&lt;=48,"25-48 Months","49+ Months")))</f>
        <v>13-24 Months</v>
      </c>
      <c r="L554">
        <f>IF(Table134[[#This Row],[Churn]]="Yes",1,0)</f>
        <v>1</v>
      </c>
    </row>
    <row r="555" spans="1:12" x14ac:dyDescent="0.35">
      <c r="A555" t="s">
        <v>577</v>
      </c>
      <c r="B555" t="s">
        <v>17</v>
      </c>
      <c r="C555">
        <v>41</v>
      </c>
      <c r="D555">
        <v>67</v>
      </c>
      <c r="E555" t="s">
        <v>12</v>
      </c>
      <c r="F555" t="s">
        <v>29</v>
      </c>
      <c r="G555" t="s">
        <v>14</v>
      </c>
      <c r="H555">
        <v>97.23</v>
      </c>
      <c r="I555">
        <v>5997.45</v>
      </c>
      <c r="J555" t="s">
        <v>15</v>
      </c>
      <c r="K555" t="str">
        <f>IF(D555&lt;=12,"0-12 Months",IF(D555&lt;=24,"13-24 Months",IF(D555&lt;=48,"25-48 Months","49+ Months")))</f>
        <v>49+ Months</v>
      </c>
      <c r="L555">
        <f>IF(Table134[[#This Row],[Churn]]="Yes",1,0)</f>
        <v>0</v>
      </c>
    </row>
    <row r="556" spans="1:12" x14ac:dyDescent="0.35">
      <c r="A556" t="s">
        <v>578</v>
      </c>
      <c r="B556" t="s">
        <v>11</v>
      </c>
      <c r="C556">
        <v>42</v>
      </c>
      <c r="D556">
        <v>42</v>
      </c>
      <c r="E556" t="s">
        <v>21</v>
      </c>
      <c r="F556" t="s">
        <v>33</v>
      </c>
      <c r="G556" t="s">
        <v>14</v>
      </c>
      <c r="H556">
        <v>96.65</v>
      </c>
      <c r="I556">
        <v>4128.34</v>
      </c>
      <c r="J556" t="s">
        <v>15</v>
      </c>
      <c r="K556" t="str">
        <f>IF(D556&lt;=12,"0-12 Months",IF(D556&lt;=24,"13-24 Months",IF(D556&lt;=48,"25-48 Months","49+ Months")))</f>
        <v>25-48 Months</v>
      </c>
      <c r="L556">
        <f>IF(Table134[[#This Row],[Churn]]="Yes",1,0)</f>
        <v>0</v>
      </c>
    </row>
    <row r="557" spans="1:12" x14ac:dyDescent="0.35">
      <c r="A557" t="s">
        <v>579</v>
      </c>
      <c r="B557" t="s">
        <v>17</v>
      </c>
      <c r="C557">
        <v>24</v>
      </c>
      <c r="D557">
        <v>39</v>
      </c>
      <c r="E557" t="s">
        <v>12</v>
      </c>
      <c r="F557" t="s">
        <v>13</v>
      </c>
      <c r="G557" t="s">
        <v>19</v>
      </c>
      <c r="H557">
        <v>28.76</v>
      </c>
      <c r="I557">
        <v>1119.07</v>
      </c>
      <c r="J557" t="s">
        <v>15</v>
      </c>
      <c r="K557" t="str">
        <f>IF(D557&lt;=12,"0-12 Months",IF(D557&lt;=24,"13-24 Months",IF(D557&lt;=48,"25-48 Months","49+ Months")))</f>
        <v>25-48 Months</v>
      </c>
      <c r="L557">
        <f>IF(Table134[[#This Row],[Churn]]="Yes",1,0)</f>
        <v>0</v>
      </c>
    </row>
    <row r="558" spans="1:12" x14ac:dyDescent="0.35">
      <c r="A558" t="s">
        <v>580</v>
      </c>
      <c r="B558" t="s">
        <v>17</v>
      </c>
      <c r="C558">
        <v>69</v>
      </c>
      <c r="D558">
        <v>41</v>
      </c>
      <c r="E558" t="s">
        <v>12</v>
      </c>
      <c r="F558" t="s">
        <v>13</v>
      </c>
      <c r="G558" t="s">
        <v>23</v>
      </c>
      <c r="H558">
        <v>128.1</v>
      </c>
      <c r="I558">
        <v>5277.52</v>
      </c>
      <c r="J558" t="s">
        <v>27</v>
      </c>
      <c r="K558" t="str">
        <f>IF(D558&lt;=12,"0-12 Months",IF(D558&lt;=24,"13-24 Months",IF(D558&lt;=48,"25-48 Months","49+ Months")))</f>
        <v>25-48 Months</v>
      </c>
      <c r="L558">
        <f>IF(Table134[[#This Row],[Churn]]="Yes",1,0)</f>
        <v>1</v>
      </c>
    </row>
    <row r="559" spans="1:12" x14ac:dyDescent="0.35">
      <c r="A559" t="s">
        <v>581</v>
      </c>
      <c r="B559" t="s">
        <v>17</v>
      </c>
      <c r="C559">
        <v>23</v>
      </c>
      <c r="D559">
        <v>24</v>
      </c>
      <c r="E559" t="s">
        <v>18</v>
      </c>
      <c r="F559" t="s">
        <v>29</v>
      </c>
      <c r="G559" t="s">
        <v>19</v>
      </c>
      <c r="H559">
        <v>43.05</v>
      </c>
      <c r="I559">
        <v>1067.7</v>
      </c>
      <c r="J559" t="s">
        <v>15</v>
      </c>
      <c r="K559" t="str">
        <f>IF(D559&lt;=12,"0-12 Months",IF(D559&lt;=24,"13-24 Months",IF(D559&lt;=48,"25-48 Months","49+ Months")))</f>
        <v>13-24 Months</v>
      </c>
      <c r="L559">
        <f>IF(Table134[[#This Row],[Churn]]="Yes",1,0)</f>
        <v>0</v>
      </c>
    </row>
    <row r="560" spans="1:12" x14ac:dyDescent="0.35">
      <c r="A560" t="s">
        <v>582</v>
      </c>
      <c r="B560" t="s">
        <v>17</v>
      </c>
      <c r="C560">
        <v>70</v>
      </c>
      <c r="D560">
        <v>60</v>
      </c>
      <c r="E560" t="s">
        <v>18</v>
      </c>
      <c r="F560" t="s">
        <v>33</v>
      </c>
      <c r="G560" t="s">
        <v>23</v>
      </c>
      <c r="H560">
        <v>114</v>
      </c>
      <c r="I560">
        <v>6521.45</v>
      </c>
      <c r="J560" t="s">
        <v>15</v>
      </c>
      <c r="K560" t="str">
        <f>IF(D560&lt;=12,"0-12 Months",IF(D560&lt;=24,"13-24 Months",IF(D560&lt;=48,"25-48 Months","49+ Months")))</f>
        <v>49+ Months</v>
      </c>
      <c r="L560">
        <f>IF(Table134[[#This Row],[Churn]]="Yes",1,0)</f>
        <v>0</v>
      </c>
    </row>
    <row r="561" spans="1:12" x14ac:dyDescent="0.35">
      <c r="A561" t="s">
        <v>583</v>
      </c>
      <c r="B561" t="s">
        <v>17</v>
      </c>
      <c r="C561">
        <v>41</v>
      </c>
      <c r="D561">
        <v>46</v>
      </c>
      <c r="E561" t="s">
        <v>18</v>
      </c>
      <c r="F561" t="s">
        <v>29</v>
      </c>
      <c r="G561" t="s">
        <v>14</v>
      </c>
      <c r="H561">
        <v>120.45</v>
      </c>
      <c r="I561">
        <v>5995.77</v>
      </c>
      <c r="J561" t="s">
        <v>15</v>
      </c>
      <c r="K561" t="str">
        <f>IF(D561&lt;=12,"0-12 Months",IF(D561&lt;=24,"13-24 Months",IF(D561&lt;=48,"25-48 Months","49+ Months")))</f>
        <v>25-48 Months</v>
      </c>
      <c r="L561">
        <f>IF(Table134[[#This Row],[Churn]]="Yes",1,0)</f>
        <v>0</v>
      </c>
    </row>
    <row r="562" spans="1:12" x14ac:dyDescent="0.35">
      <c r="A562" t="s">
        <v>584</v>
      </c>
      <c r="B562" t="s">
        <v>17</v>
      </c>
      <c r="C562">
        <v>50</v>
      </c>
      <c r="D562">
        <v>19</v>
      </c>
      <c r="E562" t="s">
        <v>18</v>
      </c>
      <c r="F562" t="s">
        <v>33</v>
      </c>
      <c r="G562" t="s">
        <v>23</v>
      </c>
      <c r="H562">
        <v>112.94</v>
      </c>
      <c r="I562">
        <v>2118.25</v>
      </c>
      <c r="J562" t="s">
        <v>15</v>
      </c>
      <c r="K562" t="str">
        <f>IF(D562&lt;=12,"0-12 Months",IF(D562&lt;=24,"13-24 Months",IF(D562&lt;=48,"25-48 Months","49+ Months")))</f>
        <v>13-24 Months</v>
      </c>
      <c r="L562">
        <f>IF(Table134[[#This Row],[Churn]]="Yes",1,0)</f>
        <v>0</v>
      </c>
    </row>
    <row r="563" spans="1:12" x14ac:dyDescent="0.35">
      <c r="A563" t="s">
        <v>585</v>
      </c>
      <c r="B563" t="s">
        <v>11</v>
      </c>
      <c r="C563">
        <v>66</v>
      </c>
      <c r="D563">
        <v>68</v>
      </c>
      <c r="E563" t="s">
        <v>21</v>
      </c>
      <c r="F563" t="s">
        <v>22</v>
      </c>
      <c r="G563" t="s">
        <v>23</v>
      </c>
      <c r="H563">
        <v>95.27</v>
      </c>
      <c r="I563">
        <v>5997.78</v>
      </c>
      <c r="J563" t="s">
        <v>15</v>
      </c>
      <c r="K563" t="str">
        <f>IF(D563&lt;=12,"0-12 Months",IF(D563&lt;=24,"13-24 Months",IF(D563&lt;=48,"25-48 Months","49+ Months")))</f>
        <v>49+ Months</v>
      </c>
      <c r="L563">
        <f>IF(Table134[[#This Row],[Churn]]="Yes",1,0)</f>
        <v>0</v>
      </c>
    </row>
    <row r="564" spans="1:12" x14ac:dyDescent="0.35">
      <c r="A564" t="s">
        <v>586</v>
      </c>
      <c r="B564" t="s">
        <v>11</v>
      </c>
      <c r="C564">
        <v>46</v>
      </c>
      <c r="D564">
        <v>42</v>
      </c>
      <c r="E564" t="s">
        <v>12</v>
      </c>
      <c r="F564" t="s">
        <v>29</v>
      </c>
      <c r="G564" t="s">
        <v>14</v>
      </c>
      <c r="H564">
        <v>21.9</v>
      </c>
      <c r="I564">
        <v>964.37</v>
      </c>
      <c r="J564" t="s">
        <v>15</v>
      </c>
      <c r="K564" t="str">
        <f>IF(D564&lt;=12,"0-12 Months",IF(D564&lt;=24,"13-24 Months",IF(D564&lt;=48,"25-48 Months","49+ Months")))</f>
        <v>25-48 Months</v>
      </c>
      <c r="L564">
        <f>IF(Table134[[#This Row],[Churn]]="Yes",1,0)</f>
        <v>0</v>
      </c>
    </row>
    <row r="565" spans="1:12" x14ac:dyDescent="0.35">
      <c r="A565" t="s">
        <v>587</v>
      </c>
      <c r="B565" t="s">
        <v>11</v>
      </c>
      <c r="C565">
        <v>60</v>
      </c>
      <c r="D565">
        <v>32</v>
      </c>
      <c r="E565" t="s">
        <v>12</v>
      </c>
      <c r="F565" t="s">
        <v>33</v>
      </c>
      <c r="G565" t="s">
        <v>23</v>
      </c>
      <c r="H565">
        <v>66.849999999999994</v>
      </c>
      <c r="I565">
        <v>2200.4299999999998</v>
      </c>
      <c r="J565" t="s">
        <v>15</v>
      </c>
      <c r="K565" t="str">
        <f>IF(D565&lt;=12,"0-12 Months",IF(D565&lt;=24,"13-24 Months",IF(D565&lt;=48,"25-48 Months","49+ Months")))</f>
        <v>25-48 Months</v>
      </c>
      <c r="L565">
        <f>IF(Table134[[#This Row],[Churn]]="Yes",1,0)</f>
        <v>0</v>
      </c>
    </row>
    <row r="566" spans="1:12" x14ac:dyDescent="0.35">
      <c r="A566" t="s">
        <v>588</v>
      </c>
      <c r="B566" t="s">
        <v>17</v>
      </c>
      <c r="C566">
        <v>39</v>
      </c>
      <c r="D566">
        <v>39</v>
      </c>
      <c r="E566" t="s">
        <v>21</v>
      </c>
      <c r="F566" t="s">
        <v>29</v>
      </c>
      <c r="G566" t="s">
        <v>14</v>
      </c>
      <c r="H566">
        <v>98.63</v>
      </c>
      <c r="I566">
        <v>3704.82</v>
      </c>
      <c r="J566" t="s">
        <v>15</v>
      </c>
      <c r="K566" t="str">
        <f>IF(D566&lt;=12,"0-12 Months",IF(D566&lt;=24,"13-24 Months",IF(D566&lt;=48,"25-48 Months","49+ Months")))</f>
        <v>25-48 Months</v>
      </c>
      <c r="L566">
        <f>IF(Table134[[#This Row],[Churn]]="Yes",1,0)</f>
        <v>0</v>
      </c>
    </row>
    <row r="567" spans="1:12" x14ac:dyDescent="0.35">
      <c r="A567" t="s">
        <v>589</v>
      </c>
      <c r="B567" t="s">
        <v>17</v>
      </c>
      <c r="C567">
        <v>43</v>
      </c>
      <c r="D567">
        <v>36</v>
      </c>
      <c r="E567" t="s">
        <v>12</v>
      </c>
      <c r="F567" t="s">
        <v>29</v>
      </c>
      <c r="G567" t="s">
        <v>14</v>
      </c>
      <c r="H567">
        <v>70.37</v>
      </c>
      <c r="I567">
        <v>2594.89</v>
      </c>
      <c r="J567" t="s">
        <v>15</v>
      </c>
      <c r="K567" t="str">
        <f>IF(D567&lt;=12,"0-12 Months",IF(D567&lt;=24,"13-24 Months",IF(D567&lt;=48,"25-48 Months","49+ Months")))</f>
        <v>25-48 Months</v>
      </c>
      <c r="L567">
        <f>IF(Table134[[#This Row],[Churn]]="Yes",1,0)</f>
        <v>0</v>
      </c>
    </row>
    <row r="568" spans="1:12" x14ac:dyDescent="0.35">
      <c r="A568" t="s">
        <v>590</v>
      </c>
      <c r="B568" t="s">
        <v>17</v>
      </c>
      <c r="C568">
        <v>45</v>
      </c>
      <c r="D568">
        <v>36</v>
      </c>
      <c r="E568" t="s">
        <v>21</v>
      </c>
      <c r="F568" t="s">
        <v>33</v>
      </c>
      <c r="G568" t="s">
        <v>14</v>
      </c>
      <c r="H568">
        <v>132.25</v>
      </c>
      <c r="I568">
        <v>4494.25</v>
      </c>
      <c r="J568" t="s">
        <v>15</v>
      </c>
      <c r="K568" t="str">
        <f>IF(D568&lt;=12,"0-12 Months",IF(D568&lt;=24,"13-24 Months",IF(D568&lt;=48,"25-48 Months","49+ Months")))</f>
        <v>25-48 Months</v>
      </c>
      <c r="L568">
        <f>IF(Table134[[#This Row],[Churn]]="Yes",1,0)</f>
        <v>0</v>
      </c>
    </row>
    <row r="569" spans="1:12" x14ac:dyDescent="0.35">
      <c r="A569" t="s">
        <v>591</v>
      </c>
      <c r="B569" t="s">
        <v>17</v>
      </c>
      <c r="C569">
        <v>67</v>
      </c>
      <c r="D569">
        <v>3</v>
      </c>
      <c r="E569" t="s">
        <v>12</v>
      </c>
      <c r="F569" t="s">
        <v>22</v>
      </c>
      <c r="G569" t="s">
        <v>23</v>
      </c>
      <c r="H569">
        <v>60.14</v>
      </c>
      <c r="I569">
        <v>178.43</v>
      </c>
      <c r="J569" t="s">
        <v>15</v>
      </c>
      <c r="K569" t="str">
        <f>IF(D569&lt;=12,"0-12 Months",IF(D569&lt;=24,"13-24 Months",IF(D569&lt;=48,"25-48 Months","49+ Months")))</f>
        <v>0-12 Months</v>
      </c>
      <c r="L569">
        <f>IF(Table134[[#This Row],[Churn]]="Yes",1,0)</f>
        <v>0</v>
      </c>
    </row>
    <row r="570" spans="1:12" x14ac:dyDescent="0.35">
      <c r="A570" t="s">
        <v>592</v>
      </c>
      <c r="B570" t="s">
        <v>11</v>
      </c>
      <c r="C570">
        <v>38</v>
      </c>
      <c r="D570">
        <v>8</v>
      </c>
      <c r="E570" t="s">
        <v>12</v>
      </c>
      <c r="F570" t="s">
        <v>22</v>
      </c>
      <c r="G570" t="s">
        <v>14</v>
      </c>
      <c r="H570">
        <v>58.16</v>
      </c>
      <c r="I570">
        <v>502.45</v>
      </c>
      <c r="J570" t="s">
        <v>15</v>
      </c>
      <c r="K570" t="str">
        <f>IF(D570&lt;=12,"0-12 Months",IF(D570&lt;=24,"13-24 Months",IF(D570&lt;=48,"25-48 Months","49+ Months")))</f>
        <v>0-12 Months</v>
      </c>
      <c r="L570">
        <f>IF(Table134[[#This Row],[Churn]]="Yes",1,0)</f>
        <v>0</v>
      </c>
    </row>
    <row r="571" spans="1:12" x14ac:dyDescent="0.35">
      <c r="A571" t="s">
        <v>593</v>
      </c>
      <c r="B571" t="s">
        <v>11</v>
      </c>
      <c r="C571">
        <v>66</v>
      </c>
      <c r="D571">
        <v>70</v>
      </c>
      <c r="E571" t="s">
        <v>12</v>
      </c>
      <c r="F571" t="s">
        <v>29</v>
      </c>
      <c r="G571" t="s">
        <v>23</v>
      </c>
      <c r="H571">
        <v>54.58</v>
      </c>
      <c r="I571">
        <v>3540.58</v>
      </c>
      <c r="J571" t="s">
        <v>27</v>
      </c>
      <c r="K571" t="str">
        <f>IF(D571&lt;=12,"0-12 Months",IF(D571&lt;=24,"13-24 Months",IF(D571&lt;=48,"25-48 Months","49+ Months")))</f>
        <v>49+ Months</v>
      </c>
      <c r="L571">
        <f>IF(Table134[[#This Row],[Churn]]="Yes",1,0)</f>
        <v>1</v>
      </c>
    </row>
    <row r="572" spans="1:12" x14ac:dyDescent="0.35">
      <c r="A572" t="s">
        <v>594</v>
      </c>
      <c r="B572" t="s">
        <v>17</v>
      </c>
      <c r="C572">
        <v>24</v>
      </c>
      <c r="D572">
        <v>41</v>
      </c>
      <c r="E572" t="s">
        <v>21</v>
      </c>
      <c r="F572" t="s">
        <v>13</v>
      </c>
      <c r="G572" t="s">
        <v>19</v>
      </c>
      <c r="H572">
        <v>63.26</v>
      </c>
      <c r="I572">
        <v>2534.89</v>
      </c>
      <c r="J572" t="s">
        <v>15</v>
      </c>
      <c r="K572" t="str">
        <f>IF(D572&lt;=12,"0-12 Months",IF(D572&lt;=24,"13-24 Months",IF(D572&lt;=48,"25-48 Months","49+ Months")))</f>
        <v>25-48 Months</v>
      </c>
      <c r="L572">
        <f>IF(Table134[[#This Row],[Churn]]="Yes",1,0)</f>
        <v>0</v>
      </c>
    </row>
    <row r="573" spans="1:12" x14ac:dyDescent="0.35">
      <c r="A573" t="s">
        <v>595</v>
      </c>
      <c r="B573" t="s">
        <v>11</v>
      </c>
      <c r="C573">
        <v>34</v>
      </c>
      <c r="D573">
        <v>68</v>
      </c>
      <c r="E573" t="s">
        <v>21</v>
      </c>
      <c r="F573" t="s">
        <v>22</v>
      </c>
      <c r="G573" t="s">
        <v>14</v>
      </c>
      <c r="H573">
        <v>92.46</v>
      </c>
      <c r="I573">
        <v>6691.1</v>
      </c>
      <c r="J573" t="s">
        <v>15</v>
      </c>
      <c r="K573" t="str">
        <f>IF(D573&lt;=12,"0-12 Months",IF(D573&lt;=24,"13-24 Months",IF(D573&lt;=48,"25-48 Months","49+ Months")))</f>
        <v>49+ Months</v>
      </c>
      <c r="L573">
        <f>IF(Table134[[#This Row],[Churn]]="Yes",1,0)</f>
        <v>0</v>
      </c>
    </row>
    <row r="574" spans="1:12" x14ac:dyDescent="0.35">
      <c r="A574" t="s">
        <v>596</v>
      </c>
      <c r="B574" t="s">
        <v>11</v>
      </c>
      <c r="C574">
        <v>37</v>
      </c>
      <c r="D574">
        <v>13</v>
      </c>
      <c r="E574" t="s">
        <v>21</v>
      </c>
      <c r="F574" t="s">
        <v>29</v>
      </c>
      <c r="G574" t="s">
        <v>14</v>
      </c>
      <c r="H574">
        <v>111.91</v>
      </c>
      <c r="I574">
        <v>1591.44</v>
      </c>
      <c r="J574" t="s">
        <v>15</v>
      </c>
      <c r="K574" t="str">
        <f>IF(D574&lt;=12,"0-12 Months",IF(D574&lt;=24,"13-24 Months",IF(D574&lt;=48,"25-48 Months","49+ Months")))</f>
        <v>13-24 Months</v>
      </c>
      <c r="L574">
        <f>IF(Table134[[#This Row],[Churn]]="Yes",1,0)</f>
        <v>0</v>
      </c>
    </row>
    <row r="575" spans="1:12" x14ac:dyDescent="0.35">
      <c r="A575" t="s">
        <v>597</v>
      </c>
      <c r="B575" t="s">
        <v>17</v>
      </c>
      <c r="C575">
        <v>58</v>
      </c>
      <c r="D575">
        <v>49</v>
      </c>
      <c r="E575" t="s">
        <v>12</v>
      </c>
      <c r="F575" t="s">
        <v>29</v>
      </c>
      <c r="G575" t="s">
        <v>23</v>
      </c>
      <c r="H575">
        <v>106.13</v>
      </c>
      <c r="I575">
        <v>5152.45</v>
      </c>
      <c r="J575" t="s">
        <v>27</v>
      </c>
      <c r="K575" t="str">
        <f>IF(D575&lt;=12,"0-12 Months",IF(D575&lt;=24,"13-24 Months",IF(D575&lt;=48,"25-48 Months","49+ Months")))</f>
        <v>49+ Months</v>
      </c>
      <c r="L575">
        <f>IF(Table134[[#This Row],[Churn]]="Yes",1,0)</f>
        <v>1</v>
      </c>
    </row>
    <row r="576" spans="1:12" x14ac:dyDescent="0.35">
      <c r="A576" t="s">
        <v>598</v>
      </c>
      <c r="B576" t="s">
        <v>11</v>
      </c>
      <c r="C576">
        <v>66</v>
      </c>
      <c r="D576">
        <v>60</v>
      </c>
      <c r="E576" t="s">
        <v>12</v>
      </c>
      <c r="F576" t="s">
        <v>29</v>
      </c>
      <c r="G576" t="s">
        <v>23</v>
      </c>
      <c r="H576">
        <v>125</v>
      </c>
      <c r="I576">
        <v>7510.5</v>
      </c>
      <c r="J576" t="s">
        <v>27</v>
      </c>
      <c r="K576" t="str">
        <f>IF(D576&lt;=12,"0-12 Months",IF(D576&lt;=24,"13-24 Months",IF(D576&lt;=48,"25-48 Months","49+ Months")))</f>
        <v>49+ Months</v>
      </c>
      <c r="L576">
        <f>IF(Table134[[#This Row],[Churn]]="Yes",1,0)</f>
        <v>1</v>
      </c>
    </row>
    <row r="577" spans="1:12" x14ac:dyDescent="0.35">
      <c r="A577" t="s">
        <v>599</v>
      </c>
      <c r="B577" t="s">
        <v>17</v>
      </c>
      <c r="C577">
        <v>37</v>
      </c>
      <c r="D577">
        <v>2</v>
      </c>
      <c r="E577" t="s">
        <v>18</v>
      </c>
      <c r="F577" t="s">
        <v>29</v>
      </c>
      <c r="G577" t="s">
        <v>14</v>
      </c>
      <c r="H577">
        <v>135.16999999999999</v>
      </c>
      <c r="I577">
        <v>274.24</v>
      </c>
      <c r="J577" t="s">
        <v>15</v>
      </c>
      <c r="K577" t="str">
        <f>IF(D577&lt;=12,"0-12 Months",IF(D577&lt;=24,"13-24 Months",IF(D577&lt;=48,"25-48 Months","49+ Months")))</f>
        <v>0-12 Months</v>
      </c>
      <c r="L577">
        <f>IF(Table134[[#This Row],[Churn]]="Yes",1,0)</f>
        <v>0</v>
      </c>
    </row>
    <row r="578" spans="1:12" x14ac:dyDescent="0.35">
      <c r="A578" t="s">
        <v>600</v>
      </c>
      <c r="B578" t="s">
        <v>11</v>
      </c>
      <c r="C578">
        <v>39</v>
      </c>
      <c r="D578">
        <v>60</v>
      </c>
      <c r="E578" t="s">
        <v>21</v>
      </c>
      <c r="F578" t="s">
        <v>33</v>
      </c>
      <c r="G578" t="s">
        <v>14</v>
      </c>
      <c r="H578">
        <v>126.09</v>
      </c>
      <c r="I578">
        <v>8219.58</v>
      </c>
      <c r="J578" t="s">
        <v>27</v>
      </c>
      <c r="K578" t="str">
        <f>IF(D578&lt;=12,"0-12 Months",IF(D578&lt;=24,"13-24 Months",IF(D578&lt;=48,"25-48 Months","49+ Months")))</f>
        <v>49+ Months</v>
      </c>
      <c r="L578">
        <f>IF(Table134[[#This Row],[Churn]]="Yes",1,0)</f>
        <v>1</v>
      </c>
    </row>
    <row r="579" spans="1:12" x14ac:dyDescent="0.35">
      <c r="A579" t="s">
        <v>601</v>
      </c>
      <c r="B579" t="s">
        <v>17</v>
      </c>
      <c r="C579">
        <v>45</v>
      </c>
      <c r="D579">
        <v>5</v>
      </c>
      <c r="E579" t="s">
        <v>12</v>
      </c>
      <c r="F579" t="s">
        <v>13</v>
      </c>
      <c r="G579" t="s">
        <v>14</v>
      </c>
      <c r="H579">
        <v>22.46</v>
      </c>
      <c r="I579">
        <v>120.35</v>
      </c>
      <c r="J579" t="s">
        <v>27</v>
      </c>
      <c r="K579" t="str">
        <f>IF(D579&lt;=12,"0-12 Months",IF(D579&lt;=24,"13-24 Months",IF(D579&lt;=48,"25-48 Months","49+ Months")))</f>
        <v>0-12 Months</v>
      </c>
      <c r="L579">
        <f>IF(Table134[[#This Row],[Churn]]="Yes",1,0)</f>
        <v>1</v>
      </c>
    </row>
    <row r="580" spans="1:12" x14ac:dyDescent="0.35">
      <c r="A580" t="s">
        <v>602</v>
      </c>
      <c r="B580" t="s">
        <v>17</v>
      </c>
      <c r="C580">
        <v>57</v>
      </c>
      <c r="D580">
        <v>44</v>
      </c>
      <c r="E580" t="s">
        <v>18</v>
      </c>
      <c r="F580" t="s">
        <v>33</v>
      </c>
      <c r="G580" t="s">
        <v>23</v>
      </c>
      <c r="H580">
        <v>115.67</v>
      </c>
      <c r="I580">
        <v>4754.1899999999996</v>
      </c>
      <c r="J580" t="s">
        <v>15</v>
      </c>
      <c r="K580" t="str">
        <f>IF(D580&lt;=12,"0-12 Months",IF(D580&lt;=24,"13-24 Months",IF(D580&lt;=48,"25-48 Months","49+ Months")))</f>
        <v>25-48 Months</v>
      </c>
      <c r="L580">
        <f>IF(Table134[[#This Row],[Churn]]="Yes",1,0)</f>
        <v>0</v>
      </c>
    </row>
    <row r="581" spans="1:12" x14ac:dyDescent="0.35">
      <c r="A581" t="s">
        <v>603</v>
      </c>
      <c r="B581" t="s">
        <v>17</v>
      </c>
      <c r="C581">
        <v>66</v>
      </c>
      <c r="D581">
        <v>27</v>
      </c>
      <c r="E581" t="s">
        <v>12</v>
      </c>
      <c r="F581" t="s">
        <v>13</v>
      </c>
      <c r="G581" t="s">
        <v>23</v>
      </c>
      <c r="H581">
        <v>47.09</v>
      </c>
      <c r="I581">
        <v>1255.3499999999999</v>
      </c>
      <c r="J581" t="s">
        <v>15</v>
      </c>
      <c r="K581" t="str">
        <f>IF(D581&lt;=12,"0-12 Months",IF(D581&lt;=24,"13-24 Months",IF(D581&lt;=48,"25-48 Months","49+ Months")))</f>
        <v>25-48 Months</v>
      </c>
      <c r="L581">
        <f>IF(Table134[[#This Row],[Churn]]="Yes",1,0)</f>
        <v>0</v>
      </c>
    </row>
    <row r="582" spans="1:12" x14ac:dyDescent="0.35">
      <c r="A582" t="s">
        <v>604</v>
      </c>
      <c r="B582" t="s">
        <v>17</v>
      </c>
      <c r="C582">
        <v>24</v>
      </c>
      <c r="D582">
        <v>32</v>
      </c>
      <c r="E582" t="s">
        <v>12</v>
      </c>
      <c r="F582" t="s">
        <v>22</v>
      </c>
      <c r="G582" t="s">
        <v>19</v>
      </c>
      <c r="H582">
        <v>83.07</v>
      </c>
      <c r="I582">
        <v>1184.3699999999999</v>
      </c>
      <c r="J582" t="s">
        <v>15</v>
      </c>
      <c r="K582" t="str">
        <f>IF(D582&lt;=12,"0-12 Months",IF(D582&lt;=24,"13-24 Months",IF(D582&lt;=48,"25-48 Months","49+ Months")))</f>
        <v>25-48 Months</v>
      </c>
      <c r="L582">
        <f>IF(Table134[[#This Row],[Churn]]="Yes",1,0)</f>
        <v>0</v>
      </c>
    </row>
    <row r="583" spans="1:12" x14ac:dyDescent="0.35">
      <c r="A583" t="s">
        <v>605</v>
      </c>
      <c r="B583" t="s">
        <v>11</v>
      </c>
      <c r="C583">
        <v>18</v>
      </c>
      <c r="D583">
        <v>21</v>
      </c>
      <c r="E583" t="s">
        <v>12</v>
      </c>
      <c r="F583" t="s">
        <v>29</v>
      </c>
      <c r="G583" t="s">
        <v>19</v>
      </c>
      <c r="H583">
        <v>103</v>
      </c>
      <c r="I583">
        <v>2288.06</v>
      </c>
      <c r="J583" t="s">
        <v>15</v>
      </c>
      <c r="K583" t="str">
        <f>IF(D583&lt;=12,"0-12 Months",IF(D583&lt;=24,"13-24 Months",IF(D583&lt;=48,"25-48 Months","49+ Months")))</f>
        <v>13-24 Months</v>
      </c>
      <c r="L583">
        <f>IF(Table134[[#This Row],[Churn]]="Yes",1,0)</f>
        <v>0</v>
      </c>
    </row>
    <row r="584" spans="1:12" x14ac:dyDescent="0.35">
      <c r="A584" t="s">
        <v>606</v>
      </c>
      <c r="B584" t="s">
        <v>17</v>
      </c>
      <c r="C584">
        <v>49</v>
      </c>
      <c r="D584">
        <v>8</v>
      </c>
      <c r="E584" t="s">
        <v>21</v>
      </c>
      <c r="F584" t="s">
        <v>13</v>
      </c>
      <c r="G584" t="s">
        <v>14</v>
      </c>
      <c r="H584">
        <v>61.57</v>
      </c>
      <c r="I584">
        <v>502.7</v>
      </c>
      <c r="J584" t="s">
        <v>15</v>
      </c>
      <c r="K584" t="str">
        <f>IF(D584&lt;=12,"0-12 Months",IF(D584&lt;=24,"13-24 Months",IF(D584&lt;=48,"25-48 Months","49+ Months")))</f>
        <v>0-12 Months</v>
      </c>
      <c r="L584">
        <f>IF(Table134[[#This Row],[Churn]]="Yes",1,0)</f>
        <v>0</v>
      </c>
    </row>
    <row r="585" spans="1:12" x14ac:dyDescent="0.35">
      <c r="A585" t="s">
        <v>607</v>
      </c>
      <c r="B585" t="s">
        <v>17</v>
      </c>
      <c r="C585">
        <v>30</v>
      </c>
      <c r="D585">
        <v>72</v>
      </c>
      <c r="E585" t="s">
        <v>21</v>
      </c>
      <c r="F585" t="s">
        <v>29</v>
      </c>
      <c r="G585" t="s">
        <v>14</v>
      </c>
      <c r="H585">
        <v>27.43</v>
      </c>
      <c r="I585">
        <v>2035.88</v>
      </c>
      <c r="J585" t="s">
        <v>15</v>
      </c>
      <c r="K585" t="str">
        <f>IF(D585&lt;=12,"0-12 Months",IF(D585&lt;=24,"13-24 Months",IF(D585&lt;=48,"25-48 Months","49+ Months")))</f>
        <v>49+ Months</v>
      </c>
      <c r="L585">
        <f>IF(Table134[[#This Row],[Churn]]="Yes",1,0)</f>
        <v>0</v>
      </c>
    </row>
    <row r="586" spans="1:12" x14ac:dyDescent="0.35">
      <c r="A586" t="s">
        <v>608</v>
      </c>
      <c r="B586" t="s">
        <v>17</v>
      </c>
      <c r="C586">
        <v>47</v>
      </c>
      <c r="D586">
        <v>50</v>
      </c>
      <c r="E586" t="s">
        <v>12</v>
      </c>
      <c r="F586" t="s">
        <v>29</v>
      </c>
      <c r="G586" t="s">
        <v>14</v>
      </c>
      <c r="H586">
        <v>37.89</v>
      </c>
      <c r="I586">
        <v>2083.27</v>
      </c>
      <c r="J586" t="s">
        <v>15</v>
      </c>
      <c r="K586" t="str">
        <f>IF(D586&lt;=12,"0-12 Months",IF(D586&lt;=24,"13-24 Months",IF(D586&lt;=48,"25-48 Months","49+ Months")))</f>
        <v>49+ Months</v>
      </c>
      <c r="L586">
        <f>IF(Table134[[#This Row],[Churn]]="Yes",1,0)</f>
        <v>0</v>
      </c>
    </row>
    <row r="587" spans="1:12" x14ac:dyDescent="0.35">
      <c r="A587" t="s">
        <v>609</v>
      </c>
      <c r="B587" t="s">
        <v>11</v>
      </c>
      <c r="C587">
        <v>40</v>
      </c>
      <c r="D587">
        <v>67</v>
      </c>
      <c r="E587" t="s">
        <v>18</v>
      </c>
      <c r="F587" t="s">
        <v>13</v>
      </c>
      <c r="G587" t="s">
        <v>14</v>
      </c>
      <c r="H587">
        <v>20.12</v>
      </c>
      <c r="I587">
        <v>1233.45</v>
      </c>
      <c r="J587" t="s">
        <v>15</v>
      </c>
      <c r="K587" t="str">
        <f>IF(D587&lt;=12,"0-12 Months",IF(D587&lt;=24,"13-24 Months",IF(D587&lt;=48,"25-48 Months","49+ Months")))</f>
        <v>49+ Months</v>
      </c>
      <c r="L587">
        <f>IF(Table134[[#This Row],[Churn]]="Yes",1,0)</f>
        <v>0</v>
      </c>
    </row>
    <row r="588" spans="1:12" x14ac:dyDescent="0.35">
      <c r="A588" t="s">
        <v>610</v>
      </c>
      <c r="B588" t="s">
        <v>17</v>
      </c>
      <c r="C588">
        <v>68</v>
      </c>
      <c r="D588">
        <v>44</v>
      </c>
      <c r="E588" t="s">
        <v>12</v>
      </c>
      <c r="F588" t="s">
        <v>33</v>
      </c>
      <c r="G588" t="s">
        <v>23</v>
      </c>
      <c r="H588">
        <v>137.41999999999999</v>
      </c>
      <c r="I588">
        <v>5711.52</v>
      </c>
      <c r="J588" t="s">
        <v>15</v>
      </c>
      <c r="K588" t="str">
        <f>IF(D588&lt;=12,"0-12 Months",IF(D588&lt;=24,"13-24 Months",IF(D588&lt;=48,"25-48 Months","49+ Months")))</f>
        <v>25-48 Months</v>
      </c>
      <c r="L588">
        <f>IF(Table134[[#This Row],[Churn]]="Yes",1,0)</f>
        <v>0</v>
      </c>
    </row>
    <row r="589" spans="1:12" x14ac:dyDescent="0.35">
      <c r="A589" t="s">
        <v>611</v>
      </c>
      <c r="B589" t="s">
        <v>11</v>
      </c>
      <c r="C589">
        <v>36</v>
      </c>
      <c r="D589">
        <v>58</v>
      </c>
      <c r="E589" t="s">
        <v>12</v>
      </c>
      <c r="F589" t="s">
        <v>22</v>
      </c>
      <c r="G589" t="s">
        <v>14</v>
      </c>
      <c r="H589">
        <v>23.2</v>
      </c>
      <c r="I589">
        <v>1320.81</v>
      </c>
      <c r="J589" t="s">
        <v>15</v>
      </c>
      <c r="K589" t="str">
        <f>IF(D589&lt;=12,"0-12 Months",IF(D589&lt;=24,"13-24 Months",IF(D589&lt;=48,"25-48 Months","49+ Months")))</f>
        <v>49+ Months</v>
      </c>
      <c r="L589">
        <f>IF(Table134[[#This Row],[Churn]]="Yes",1,0)</f>
        <v>0</v>
      </c>
    </row>
    <row r="590" spans="1:12" x14ac:dyDescent="0.35">
      <c r="A590" t="s">
        <v>612</v>
      </c>
      <c r="B590" t="s">
        <v>17</v>
      </c>
      <c r="C590">
        <v>49</v>
      </c>
      <c r="D590">
        <v>3</v>
      </c>
      <c r="E590" t="s">
        <v>12</v>
      </c>
      <c r="F590" t="s">
        <v>29</v>
      </c>
      <c r="G590" t="s">
        <v>14</v>
      </c>
      <c r="H590">
        <v>47.23</v>
      </c>
      <c r="I590">
        <v>137.38</v>
      </c>
      <c r="J590" t="s">
        <v>15</v>
      </c>
      <c r="K590" t="str">
        <f>IF(D590&lt;=12,"0-12 Months",IF(D590&lt;=24,"13-24 Months",IF(D590&lt;=48,"25-48 Months","49+ Months")))</f>
        <v>0-12 Months</v>
      </c>
      <c r="L590">
        <f>IF(Table134[[#This Row],[Churn]]="Yes",1,0)</f>
        <v>0</v>
      </c>
    </row>
    <row r="591" spans="1:12" x14ac:dyDescent="0.35">
      <c r="A591" t="s">
        <v>613</v>
      </c>
      <c r="B591" t="s">
        <v>11</v>
      </c>
      <c r="C591">
        <v>47</v>
      </c>
      <c r="D591">
        <v>70</v>
      </c>
      <c r="E591" t="s">
        <v>12</v>
      </c>
      <c r="F591" t="s">
        <v>29</v>
      </c>
      <c r="G591" t="s">
        <v>14</v>
      </c>
      <c r="H591">
        <v>74.11</v>
      </c>
      <c r="I591">
        <v>4691.3900000000003</v>
      </c>
      <c r="J591" t="s">
        <v>15</v>
      </c>
      <c r="K591" t="str">
        <f>IF(D591&lt;=12,"0-12 Months",IF(D591&lt;=24,"13-24 Months",IF(D591&lt;=48,"25-48 Months","49+ Months")))</f>
        <v>49+ Months</v>
      </c>
      <c r="L591">
        <f>IF(Table134[[#This Row],[Churn]]="Yes",1,0)</f>
        <v>0</v>
      </c>
    </row>
    <row r="592" spans="1:12" x14ac:dyDescent="0.35">
      <c r="A592" t="s">
        <v>614</v>
      </c>
      <c r="B592" t="s">
        <v>11</v>
      </c>
      <c r="C592">
        <v>46</v>
      </c>
      <c r="D592">
        <v>2</v>
      </c>
      <c r="E592" t="s">
        <v>12</v>
      </c>
      <c r="F592" t="s">
        <v>29</v>
      </c>
      <c r="G592" t="s">
        <v>14</v>
      </c>
      <c r="H592">
        <v>66.349999999999994</v>
      </c>
      <c r="I592">
        <v>121.87</v>
      </c>
      <c r="J592" t="s">
        <v>27</v>
      </c>
      <c r="K592" t="str">
        <f>IF(D592&lt;=12,"0-12 Months",IF(D592&lt;=24,"13-24 Months",IF(D592&lt;=48,"25-48 Months","49+ Months")))</f>
        <v>0-12 Months</v>
      </c>
      <c r="L592">
        <f>IF(Table134[[#This Row],[Churn]]="Yes",1,0)</f>
        <v>1</v>
      </c>
    </row>
    <row r="593" spans="1:12" x14ac:dyDescent="0.35">
      <c r="A593" t="s">
        <v>615</v>
      </c>
      <c r="B593" t="s">
        <v>17</v>
      </c>
      <c r="C593">
        <v>66</v>
      </c>
      <c r="D593">
        <v>44</v>
      </c>
      <c r="E593" t="s">
        <v>21</v>
      </c>
      <c r="F593" t="s">
        <v>13</v>
      </c>
      <c r="G593" t="s">
        <v>23</v>
      </c>
      <c r="H593">
        <v>138.52000000000001</v>
      </c>
      <c r="I593">
        <v>6315.46</v>
      </c>
      <c r="J593" t="s">
        <v>27</v>
      </c>
      <c r="K593" t="str">
        <f>IF(D593&lt;=12,"0-12 Months",IF(D593&lt;=24,"13-24 Months",IF(D593&lt;=48,"25-48 Months","49+ Months")))</f>
        <v>25-48 Months</v>
      </c>
      <c r="L593">
        <f>IF(Table134[[#This Row],[Churn]]="Yes",1,0)</f>
        <v>1</v>
      </c>
    </row>
    <row r="594" spans="1:12" x14ac:dyDescent="0.35">
      <c r="A594" t="s">
        <v>616</v>
      </c>
      <c r="B594" t="s">
        <v>11</v>
      </c>
      <c r="C594">
        <v>62</v>
      </c>
      <c r="D594">
        <v>2</v>
      </c>
      <c r="E594" t="s">
        <v>18</v>
      </c>
      <c r="F594" t="s">
        <v>22</v>
      </c>
      <c r="G594" t="s">
        <v>23</v>
      </c>
      <c r="H594">
        <v>25.24</v>
      </c>
      <c r="I594">
        <v>54.31</v>
      </c>
      <c r="J594" t="s">
        <v>15</v>
      </c>
      <c r="K594" t="str">
        <f>IF(D594&lt;=12,"0-12 Months",IF(D594&lt;=24,"13-24 Months",IF(D594&lt;=48,"25-48 Months","49+ Months")))</f>
        <v>0-12 Months</v>
      </c>
      <c r="L594">
        <f>IF(Table134[[#This Row],[Churn]]="Yes",1,0)</f>
        <v>0</v>
      </c>
    </row>
    <row r="595" spans="1:12" x14ac:dyDescent="0.35">
      <c r="A595" t="s">
        <v>617</v>
      </c>
      <c r="B595" t="s">
        <v>17</v>
      </c>
      <c r="C595">
        <v>46</v>
      </c>
      <c r="D595">
        <v>35</v>
      </c>
      <c r="E595" t="s">
        <v>12</v>
      </c>
      <c r="F595" t="s">
        <v>33</v>
      </c>
      <c r="G595" t="s">
        <v>14</v>
      </c>
      <c r="H595">
        <v>86.59</v>
      </c>
      <c r="I595">
        <v>3039.27</v>
      </c>
      <c r="J595" t="s">
        <v>15</v>
      </c>
      <c r="K595" t="str">
        <f>IF(D595&lt;=12,"0-12 Months",IF(D595&lt;=24,"13-24 Months",IF(D595&lt;=48,"25-48 Months","49+ Months")))</f>
        <v>25-48 Months</v>
      </c>
      <c r="L595">
        <f>IF(Table134[[#This Row],[Churn]]="Yes",1,0)</f>
        <v>0</v>
      </c>
    </row>
    <row r="596" spans="1:12" x14ac:dyDescent="0.35">
      <c r="A596" t="s">
        <v>618</v>
      </c>
      <c r="B596" t="s">
        <v>17</v>
      </c>
      <c r="C596">
        <v>47</v>
      </c>
      <c r="D596">
        <v>30</v>
      </c>
      <c r="E596" t="s">
        <v>12</v>
      </c>
      <c r="F596" t="s">
        <v>29</v>
      </c>
      <c r="G596" t="s">
        <v>14</v>
      </c>
      <c r="H596">
        <v>108.46</v>
      </c>
      <c r="I596">
        <v>3279.3</v>
      </c>
      <c r="J596" t="s">
        <v>15</v>
      </c>
      <c r="K596" t="str">
        <f>IF(D596&lt;=12,"0-12 Months",IF(D596&lt;=24,"13-24 Months",IF(D596&lt;=48,"25-48 Months","49+ Months")))</f>
        <v>25-48 Months</v>
      </c>
      <c r="L596">
        <f>IF(Table134[[#This Row],[Churn]]="Yes",1,0)</f>
        <v>0</v>
      </c>
    </row>
    <row r="597" spans="1:12" x14ac:dyDescent="0.35">
      <c r="A597" t="s">
        <v>619</v>
      </c>
      <c r="B597" t="s">
        <v>17</v>
      </c>
      <c r="C597">
        <v>33</v>
      </c>
      <c r="D597">
        <v>8</v>
      </c>
      <c r="E597" t="s">
        <v>12</v>
      </c>
      <c r="F597" t="s">
        <v>13</v>
      </c>
      <c r="G597" t="s">
        <v>14</v>
      </c>
      <c r="H597">
        <v>141.12</v>
      </c>
      <c r="I597">
        <v>1073.6600000000001</v>
      </c>
      <c r="J597" t="s">
        <v>27</v>
      </c>
      <c r="K597" t="str">
        <f>IF(D597&lt;=12,"0-12 Months",IF(D597&lt;=24,"13-24 Months",IF(D597&lt;=48,"25-48 Months","49+ Months")))</f>
        <v>0-12 Months</v>
      </c>
      <c r="L597">
        <f>IF(Table134[[#This Row],[Churn]]="Yes",1,0)</f>
        <v>1</v>
      </c>
    </row>
    <row r="598" spans="1:12" x14ac:dyDescent="0.35">
      <c r="A598" t="s">
        <v>620</v>
      </c>
      <c r="B598" t="s">
        <v>11</v>
      </c>
      <c r="C598">
        <v>57</v>
      </c>
      <c r="D598">
        <v>22</v>
      </c>
      <c r="E598" t="s">
        <v>12</v>
      </c>
      <c r="F598" t="s">
        <v>13</v>
      </c>
      <c r="G598" t="s">
        <v>23</v>
      </c>
      <c r="H598">
        <v>100.65</v>
      </c>
      <c r="I598">
        <v>2332.9299999999998</v>
      </c>
      <c r="J598" t="s">
        <v>15</v>
      </c>
      <c r="K598" t="str">
        <f>IF(D598&lt;=12,"0-12 Months",IF(D598&lt;=24,"13-24 Months",IF(D598&lt;=48,"25-48 Months","49+ Months")))</f>
        <v>13-24 Months</v>
      </c>
      <c r="L598">
        <f>IF(Table134[[#This Row],[Churn]]="Yes",1,0)</f>
        <v>0</v>
      </c>
    </row>
    <row r="599" spans="1:12" x14ac:dyDescent="0.35">
      <c r="A599" t="s">
        <v>621</v>
      </c>
      <c r="B599" t="s">
        <v>11</v>
      </c>
      <c r="C599">
        <v>36</v>
      </c>
      <c r="D599">
        <v>44</v>
      </c>
      <c r="E599" t="s">
        <v>12</v>
      </c>
      <c r="F599" t="s">
        <v>22</v>
      </c>
      <c r="G599" t="s">
        <v>14</v>
      </c>
      <c r="H599">
        <v>124.49</v>
      </c>
      <c r="I599">
        <v>5753.4</v>
      </c>
      <c r="J599" t="s">
        <v>15</v>
      </c>
      <c r="K599" t="str">
        <f>IF(D599&lt;=12,"0-12 Months",IF(D599&lt;=24,"13-24 Months",IF(D599&lt;=48,"25-48 Months","49+ Months")))</f>
        <v>25-48 Months</v>
      </c>
      <c r="L599">
        <f>IF(Table134[[#This Row],[Churn]]="Yes",1,0)</f>
        <v>0</v>
      </c>
    </row>
    <row r="600" spans="1:12" x14ac:dyDescent="0.35">
      <c r="A600" t="s">
        <v>622</v>
      </c>
      <c r="B600" t="s">
        <v>17</v>
      </c>
      <c r="C600">
        <v>35</v>
      </c>
      <c r="D600">
        <v>58</v>
      </c>
      <c r="E600" t="s">
        <v>21</v>
      </c>
      <c r="F600" t="s">
        <v>13</v>
      </c>
      <c r="G600" t="s">
        <v>14</v>
      </c>
      <c r="H600">
        <v>30.88</v>
      </c>
      <c r="I600">
        <v>1822.69</v>
      </c>
      <c r="J600" t="s">
        <v>15</v>
      </c>
      <c r="K600" t="str">
        <f>IF(D600&lt;=12,"0-12 Months",IF(D600&lt;=24,"13-24 Months",IF(D600&lt;=48,"25-48 Months","49+ Months")))</f>
        <v>49+ Months</v>
      </c>
      <c r="L600">
        <f>IF(Table134[[#This Row],[Churn]]="Yes",1,0)</f>
        <v>0</v>
      </c>
    </row>
    <row r="601" spans="1:12" x14ac:dyDescent="0.35">
      <c r="A601" t="s">
        <v>623</v>
      </c>
      <c r="B601" t="s">
        <v>17</v>
      </c>
      <c r="C601">
        <v>18</v>
      </c>
      <c r="D601">
        <v>36</v>
      </c>
      <c r="E601" t="s">
        <v>12</v>
      </c>
      <c r="F601" t="s">
        <v>22</v>
      </c>
      <c r="G601" t="s">
        <v>19</v>
      </c>
      <c r="H601">
        <v>70.17</v>
      </c>
      <c r="I601">
        <v>2380.9499999999998</v>
      </c>
      <c r="J601" t="s">
        <v>15</v>
      </c>
      <c r="K601" t="str">
        <f>IF(D601&lt;=12,"0-12 Months",IF(D601&lt;=24,"13-24 Months",IF(D601&lt;=48,"25-48 Months","49+ Months")))</f>
        <v>25-48 Months</v>
      </c>
      <c r="L601">
        <f>IF(Table134[[#This Row],[Churn]]="Yes",1,0)</f>
        <v>0</v>
      </c>
    </row>
    <row r="602" spans="1:12" x14ac:dyDescent="0.35">
      <c r="A602" t="s">
        <v>624</v>
      </c>
      <c r="B602" t="s">
        <v>11</v>
      </c>
      <c r="C602">
        <v>31</v>
      </c>
      <c r="D602">
        <v>69</v>
      </c>
      <c r="E602" t="s">
        <v>21</v>
      </c>
      <c r="F602" t="s">
        <v>22</v>
      </c>
      <c r="G602" t="s">
        <v>14</v>
      </c>
      <c r="H602">
        <v>68.61</v>
      </c>
      <c r="I602">
        <v>4352.54</v>
      </c>
      <c r="J602" t="s">
        <v>15</v>
      </c>
      <c r="K602" t="str">
        <f>IF(D602&lt;=12,"0-12 Months",IF(D602&lt;=24,"13-24 Months",IF(D602&lt;=48,"25-48 Months","49+ Months")))</f>
        <v>49+ Months</v>
      </c>
      <c r="L602">
        <f>IF(Table134[[#This Row],[Churn]]="Yes",1,0)</f>
        <v>0</v>
      </c>
    </row>
    <row r="603" spans="1:12" x14ac:dyDescent="0.35">
      <c r="A603" t="s">
        <v>625</v>
      </c>
      <c r="B603" t="s">
        <v>17</v>
      </c>
      <c r="C603">
        <v>68</v>
      </c>
      <c r="D603">
        <v>31</v>
      </c>
      <c r="E603" t="s">
        <v>18</v>
      </c>
      <c r="F603" t="s">
        <v>29</v>
      </c>
      <c r="G603" t="s">
        <v>23</v>
      </c>
      <c r="H603">
        <v>135.22</v>
      </c>
      <c r="I603">
        <v>3826.49</v>
      </c>
      <c r="J603" t="s">
        <v>15</v>
      </c>
      <c r="K603" t="str">
        <f>IF(D603&lt;=12,"0-12 Months",IF(D603&lt;=24,"13-24 Months",IF(D603&lt;=48,"25-48 Months","49+ Months")))</f>
        <v>25-48 Months</v>
      </c>
      <c r="L603">
        <f>IF(Table134[[#This Row],[Churn]]="Yes",1,0)</f>
        <v>0</v>
      </c>
    </row>
    <row r="604" spans="1:12" x14ac:dyDescent="0.35">
      <c r="A604" t="s">
        <v>626</v>
      </c>
      <c r="B604" t="s">
        <v>17</v>
      </c>
      <c r="C604">
        <v>64</v>
      </c>
      <c r="D604">
        <v>47</v>
      </c>
      <c r="E604" t="s">
        <v>12</v>
      </c>
      <c r="F604" t="s">
        <v>22</v>
      </c>
      <c r="G604" t="s">
        <v>23</v>
      </c>
      <c r="H604">
        <v>39.68</v>
      </c>
      <c r="I604">
        <v>1899.53</v>
      </c>
      <c r="J604" t="s">
        <v>15</v>
      </c>
      <c r="K604" t="str">
        <f>IF(D604&lt;=12,"0-12 Months",IF(D604&lt;=24,"13-24 Months",IF(D604&lt;=48,"25-48 Months","49+ Months")))</f>
        <v>25-48 Months</v>
      </c>
      <c r="L604">
        <f>IF(Table134[[#This Row],[Churn]]="Yes",1,0)</f>
        <v>0</v>
      </c>
    </row>
    <row r="605" spans="1:12" x14ac:dyDescent="0.35">
      <c r="A605" t="s">
        <v>627</v>
      </c>
      <c r="B605" t="s">
        <v>17</v>
      </c>
      <c r="C605">
        <v>67</v>
      </c>
      <c r="D605">
        <v>55</v>
      </c>
      <c r="E605" t="s">
        <v>18</v>
      </c>
      <c r="F605" t="s">
        <v>29</v>
      </c>
      <c r="G605" t="s">
        <v>23</v>
      </c>
      <c r="H605">
        <v>39.75</v>
      </c>
      <c r="I605">
        <v>2328.37</v>
      </c>
      <c r="J605" t="s">
        <v>15</v>
      </c>
      <c r="K605" t="str">
        <f>IF(D605&lt;=12,"0-12 Months",IF(D605&lt;=24,"13-24 Months",IF(D605&lt;=48,"25-48 Months","49+ Months")))</f>
        <v>49+ Months</v>
      </c>
      <c r="L605">
        <f>IF(Table134[[#This Row],[Churn]]="Yes",1,0)</f>
        <v>0</v>
      </c>
    </row>
    <row r="606" spans="1:12" x14ac:dyDescent="0.35">
      <c r="A606" t="s">
        <v>628</v>
      </c>
      <c r="B606" t="s">
        <v>11</v>
      </c>
      <c r="C606">
        <v>19</v>
      </c>
      <c r="D606">
        <v>62</v>
      </c>
      <c r="E606" t="s">
        <v>21</v>
      </c>
      <c r="F606" t="s">
        <v>22</v>
      </c>
      <c r="G606" t="s">
        <v>19</v>
      </c>
      <c r="H606">
        <v>62.71</v>
      </c>
      <c r="I606">
        <v>4166.66</v>
      </c>
      <c r="J606" t="s">
        <v>15</v>
      </c>
      <c r="K606" t="str">
        <f>IF(D606&lt;=12,"0-12 Months",IF(D606&lt;=24,"13-24 Months",IF(D606&lt;=48,"25-48 Months","49+ Months")))</f>
        <v>49+ Months</v>
      </c>
      <c r="L606">
        <f>IF(Table134[[#This Row],[Churn]]="Yes",1,0)</f>
        <v>0</v>
      </c>
    </row>
    <row r="607" spans="1:12" x14ac:dyDescent="0.35">
      <c r="A607" t="s">
        <v>629</v>
      </c>
      <c r="B607" t="s">
        <v>11</v>
      </c>
      <c r="C607">
        <v>45</v>
      </c>
      <c r="D607">
        <v>30</v>
      </c>
      <c r="E607" t="s">
        <v>21</v>
      </c>
      <c r="F607" t="s">
        <v>13</v>
      </c>
      <c r="G607" t="s">
        <v>14</v>
      </c>
      <c r="H607">
        <v>27.08</v>
      </c>
      <c r="I607">
        <v>806.49</v>
      </c>
      <c r="J607" t="s">
        <v>15</v>
      </c>
      <c r="K607" t="str">
        <f>IF(D607&lt;=12,"0-12 Months",IF(D607&lt;=24,"13-24 Months",IF(D607&lt;=48,"25-48 Months","49+ Months")))</f>
        <v>25-48 Months</v>
      </c>
      <c r="L607">
        <f>IF(Table134[[#This Row],[Churn]]="Yes",1,0)</f>
        <v>0</v>
      </c>
    </row>
    <row r="608" spans="1:12" x14ac:dyDescent="0.35">
      <c r="A608" t="s">
        <v>630</v>
      </c>
      <c r="B608" t="s">
        <v>11</v>
      </c>
      <c r="C608">
        <v>66</v>
      </c>
      <c r="D608">
        <v>55</v>
      </c>
      <c r="E608" t="s">
        <v>12</v>
      </c>
      <c r="F608" t="s">
        <v>13</v>
      </c>
      <c r="G608" t="s">
        <v>23</v>
      </c>
      <c r="H608">
        <v>43.72</v>
      </c>
      <c r="I608">
        <v>2541.31</v>
      </c>
      <c r="J608" t="s">
        <v>15</v>
      </c>
      <c r="K608" t="str">
        <f>IF(D608&lt;=12,"0-12 Months",IF(D608&lt;=24,"13-24 Months",IF(D608&lt;=48,"25-48 Months","49+ Months")))</f>
        <v>49+ Months</v>
      </c>
      <c r="L608">
        <f>IF(Table134[[#This Row],[Churn]]="Yes",1,0)</f>
        <v>0</v>
      </c>
    </row>
    <row r="609" spans="1:12" x14ac:dyDescent="0.35">
      <c r="A609" t="s">
        <v>631</v>
      </c>
      <c r="B609" t="s">
        <v>17</v>
      </c>
      <c r="C609">
        <v>67</v>
      </c>
      <c r="D609">
        <v>16</v>
      </c>
      <c r="E609" t="s">
        <v>12</v>
      </c>
      <c r="F609" t="s">
        <v>33</v>
      </c>
      <c r="G609" t="s">
        <v>23</v>
      </c>
      <c r="H609">
        <v>145.47999999999999</v>
      </c>
      <c r="I609">
        <v>2535.7199999999998</v>
      </c>
      <c r="J609" t="s">
        <v>27</v>
      </c>
      <c r="K609" t="str">
        <f>IF(D609&lt;=12,"0-12 Months",IF(D609&lt;=24,"13-24 Months",IF(D609&lt;=48,"25-48 Months","49+ Months")))</f>
        <v>13-24 Months</v>
      </c>
      <c r="L609">
        <f>IF(Table134[[#This Row],[Churn]]="Yes",1,0)</f>
        <v>1</v>
      </c>
    </row>
    <row r="610" spans="1:12" x14ac:dyDescent="0.35">
      <c r="A610" t="s">
        <v>632</v>
      </c>
      <c r="B610" t="s">
        <v>17</v>
      </c>
      <c r="C610">
        <v>47</v>
      </c>
      <c r="D610">
        <v>12</v>
      </c>
      <c r="E610" t="s">
        <v>12</v>
      </c>
      <c r="F610" t="s">
        <v>33</v>
      </c>
      <c r="G610" t="s">
        <v>14</v>
      </c>
      <c r="H610">
        <v>75.66</v>
      </c>
      <c r="I610">
        <v>867.09</v>
      </c>
      <c r="J610" t="s">
        <v>27</v>
      </c>
      <c r="K610" t="str">
        <f>IF(D610&lt;=12,"0-12 Months",IF(D610&lt;=24,"13-24 Months",IF(D610&lt;=48,"25-48 Months","49+ Months")))</f>
        <v>0-12 Months</v>
      </c>
      <c r="L610">
        <f>IF(Table134[[#This Row],[Churn]]="Yes",1,0)</f>
        <v>1</v>
      </c>
    </row>
    <row r="611" spans="1:12" x14ac:dyDescent="0.35">
      <c r="A611" t="s">
        <v>633</v>
      </c>
      <c r="B611" t="s">
        <v>17</v>
      </c>
      <c r="C611">
        <v>55</v>
      </c>
      <c r="D611">
        <v>17</v>
      </c>
      <c r="E611" t="s">
        <v>12</v>
      </c>
      <c r="F611" t="s">
        <v>33</v>
      </c>
      <c r="G611" t="s">
        <v>23</v>
      </c>
      <c r="H611">
        <v>102.16</v>
      </c>
      <c r="I611">
        <v>1701.28</v>
      </c>
      <c r="J611" t="s">
        <v>27</v>
      </c>
      <c r="K611" t="str">
        <f>IF(D611&lt;=12,"0-12 Months",IF(D611&lt;=24,"13-24 Months",IF(D611&lt;=48,"25-48 Months","49+ Months")))</f>
        <v>13-24 Months</v>
      </c>
      <c r="L611">
        <f>IF(Table134[[#This Row],[Churn]]="Yes",1,0)</f>
        <v>1</v>
      </c>
    </row>
    <row r="612" spans="1:12" x14ac:dyDescent="0.35">
      <c r="A612" t="s">
        <v>634</v>
      </c>
      <c r="B612" t="s">
        <v>11</v>
      </c>
      <c r="C612">
        <v>68</v>
      </c>
      <c r="D612">
        <v>16</v>
      </c>
      <c r="E612" t="s">
        <v>12</v>
      </c>
      <c r="F612" t="s">
        <v>13</v>
      </c>
      <c r="G612" t="s">
        <v>23</v>
      </c>
      <c r="H612">
        <v>114.39</v>
      </c>
      <c r="I612">
        <v>1988.18</v>
      </c>
      <c r="J612" t="s">
        <v>15</v>
      </c>
      <c r="K612" t="str">
        <f>IF(D612&lt;=12,"0-12 Months",IF(D612&lt;=24,"13-24 Months",IF(D612&lt;=48,"25-48 Months","49+ Months")))</f>
        <v>13-24 Months</v>
      </c>
      <c r="L612">
        <f>IF(Table134[[#This Row],[Churn]]="Yes",1,0)</f>
        <v>0</v>
      </c>
    </row>
    <row r="613" spans="1:12" x14ac:dyDescent="0.35">
      <c r="A613" t="s">
        <v>635</v>
      </c>
      <c r="B613" t="s">
        <v>17</v>
      </c>
      <c r="C613">
        <v>21</v>
      </c>
      <c r="D613">
        <v>12</v>
      </c>
      <c r="E613" t="s">
        <v>21</v>
      </c>
      <c r="F613" t="s">
        <v>22</v>
      </c>
      <c r="G613" t="s">
        <v>19</v>
      </c>
      <c r="H613">
        <v>67.7</v>
      </c>
      <c r="I613">
        <v>786.12</v>
      </c>
      <c r="J613" t="s">
        <v>15</v>
      </c>
      <c r="K613" t="str">
        <f>IF(D613&lt;=12,"0-12 Months",IF(D613&lt;=24,"13-24 Months",IF(D613&lt;=48,"25-48 Months","49+ Months")))</f>
        <v>0-12 Months</v>
      </c>
      <c r="L613">
        <f>IF(Table134[[#This Row],[Churn]]="Yes",1,0)</f>
        <v>0</v>
      </c>
    </row>
    <row r="614" spans="1:12" x14ac:dyDescent="0.35">
      <c r="A614" t="s">
        <v>636</v>
      </c>
      <c r="B614" t="s">
        <v>17</v>
      </c>
      <c r="C614">
        <v>18</v>
      </c>
      <c r="D614">
        <v>8</v>
      </c>
      <c r="E614" t="s">
        <v>12</v>
      </c>
      <c r="F614" t="s">
        <v>13</v>
      </c>
      <c r="G614" t="s">
        <v>19</v>
      </c>
      <c r="H614">
        <v>39.14</v>
      </c>
      <c r="I614">
        <v>339.04</v>
      </c>
      <c r="J614" t="s">
        <v>15</v>
      </c>
      <c r="K614" t="str">
        <f>IF(D614&lt;=12,"0-12 Months",IF(D614&lt;=24,"13-24 Months",IF(D614&lt;=48,"25-48 Months","49+ Months")))</f>
        <v>0-12 Months</v>
      </c>
      <c r="L614">
        <f>IF(Table134[[#This Row],[Churn]]="Yes",1,0)</f>
        <v>0</v>
      </c>
    </row>
    <row r="615" spans="1:12" x14ac:dyDescent="0.35">
      <c r="A615" t="s">
        <v>637</v>
      </c>
      <c r="B615" t="s">
        <v>17</v>
      </c>
      <c r="C615">
        <v>25</v>
      </c>
      <c r="D615">
        <v>3</v>
      </c>
      <c r="E615" t="s">
        <v>18</v>
      </c>
      <c r="F615" t="s">
        <v>33</v>
      </c>
      <c r="G615" t="s">
        <v>19</v>
      </c>
      <c r="H615">
        <v>46.86</v>
      </c>
      <c r="I615">
        <v>154.11000000000001</v>
      </c>
      <c r="J615" t="s">
        <v>15</v>
      </c>
      <c r="K615" t="str">
        <f>IF(D615&lt;=12,"0-12 Months",IF(D615&lt;=24,"13-24 Months",IF(D615&lt;=48,"25-48 Months","49+ Months")))</f>
        <v>0-12 Months</v>
      </c>
      <c r="L615">
        <f>IF(Table134[[#This Row],[Churn]]="Yes",1,0)</f>
        <v>0</v>
      </c>
    </row>
    <row r="616" spans="1:12" x14ac:dyDescent="0.35">
      <c r="A616" t="s">
        <v>638</v>
      </c>
      <c r="B616" t="s">
        <v>17</v>
      </c>
      <c r="C616">
        <v>46</v>
      </c>
      <c r="D616">
        <v>16</v>
      </c>
      <c r="E616" t="s">
        <v>21</v>
      </c>
      <c r="F616" t="s">
        <v>13</v>
      </c>
      <c r="G616" t="s">
        <v>14</v>
      </c>
      <c r="H616">
        <v>60.72</v>
      </c>
      <c r="I616">
        <v>1002.96</v>
      </c>
      <c r="J616" t="s">
        <v>15</v>
      </c>
      <c r="K616" t="str">
        <f>IF(D616&lt;=12,"0-12 Months",IF(D616&lt;=24,"13-24 Months",IF(D616&lt;=48,"25-48 Months","49+ Months")))</f>
        <v>13-24 Months</v>
      </c>
      <c r="L616">
        <f>IF(Table134[[#This Row],[Churn]]="Yes",1,0)</f>
        <v>0</v>
      </c>
    </row>
    <row r="617" spans="1:12" x14ac:dyDescent="0.35">
      <c r="A617" t="s">
        <v>639</v>
      </c>
      <c r="B617" t="s">
        <v>11</v>
      </c>
      <c r="C617">
        <v>56</v>
      </c>
      <c r="D617">
        <v>30</v>
      </c>
      <c r="E617" t="s">
        <v>12</v>
      </c>
      <c r="F617" t="s">
        <v>33</v>
      </c>
      <c r="G617" t="s">
        <v>23</v>
      </c>
      <c r="H617">
        <v>102.69</v>
      </c>
      <c r="I617">
        <v>3275.95</v>
      </c>
      <c r="J617" t="s">
        <v>27</v>
      </c>
      <c r="K617" t="str">
        <f>IF(D617&lt;=12,"0-12 Months",IF(D617&lt;=24,"13-24 Months",IF(D617&lt;=48,"25-48 Months","49+ Months")))</f>
        <v>25-48 Months</v>
      </c>
      <c r="L617">
        <f>IF(Table134[[#This Row],[Churn]]="Yes",1,0)</f>
        <v>1</v>
      </c>
    </row>
    <row r="618" spans="1:12" x14ac:dyDescent="0.35">
      <c r="A618" t="s">
        <v>640</v>
      </c>
      <c r="B618" t="s">
        <v>11</v>
      </c>
      <c r="C618">
        <v>20</v>
      </c>
      <c r="D618">
        <v>23</v>
      </c>
      <c r="E618" t="s">
        <v>12</v>
      </c>
      <c r="F618" t="s">
        <v>33</v>
      </c>
      <c r="G618" t="s">
        <v>19</v>
      </c>
      <c r="H618">
        <v>71.78</v>
      </c>
      <c r="I618">
        <v>1733.34</v>
      </c>
      <c r="J618" t="s">
        <v>15</v>
      </c>
      <c r="K618" t="str">
        <f>IF(D618&lt;=12,"0-12 Months",IF(D618&lt;=24,"13-24 Months",IF(D618&lt;=48,"25-48 Months","49+ Months")))</f>
        <v>13-24 Months</v>
      </c>
      <c r="L618">
        <f>IF(Table134[[#This Row],[Churn]]="Yes",1,0)</f>
        <v>0</v>
      </c>
    </row>
    <row r="619" spans="1:12" x14ac:dyDescent="0.35">
      <c r="A619" t="s">
        <v>641</v>
      </c>
      <c r="B619" t="s">
        <v>17</v>
      </c>
      <c r="C619">
        <v>49</v>
      </c>
      <c r="D619">
        <v>5</v>
      </c>
      <c r="E619" t="s">
        <v>18</v>
      </c>
      <c r="F619" t="s">
        <v>22</v>
      </c>
      <c r="G619" t="s">
        <v>14</v>
      </c>
      <c r="H619">
        <v>20.89</v>
      </c>
      <c r="I619">
        <v>108.62</v>
      </c>
      <c r="J619" t="s">
        <v>15</v>
      </c>
      <c r="K619" t="str">
        <f>IF(D619&lt;=12,"0-12 Months",IF(D619&lt;=24,"13-24 Months",IF(D619&lt;=48,"25-48 Months","49+ Months")))</f>
        <v>0-12 Months</v>
      </c>
      <c r="L619">
        <f>IF(Table134[[#This Row],[Churn]]="Yes",1,0)</f>
        <v>0</v>
      </c>
    </row>
    <row r="620" spans="1:12" x14ac:dyDescent="0.35">
      <c r="A620" t="s">
        <v>642</v>
      </c>
      <c r="B620" t="s">
        <v>11</v>
      </c>
      <c r="C620">
        <v>27</v>
      </c>
      <c r="D620">
        <v>65</v>
      </c>
      <c r="E620" t="s">
        <v>18</v>
      </c>
      <c r="F620" t="s">
        <v>29</v>
      </c>
      <c r="G620" t="s">
        <v>19</v>
      </c>
      <c r="H620">
        <v>88.04</v>
      </c>
      <c r="I620">
        <v>5501.63</v>
      </c>
      <c r="J620" t="s">
        <v>15</v>
      </c>
      <c r="K620" t="str">
        <f>IF(D620&lt;=12,"0-12 Months",IF(D620&lt;=24,"13-24 Months",IF(D620&lt;=48,"25-48 Months","49+ Months")))</f>
        <v>49+ Months</v>
      </c>
      <c r="L620">
        <f>IF(Table134[[#This Row],[Churn]]="Yes",1,0)</f>
        <v>0</v>
      </c>
    </row>
    <row r="621" spans="1:12" x14ac:dyDescent="0.35">
      <c r="A621" t="s">
        <v>643</v>
      </c>
      <c r="B621" t="s">
        <v>11</v>
      </c>
      <c r="C621">
        <v>27</v>
      </c>
      <c r="D621">
        <v>30</v>
      </c>
      <c r="E621" t="s">
        <v>21</v>
      </c>
      <c r="F621" t="s">
        <v>29</v>
      </c>
      <c r="G621" t="s">
        <v>19</v>
      </c>
      <c r="H621">
        <v>139.80000000000001</v>
      </c>
      <c r="I621">
        <v>3822.49</v>
      </c>
      <c r="J621" t="s">
        <v>15</v>
      </c>
      <c r="K621" t="str">
        <f>IF(D621&lt;=12,"0-12 Months",IF(D621&lt;=24,"13-24 Months",IF(D621&lt;=48,"25-48 Months","49+ Months")))</f>
        <v>25-48 Months</v>
      </c>
      <c r="L621">
        <f>IF(Table134[[#This Row],[Churn]]="Yes",1,0)</f>
        <v>0</v>
      </c>
    </row>
    <row r="622" spans="1:12" x14ac:dyDescent="0.35">
      <c r="A622" t="s">
        <v>644</v>
      </c>
      <c r="B622" t="s">
        <v>17</v>
      </c>
      <c r="C622">
        <v>36</v>
      </c>
      <c r="D622">
        <v>21</v>
      </c>
      <c r="E622" t="s">
        <v>12</v>
      </c>
      <c r="F622" t="s">
        <v>33</v>
      </c>
      <c r="G622" t="s">
        <v>14</v>
      </c>
      <c r="H622">
        <v>125.57</v>
      </c>
      <c r="I622">
        <v>2554.1999999999998</v>
      </c>
      <c r="J622" t="s">
        <v>15</v>
      </c>
      <c r="K622" t="str">
        <f>IF(D622&lt;=12,"0-12 Months",IF(D622&lt;=24,"13-24 Months",IF(D622&lt;=48,"25-48 Months","49+ Months")))</f>
        <v>13-24 Months</v>
      </c>
      <c r="L622">
        <f>IF(Table134[[#This Row],[Churn]]="Yes",1,0)</f>
        <v>0</v>
      </c>
    </row>
    <row r="623" spans="1:12" x14ac:dyDescent="0.35">
      <c r="A623" t="s">
        <v>645</v>
      </c>
      <c r="B623" t="s">
        <v>17</v>
      </c>
      <c r="C623">
        <v>63</v>
      </c>
      <c r="D623">
        <v>70</v>
      </c>
      <c r="E623" t="s">
        <v>12</v>
      </c>
      <c r="F623" t="s">
        <v>29</v>
      </c>
      <c r="G623" t="s">
        <v>23</v>
      </c>
      <c r="H623">
        <v>127.28</v>
      </c>
      <c r="I623">
        <v>9207.07</v>
      </c>
      <c r="J623" t="s">
        <v>27</v>
      </c>
      <c r="K623" t="str">
        <f>IF(D623&lt;=12,"0-12 Months",IF(D623&lt;=24,"13-24 Months",IF(D623&lt;=48,"25-48 Months","49+ Months")))</f>
        <v>49+ Months</v>
      </c>
      <c r="L623">
        <f>IF(Table134[[#This Row],[Churn]]="Yes",1,0)</f>
        <v>1</v>
      </c>
    </row>
    <row r="624" spans="1:12" x14ac:dyDescent="0.35">
      <c r="A624" t="s">
        <v>646</v>
      </c>
      <c r="B624" t="s">
        <v>11</v>
      </c>
      <c r="C624">
        <v>51</v>
      </c>
      <c r="D624">
        <v>22</v>
      </c>
      <c r="E624" t="s">
        <v>12</v>
      </c>
      <c r="F624" t="s">
        <v>33</v>
      </c>
      <c r="G624" t="s">
        <v>23</v>
      </c>
      <c r="H624">
        <v>123.36</v>
      </c>
      <c r="I624">
        <v>2498.1799999999998</v>
      </c>
      <c r="J624" t="s">
        <v>15</v>
      </c>
      <c r="K624" t="str">
        <f>IF(D624&lt;=12,"0-12 Months",IF(D624&lt;=24,"13-24 Months",IF(D624&lt;=48,"25-48 Months","49+ Months")))</f>
        <v>13-24 Months</v>
      </c>
      <c r="L624">
        <f>IF(Table134[[#This Row],[Churn]]="Yes",1,0)</f>
        <v>0</v>
      </c>
    </row>
    <row r="625" spans="1:12" x14ac:dyDescent="0.35">
      <c r="A625" t="s">
        <v>647</v>
      </c>
      <c r="B625" t="s">
        <v>17</v>
      </c>
      <c r="C625">
        <v>50</v>
      </c>
      <c r="D625">
        <v>72</v>
      </c>
      <c r="E625" t="s">
        <v>12</v>
      </c>
      <c r="F625" t="s">
        <v>13</v>
      </c>
      <c r="G625" t="s">
        <v>23</v>
      </c>
      <c r="H625">
        <v>62.09</v>
      </c>
      <c r="I625">
        <v>4034.09</v>
      </c>
      <c r="J625" t="s">
        <v>15</v>
      </c>
      <c r="K625" t="str">
        <f>IF(D625&lt;=12,"0-12 Months",IF(D625&lt;=24,"13-24 Months",IF(D625&lt;=48,"25-48 Months","49+ Months")))</f>
        <v>49+ Months</v>
      </c>
      <c r="L625">
        <f>IF(Table134[[#This Row],[Churn]]="Yes",1,0)</f>
        <v>0</v>
      </c>
    </row>
    <row r="626" spans="1:12" x14ac:dyDescent="0.35">
      <c r="A626" t="s">
        <v>648</v>
      </c>
      <c r="B626" t="s">
        <v>11</v>
      </c>
      <c r="C626">
        <v>40</v>
      </c>
      <c r="D626">
        <v>32</v>
      </c>
      <c r="E626" t="s">
        <v>21</v>
      </c>
      <c r="F626" t="s">
        <v>13</v>
      </c>
      <c r="G626" t="s">
        <v>14</v>
      </c>
      <c r="H626">
        <v>119.48</v>
      </c>
      <c r="I626">
        <v>3547.84</v>
      </c>
      <c r="J626" t="s">
        <v>15</v>
      </c>
      <c r="K626" t="str">
        <f>IF(D626&lt;=12,"0-12 Months",IF(D626&lt;=24,"13-24 Months",IF(D626&lt;=48,"25-48 Months","49+ Months")))</f>
        <v>25-48 Months</v>
      </c>
      <c r="L626">
        <f>IF(Table134[[#This Row],[Churn]]="Yes",1,0)</f>
        <v>0</v>
      </c>
    </row>
    <row r="627" spans="1:12" x14ac:dyDescent="0.35">
      <c r="A627" t="s">
        <v>649</v>
      </c>
      <c r="B627" t="s">
        <v>17</v>
      </c>
      <c r="C627">
        <v>45</v>
      </c>
      <c r="D627">
        <v>33</v>
      </c>
      <c r="E627" t="s">
        <v>21</v>
      </c>
      <c r="F627" t="s">
        <v>33</v>
      </c>
      <c r="G627" t="s">
        <v>14</v>
      </c>
      <c r="H627">
        <v>38.61</v>
      </c>
      <c r="I627">
        <v>1329.11</v>
      </c>
      <c r="J627" t="s">
        <v>15</v>
      </c>
      <c r="K627" t="str">
        <f>IF(D627&lt;=12,"0-12 Months",IF(D627&lt;=24,"13-24 Months",IF(D627&lt;=48,"25-48 Months","49+ Months")))</f>
        <v>25-48 Months</v>
      </c>
      <c r="L627">
        <f>IF(Table134[[#This Row],[Churn]]="Yes",1,0)</f>
        <v>0</v>
      </c>
    </row>
    <row r="628" spans="1:12" x14ac:dyDescent="0.35">
      <c r="A628" t="s">
        <v>650</v>
      </c>
      <c r="B628" t="s">
        <v>11</v>
      </c>
      <c r="C628">
        <v>49</v>
      </c>
      <c r="D628">
        <v>16</v>
      </c>
      <c r="E628" t="s">
        <v>21</v>
      </c>
      <c r="F628" t="s">
        <v>22</v>
      </c>
      <c r="G628" t="s">
        <v>14</v>
      </c>
      <c r="H628">
        <v>105.5</v>
      </c>
      <c r="I628">
        <v>1847.62</v>
      </c>
      <c r="J628" t="s">
        <v>15</v>
      </c>
      <c r="K628" t="str">
        <f>IF(D628&lt;=12,"0-12 Months",IF(D628&lt;=24,"13-24 Months",IF(D628&lt;=48,"25-48 Months","49+ Months")))</f>
        <v>13-24 Months</v>
      </c>
      <c r="L628">
        <f>IF(Table134[[#This Row],[Churn]]="Yes",1,0)</f>
        <v>0</v>
      </c>
    </row>
    <row r="629" spans="1:12" x14ac:dyDescent="0.35">
      <c r="A629" t="s">
        <v>651</v>
      </c>
      <c r="B629" t="s">
        <v>17</v>
      </c>
      <c r="C629">
        <v>67</v>
      </c>
      <c r="D629">
        <v>38</v>
      </c>
      <c r="E629" t="s">
        <v>18</v>
      </c>
      <c r="F629" t="s">
        <v>13</v>
      </c>
      <c r="G629" t="s">
        <v>23</v>
      </c>
      <c r="H629">
        <v>103.4</v>
      </c>
      <c r="I629">
        <v>4308.8100000000004</v>
      </c>
      <c r="J629" t="s">
        <v>15</v>
      </c>
      <c r="K629" t="str">
        <f>IF(D629&lt;=12,"0-12 Months",IF(D629&lt;=24,"13-24 Months",IF(D629&lt;=48,"25-48 Months","49+ Months")))</f>
        <v>25-48 Months</v>
      </c>
      <c r="L629">
        <f>IF(Table134[[#This Row],[Churn]]="Yes",1,0)</f>
        <v>0</v>
      </c>
    </row>
    <row r="630" spans="1:12" x14ac:dyDescent="0.35">
      <c r="A630" t="s">
        <v>652</v>
      </c>
      <c r="B630" t="s">
        <v>11</v>
      </c>
      <c r="C630">
        <v>24</v>
      </c>
      <c r="D630">
        <v>14</v>
      </c>
      <c r="E630" t="s">
        <v>21</v>
      </c>
      <c r="F630" t="s">
        <v>13</v>
      </c>
      <c r="G630" t="s">
        <v>19</v>
      </c>
      <c r="H630">
        <v>23.32</v>
      </c>
      <c r="I630">
        <v>326.08999999999997</v>
      </c>
      <c r="J630" t="s">
        <v>15</v>
      </c>
      <c r="K630" t="str">
        <f>IF(D630&lt;=12,"0-12 Months",IF(D630&lt;=24,"13-24 Months",IF(D630&lt;=48,"25-48 Months","49+ Months")))</f>
        <v>13-24 Months</v>
      </c>
      <c r="L630">
        <f>IF(Table134[[#This Row],[Churn]]="Yes",1,0)</f>
        <v>0</v>
      </c>
    </row>
    <row r="631" spans="1:12" x14ac:dyDescent="0.35">
      <c r="A631" t="s">
        <v>653</v>
      </c>
      <c r="B631" t="s">
        <v>11</v>
      </c>
      <c r="C631">
        <v>46</v>
      </c>
      <c r="D631">
        <v>36</v>
      </c>
      <c r="E631" t="s">
        <v>12</v>
      </c>
      <c r="F631" t="s">
        <v>13</v>
      </c>
      <c r="G631" t="s">
        <v>14</v>
      </c>
      <c r="H631">
        <v>122.44</v>
      </c>
      <c r="I631">
        <v>4733.45</v>
      </c>
      <c r="J631" t="s">
        <v>27</v>
      </c>
      <c r="K631" t="str">
        <f>IF(D631&lt;=12,"0-12 Months",IF(D631&lt;=24,"13-24 Months",IF(D631&lt;=48,"25-48 Months","49+ Months")))</f>
        <v>25-48 Months</v>
      </c>
      <c r="L631">
        <f>IF(Table134[[#This Row],[Churn]]="Yes",1,0)</f>
        <v>1</v>
      </c>
    </row>
    <row r="632" spans="1:12" x14ac:dyDescent="0.35">
      <c r="A632" t="s">
        <v>654</v>
      </c>
      <c r="B632" t="s">
        <v>11</v>
      </c>
      <c r="C632">
        <v>25</v>
      </c>
      <c r="D632">
        <v>23</v>
      </c>
      <c r="E632" t="s">
        <v>12</v>
      </c>
      <c r="F632" t="s">
        <v>22</v>
      </c>
      <c r="G632" t="s">
        <v>19</v>
      </c>
      <c r="H632">
        <v>137.41999999999999</v>
      </c>
      <c r="I632">
        <v>3310.37</v>
      </c>
      <c r="J632" t="s">
        <v>15</v>
      </c>
      <c r="K632" t="str">
        <f>IF(D632&lt;=12,"0-12 Months",IF(D632&lt;=24,"13-24 Months",IF(D632&lt;=48,"25-48 Months","49+ Months")))</f>
        <v>13-24 Months</v>
      </c>
      <c r="L632">
        <f>IF(Table134[[#This Row],[Churn]]="Yes",1,0)</f>
        <v>0</v>
      </c>
    </row>
    <row r="633" spans="1:12" x14ac:dyDescent="0.35">
      <c r="A633" t="s">
        <v>655</v>
      </c>
      <c r="B633" t="s">
        <v>17</v>
      </c>
      <c r="C633">
        <v>18</v>
      </c>
      <c r="D633">
        <v>66</v>
      </c>
      <c r="E633" t="s">
        <v>18</v>
      </c>
      <c r="F633" t="s">
        <v>29</v>
      </c>
      <c r="G633" t="s">
        <v>19</v>
      </c>
      <c r="H633">
        <v>54.76</v>
      </c>
      <c r="I633">
        <v>3614.91</v>
      </c>
      <c r="J633" t="s">
        <v>27</v>
      </c>
      <c r="K633" t="str">
        <f>IF(D633&lt;=12,"0-12 Months",IF(D633&lt;=24,"13-24 Months",IF(D633&lt;=48,"25-48 Months","49+ Months")))</f>
        <v>49+ Months</v>
      </c>
      <c r="L633">
        <f>IF(Table134[[#This Row],[Churn]]="Yes",1,0)</f>
        <v>1</v>
      </c>
    </row>
    <row r="634" spans="1:12" x14ac:dyDescent="0.35">
      <c r="A634" t="s">
        <v>656</v>
      </c>
      <c r="B634" t="s">
        <v>11</v>
      </c>
      <c r="C634">
        <v>20</v>
      </c>
      <c r="D634">
        <v>2</v>
      </c>
      <c r="E634" t="s">
        <v>12</v>
      </c>
      <c r="F634" t="s">
        <v>33</v>
      </c>
      <c r="G634" t="s">
        <v>19</v>
      </c>
      <c r="H634">
        <v>125.61</v>
      </c>
      <c r="I634">
        <v>254.88</v>
      </c>
      <c r="J634" t="s">
        <v>15</v>
      </c>
      <c r="K634" t="str">
        <f>IF(D634&lt;=12,"0-12 Months",IF(D634&lt;=24,"13-24 Months",IF(D634&lt;=48,"25-48 Months","49+ Months")))</f>
        <v>0-12 Months</v>
      </c>
      <c r="L634">
        <f>IF(Table134[[#This Row],[Churn]]="Yes",1,0)</f>
        <v>0</v>
      </c>
    </row>
    <row r="635" spans="1:12" x14ac:dyDescent="0.35">
      <c r="A635" t="s">
        <v>657</v>
      </c>
      <c r="B635" t="s">
        <v>11</v>
      </c>
      <c r="C635">
        <v>41</v>
      </c>
      <c r="D635">
        <v>65</v>
      </c>
      <c r="E635" t="s">
        <v>18</v>
      </c>
      <c r="F635" t="s">
        <v>33</v>
      </c>
      <c r="G635" t="s">
        <v>14</v>
      </c>
      <c r="H635">
        <v>30.71</v>
      </c>
      <c r="I635">
        <v>1851.32</v>
      </c>
      <c r="J635" t="s">
        <v>15</v>
      </c>
      <c r="K635" t="str">
        <f>IF(D635&lt;=12,"0-12 Months",IF(D635&lt;=24,"13-24 Months",IF(D635&lt;=48,"25-48 Months","49+ Months")))</f>
        <v>49+ Months</v>
      </c>
      <c r="L635">
        <f>IF(Table134[[#This Row],[Churn]]="Yes",1,0)</f>
        <v>0</v>
      </c>
    </row>
    <row r="636" spans="1:12" x14ac:dyDescent="0.35">
      <c r="A636" t="s">
        <v>658</v>
      </c>
      <c r="B636" t="s">
        <v>17</v>
      </c>
      <c r="C636">
        <v>40</v>
      </c>
      <c r="D636">
        <v>67</v>
      </c>
      <c r="E636" t="s">
        <v>18</v>
      </c>
      <c r="F636" t="s">
        <v>29</v>
      </c>
      <c r="G636" t="s">
        <v>14</v>
      </c>
      <c r="H636">
        <v>98</v>
      </c>
      <c r="I636">
        <v>7140.74</v>
      </c>
      <c r="J636" t="s">
        <v>15</v>
      </c>
      <c r="K636" t="str">
        <f>IF(D636&lt;=12,"0-12 Months",IF(D636&lt;=24,"13-24 Months",IF(D636&lt;=48,"25-48 Months","49+ Months")))</f>
        <v>49+ Months</v>
      </c>
      <c r="L636">
        <f>IF(Table134[[#This Row],[Churn]]="Yes",1,0)</f>
        <v>0</v>
      </c>
    </row>
    <row r="637" spans="1:12" x14ac:dyDescent="0.35">
      <c r="A637" t="s">
        <v>659</v>
      </c>
      <c r="B637" t="s">
        <v>17</v>
      </c>
      <c r="C637">
        <v>25</v>
      </c>
      <c r="D637">
        <v>52</v>
      </c>
      <c r="E637" t="s">
        <v>12</v>
      </c>
      <c r="F637" t="s">
        <v>22</v>
      </c>
      <c r="G637" t="s">
        <v>19</v>
      </c>
      <c r="H637">
        <v>83.13</v>
      </c>
      <c r="I637">
        <v>4194.75</v>
      </c>
      <c r="J637" t="s">
        <v>15</v>
      </c>
      <c r="K637" t="str">
        <f>IF(D637&lt;=12,"0-12 Months",IF(D637&lt;=24,"13-24 Months",IF(D637&lt;=48,"25-48 Months","49+ Months")))</f>
        <v>49+ Months</v>
      </c>
      <c r="L637">
        <f>IF(Table134[[#This Row],[Churn]]="Yes",1,0)</f>
        <v>0</v>
      </c>
    </row>
    <row r="638" spans="1:12" x14ac:dyDescent="0.35">
      <c r="A638" t="s">
        <v>660</v>
      </c>
      <c r="B638" t="s">
        <v>11</v>
      </c>
      <c r="C638">
        <v>64</v>
      </c>
      <c r="D638">
        <v>62</v>
      </c>
      <c r="E638" t="s">
        <v>21</v>
      </c>
      <c r="F638" t="s">
        <v>13</v>
      </c>
      <c r="G638" t="s">
        <v>23</v>
      </c>
      <c r="H638">
        <v>90.97</v>
      </c>
      <c r="I638">
        <v>5579.39</v>
      </c>
      <c r="J638" t="s">
        <v>15</v>
      </c>
      <c r="K638" t="str">
        <f>IF(D638&lt;=12,"0-12 Months",IF(D638&lt;=24,"13-24 Months",IF(D638&lt;=48,"25-48 Months","49+ Months")))</f>
        <v>49+ Months</v>
      </c>
      <c r="L638">
        <f>IF(Table134[[#This Row],[Churn]]="Yes",1,0)</f>
        <v>0</v>
      </c>
    </row>
    <row r="639" spans="1:12" x14ac:dyDescent="0.35">
      <c r="A639" t="s">
        <v>661</v>
      </c>
      <c r="B639" t="s">
        <v>11</v>
      </c>
      <c r="C639">
        <v>54</v>
      </c>
      <c r="D639">
        <v>23</v>
      </c>
      <c r="E639" t="s">
        <v>18</v>
      </c>
      <c r="F639" t="s">
        <v>29</v>
      </c>
      <c r="G639" t="s">
        <v>23</v>
      </c>
      <c r="H639">
        <v>140.41</v>
      </c>
      <c r="I639">
        <v>3340.3</v>
      </c>
      <c r="J639" t="s">
        <v>27</v>
      </c>
      <c r="K639" t="str">
        <f>IF(D639&lt;=12,"0-12 Months",IF(D639&lt;=24,"13-24 Months",IF(D639&lt;=48,"25-48 Months","49+ Months")))</f>
        <v>13-24 Months</v>
      </c>
      <c r="L639">
        <f>IF(Table134[[#This Row],[Churn]]="Yes",1,0)</f>
        <v>1</v>
      </c>
    </row>
    <row r="640" spans="1:12" x14ac:dyDescent="0.35">
      <c r="A640" t="s">
        <v>662</v>
      </c>
      <c r="B640" t="s">
        <v>17</v>
      </c>
      <c r="C640">
        <v>20</v>
      </c>
      <c r="D640">
        <v>26</v>
      </c>
      <c r="E640" t="s">
        <v>21</v>
      </c>
      <c r="F640" t="s">
        <v>33</v>
      </c>
      <c r="G640" t="s">
        <v>19</v>
      </c>
      <c r="H640">
        <v>133.27000000000001</v>
      </c>
      <c r="I640">
        <v>3349.91</v>
      </c>
      <c r="J640" t="s">
        <v>15</v>
      </c>
      <c r="K640" t="str">
        <f>IF(D640&lt;=12,"0-12 Months",IF(D640&lt;=24,"13-24 Months",IF(D640&lt;=48,"25-48 Months","49+ Months")))</f>
        <v>25-48 Months</v>
      </c>
      <c r="L640">
        <f>IF(Table134[[#This Row],[Churn]]="Yes",1,0)</f>
        <v>0</v>
      </c>
    </row>
    <row r="641" spans="1:12" x14ac:dyDescent="0.35">
      <c r="A641" t="s">
        <v>663</v>
      </c>
      <c r="B641" t="s">
        <v>17</v>
      </c>
      <c r="C641">
        <v>68</v>
      </c>
      <c r="D641">
        <v>68</v>
      </c>
      <c r="E641" t="s">
        <v>18</v>
      </c>
      <c r="F641" t="s">
        <v>29</v>
      </c>
      <c r="G641" t="s">
        <v>23</v>
      </c>
      <c r="H641">
        <v>122.06</v>
      </c>
      <c r="I641">
        <v>7892.15</v>
      </c>
      <c r="J641" t="s">
        <v>15</v>
      </c>
      <c r="K641" t="str">
        <f>IF(D641&lt;=12,"0-12 Months",IF(D641&lt;=24,"13-24 Months",IF(D641&lt;=48,"25-48 Months","49+ Months")))</f>
        <v>49+ Months</v>
      </c>
      <c r="L641">
        <f>IF(Table134[[#This Row],[Churn]]="Yes",1,0)</f>
        <v>0</v>
      </c>
    </row>
    <row r="642" spans="1:12" x14ac:dyDescent="0.35">
      <c r="A642" t="s">
        <v>664</v>
      </c>
      <c r="B642" t="s">
        <v>17</v>
      </c>
      <c r="C642">
        <v>50</v>
      </c>
      <c r="D642">
        <v>55</v>
      </c>
      <c r="E642" t="s">
        <v>18</v>
      </c>
      <c r="F642" t="s">
        <v>29</v>
      </c>
      <c r="G642" t="s">
        <v>23</v>
      </c>
      <c r="H642">
        <v>55.58</v>
      </c>
      <c r="I642">
        <v>3137.02</v>
      </c>
      <c r="J642" t="s">
        <v>15</v>
      </c>
      <c r="K642" t="str">
        <f>IF(D642&lt;=12,"0-12 Months",IF(D642&lt;=24,"13-24 Months",IF(D642&lt;=48,"25-48 Months","49+ Months")))</f>
        <v>49+ Months</v>
      </c>
      <c r="L642">
        <f>IF(Table134[[#This Row],[Churn]]="Yes",1,0)</f>
        <v>0</v>
      </c>
    </row>
    <row r="643" spans="1:12" x14ac:dyDescent="0.35">
      <c r="A643" t="s">
        <v>665</v>
      </c>
      <c r="B643" t="s">
        <v>17</v>
      </c>
      <c r="C643">
        <v>45</v>
      </c>
      <c r="D643">
        <v>6</v>
      </c>
      <c r="E643" t="s">
        <v>12</v>
      </c>
      <c r="F643" t="s">
        <v>13</v>
      </c>
      <c r="G643" t="s">
        <v>14</v>
      </c>
      <c r="H643">
        <v>138.54</v>
      </c>
      <c r="I643">
        <v>752.27</v>
      </c>
      <c r="J643" t="s">
        <v>15</v>
      </c>
      <c r="K643" t="str">
        <f>IF(D643&lt;=12,"0-12 Months",IF(D643&lt;=24,"13-24 Months",IF(D643&lt;=48,"25-48 Months","49+ Months")))</f>
        <v>0-12 Months</v>
      </c>
      <c r="L643">
        <f>IF(Table134[[#This Row],[Churn]]="Yes",1,0)</f>
        <v>0</v>
      </c>
    </row>
    <row r="644" spans="1:12" x14ac:dyDescent="0.35">
      <c r="A644" t="s">
        <v>666</v>
      </c>
      <c r="B644" t="s">
        <v>17</v>
      </c>
      <c r="C644">
        <v>64</v>
      </c>
      <c r="D644">
        <v>35</v>
      </c>
      <c r="E644" t="s">
        <v>12</v>
      </c>
      <c r="F644" t="s">
        <v>13</v>
      </c>
      <c r="G644" t="s">
        <v>23</v>
      </c>
      <c r="H644">
        <v>32.68</v>
      </c>
      <c r="I644">
        <v>1194.29</v>
      </c>
      <c r="J644" t="s">
        <v>15</v>
      </c>
      <c r="K644" t="str">
        <f>IF(D644&lt;=12,"0-12 Months",IF(D644&lt;=24,"13-24 Months",IF(D644&lt;=48,"25-48 Months","49+ Months")))</f>
        <v>25-48 Months</v>
      </c>
      <c r="L644">
        <f>IF(Table134[[#This Row],[Churn]]="Yes",1,0)</f>
        <v>0</v>
      </c>
    </row>
    <row r="645" spans="1:12" x14ac:dyDescent="0.35">
      <c r="A645" t="s">
        <v>667</v>
      </c>
      <c r="B645" t="s">
        <v>11</v>
      </c>
      <c r="C645">
        <v>25</v>
      </c>
      <c r="D645">
        <v>22</v>
      </c>
      <c r="E645" t="s">
        <v>18</v>
      </c>
      <c r="F645" t="s">
        <v>13</v>
      </c>
      <c r="G645" t="s">
        <v>19</v>
      </c>
      <c r="H645">
        <v>130.93</v>
      </c>
      <c r="I645">
        <v>2888.54</v>
      </c>
      <c r="J645" t="s">
        <v>15</v>
      </c>
      <c r="K645" t="str">
        <f>IF(D645&lt;=12,"0-12 Months",IF(D645&lt;=24,"13-24 Months",IF(D645&lt;=48,"25-48 Months","49+ Months")))</f>
        <v>13-24 Months</v>
      </c>
      <c r="L645">
        <f>IF(Table134[[#This Row],[Churn]]="Yes",1,0)</f>
        <v>0</v>
      </c>
    </row>
    <row r="646" spans="1:12" x14ac:dyDescent="0.35">
      <c r="A646" t="s">
        <v>668</v>
      </c>
      <c r="B646" t="s">
        <v>17</v>
      </c>
      <c r="C646">
        <v>51</v>
      </c>
      <c r="D646">
        <v>43</v>
      </c>
      <c r="E646" t="s">
        <v>21</v>
      </c>
      <c r="F646" t="s">
        <v>22</v>
      </c>
      <c r="G646" t="s">
        <v>23</v>
      </c>
      <c r="H646">
        <v>62.66</v>
      </c>
      <c r="I646">
        <v>2751.37</v>
      </c>
      <c r="J646" t="s">
        <v>15</v>
      </c>
      <c r="K646" t="str">
        <f>IF(D646&lt;=12,"0-12 Months",IF(D646&lt;=24,"13-24 Months",IF(D646&lt;=48,"25-48 Months","49+ Months")))</f>
        <v>25-48 Months</v>
      </c>
      <c r="L646">
        <f>IF(Table134[[#This Row],[Churn]]="Yes",1,0)</f>
        <v>0</v>
      </c>
    </row>
    <row r="647" spans="1:12" x14ac:dyDescent="0.35">
      <c r="A647" t="s">
        <v>669</v>
      </c>
      <c r="B647" t="s">
        <v>11</v>
      </c>
      <c r="C647">
        <v>52</v>
      </c>
      <c r="D647">
        <v>15</v>
      </c>
      <c r="E647" t="s">
        <v>12</v>
      </c>
      <c r="F647" t="s">
        <v>22</v>
      </c>
      <c r="G647" t="s">
        <v>23</v>
      </c>
      <c r="H647">
        <v>26.99</v>
      </c>
      <c r="I647">
        <v>415.53</v>
      </c>
      <c r="J647" t="s">
        <v>27</v>
      </c>
      <c r="K647" t="str">
        <f>IF(D647&lt;=12,"0-12 Months",IF(D647&lt;=24,"13-24 Months",IF(D647&lt;=48,"25-48 Months","49+ Months")))</f>
        <v>13-24 Months</v>
      </c>
      <c r="L647">
        <f>IF(Table134[[#This Row],[Churn]]="Yes",1,0)</f>
        <v>1</v>
      </c>
    </row>
    <row r="648" spans="1:12" x14ac:dyDescent="0.35">
      <c r="A648" t="s">
        <v>670</v>
      </c>
      <c r="B648" t="s">
        <v>11</v>
      </c>
      <c r="C648">
        <v>49</v>
      </c>
      <c r="D648">
        <v>60</v>
      </c>
      <c r="E648" t="s">
        <v>12</v>
      </c>
      <c r="F648" t="s">
        <v>22</v>
      </c>
      <c r="G648" t="s">
        <v>14</v>
      </c>
      <c r="H648">
        <v>107.02</v>
      </c>
      <c r="I648">
        <v>6455.94</v>
      </c>
      <c r="J648" t="s">
        <v>15</v>
      </c>
      <c r="K648" t="str">
        <f>IF(D648&lt;=12,"0-12 Months",IF(D648&lt;=24,"13-24 Months",IF(D648&lt;=48,"25-48 Months","49+ Months")))</f>
        <v>49+ Months</v>
      </c>
      <c r="L648">
        <f>IF(Table134[[#This Row],[Churn]]="Yes",1,0)</f>
        <v>0</v>
      </c>
    </row>
    <row r="649" spans="1:12" x14ac:dyDescent="0.35">
      <c r="A649" t="s">
        <v>671</v>
      </c>
      <c r="B649" t="s">
        <v>11</v>
      </c>
      <c r="C649">
        <v>41</v>
      </c>
      <c r="D649">
        <v>12</v>
      </c>
      <c r="E649" t="s">
        <v>21</v>
      </c>
      <c r="F649" t="s">
        <v>29</v>
      </c>
      <c r="G649" t="s">
        <v>14</v>
      </c>
      <c r="H649">
        <v>50.07</v>
      </c>
      <c r="I649">
        <v>610.76</v>
      </c>
      <c r="J649" t="s">
        <v>15</v>
      </c>
      <c r="K649" t="str">
        <f>IF(D649&lt;=12,"0-12 Months",IF(D649&lt;=24,"13-24 Months",IF(D649&lt;=48,"25-48 Months","49+ Months")))</f>
        <v>0-12 Months</v>
      </c>
      <c r="L649">
        <f>IF(Table134[[#This Row],[Churn]]="Yes",1,0)</f>
        <v>0</v>
      </c>
    </row>
    <row r="650" spans="1:12" x14ac:dyDescent="0.35">
      <c r="A650" t="s">
        <v>672</v>
      </c>
      <c r="B650" t="s">
        <v>17</v>
      </c>
      <c r="C650">
        <v>31</v>
      </c>
      <c r="D650">
        <v>49</v>
      </c>
      <c r="E650" t="s">
        <v>18</v>
      </c>
      <c r="F650" t="s">
        <v>13</v>
      </c>
      <c r="G650" t="s">
        <v>14</v>
      </c>
      <c r="H650">
        <v>51.66</v>
      </c>
      <c r="I650">
        <v>2624.39</v>
      </c>
      <c r="J650" t="s">
        <v>15</v>
      </c>
      <c r="K650" t="str">
        <f>IF(D650&lt;=12,"0-12 Months",IF(D650&lt;=24,"13-24 Months",IF(D650&lt;=48,"25-48 Months","49+ Months")))</f>
        <v>49+ Months</v>
      </c>
      <c r="L650">
        <f>IF(Table134[[#This Row],[Churn]]="Yes",1,0)</f>
        <v>0</v>
      </c>
    </row>
    <row r="651" spans="1:12" x14ac:dyDescent="0.35">
      <c r="A651" t="s">
        <v>673</v>
      </c>
      <c r="B651" t="s">
        <v>11</v>
      </c>
      <c r="C651">
        <v>49</v>
      </c>
      <c r="D651">
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/v>
      </c>
      <c r="J651" t="s">
        <v>15</v>
      </c>
      <c r="K651" t="str">
        <f>IF(D651&lt;=12,"0-12 Months",IF(D651&lt;=24,"13-24 Months",IF(D651&lt;=48,"25-48 Months","49+ Months")))</f>
        <v>25-48 Months</v>
      </c>
      <c r="L651">
        <f>IF(Table134[[#This Row],[Churn]]="Yes",1,0)</f>
        <v>0</v>
      </c>
    </row>
    <row r="652" spans="1:12" x14ac:dyDescent="0.35">
      <c r="A652" t="s">
        <v>674</v>
      </c>
      <c r="B652" t="s">
        <v>11</v>
      </c>
      <c r="C652">
        <v>63</v>
      </c>
      <c r="D652">
        <v>38</v>
      </c>
      <c r="E652" t="s">
        <v>21</v>
      </c>
      <c r="F652" t="s">
        <v>29</v>
      </c>
      <c r="G652" t="s">
        <v>23</v>
      </c>
      <c r="H652">
        <v>28.28</v>
      </c>
      <c r="I652">
        <v>1123.53</v>
      </c>
      <c r="J652" t="s">
        <v>15</v>
      </c>
      <c r="K652" t="str">
        <f>IF(D652&lt;=12,"0-12 Months",IF(D652&lt;=24,"13-24 Months",IF(D652&lt;=48,"25-48 Months","49+ Months")))</f>
        <v>25-48 Months</v>
      </c>
      <c r="L652">
        <f>IF(Table134[[#This Row],[Churn]]="Yes",1,0)</f>
        <v>0</v>
      </c>
    </row>
    <row r="653" spans="1:12" x14ac:dyDescent="0.35">
      <c r="A653" t="s">
        <v>675</v>
      </c>
      <c r="B653" t="s">
        <v>17</v>
      </c>
      <c r="C653">
        <v>60</v>
      </c>
      <c r="D653">
        <v>45</v>
      </c>
      <c r="E653" t="s">
        <v>12</v>
      </c>
      <c r="F653" t="s">
        <v>13</v>
      </c>
      <c r="G653" t="s">
        <v>23</v>
      </c>
      <c r="H653">
        <v>43.03</v>
      </c>
      <c r="I653">
        <v>2079.4899999999998</v>
      </c>
      <c r="J653" t="s">
        <v>15</v>
      </c>
      <c r="K653" t="str">
        <f>IF(D653&lt;=12,"0-12 Months",IF(D653&lt;=24,"13-24 Months",IF(D653&lt;=48,"25-48 Months","49+ Months")))</f>
        <v>25-48 Months</v>
      </c>
      <c r="L653">
        <f>IF(Table134[[#This Row],[Churn]]="Yes",1,0)</f>
        <v>0</v>
      </c>
    </row>
    <row r="654" spans="1:12" x14ac:dyDescent="0.35">
      <c r="A654" t="s">
        <v>676</v>
      </c>
      <c r="B654" t="s">
        <v>11</v>
      </c>
      <c r="C654">
        <v>33</v>
      </c>
      <c r="D654">
        <v>35</v>
      </c>
      <c r="E654" t="s">
        <v>12</v>
      </c>
      <c r="F654" t="s">
        <v>29</v>
      </c>
      <c r="G654" t="s">
        <v>14</v>
      </c>
      <c r="H654">
        <v>20.67</v>
      </c>
      <c r="I654">
        <v>678.52</v>
      </c>
      <c r="J654" t="s">
        <v>15</v>
      </c>
      <c r="K654" t="str">
        <f>IF(D654&lt;=12,"0-12 Months",IF(D654&lt;=24,"13-24 Months",IF(D654&lt;=48,"25-48 Months","49+ Months")))</f>
        <v>25-48 Months</v>
      </c>
      <c r="L654">
        <f>IF(Table134[[#This Row],[Churn]]="Yes",1,0)</f>
        <v>0</v>
      </c>
    </row>
    <row r="655" spans="1:12" x14ac:dyDescent="0.35">
      <c r="A655" t="s">
        <v>677</v>
      </c>
      <c r="B655" t="s">
        <v>11</v>
      </c>
      <c r="C655">
        <v>21</v>
      </c>
      <c r="D655">
        <v>30</v>
      </c>
      <c r="E655" t="s">
        <v>18</v>
      </c>
      <c r="F655" t="s">
        <v>29</v>
      </c>
      <c r="G655" t="s">
        <v>19</v>
      </c>
      <c r="H655">
        <v>77.900000000000006</v>
      </c>
      <c r="I655">
        <v>2290.8000000000002</v>
      </c>
      <c r="J655" t="s">
        <v>27</v>
      </c>
      <c r="K655" t="str">
        <f>IF(D655&lt;=12,"0-12 Months",IF(D655&lt;=24,"13-24 Months",IF(D655&lt;=48,"25-48 Months","49+ Months")))</f>
        <v>25-48 Months</v>
      </c>
      <c r="L655">
        <f>IF(Table134[[#This Row],[Churn]]="Yes",1,0)</f>
        <v>1</v>
      </c>
    </row>
    <row r="656" spans="1:12" x14ac:dyDescent="0.35">
      <c r="A656" t="s">
        <v>678</v>
      </c>
      <c r="B656" t="s">
        <v>17</v>
      </c>
      <c r="C656">
        <v>69</v>
      </c>
      <c r="D656">
        <v>30</v>
      </c>
      <c r="E656" t="s">
        <v>12</v>
      </c>
      <c r="F656" t="s">
        <v>29</v>
      </c>
      <c r="G656" t="s">
        <v>23</v>
      </c>
      <c r="H656">
        <v>30.95</v>
      </c>
      <c r="I656">
        <v>1011.66</v>
      </c>
      <c r="J656" t="s">
        <v>15</v>
      </c>
      <c r="K656" t="str">
        <f>IF(D656&lt;=12,"0-12 Months",IF(D656&lt;=24,"13-24 Months",IF(D656&lt;=48,"25-48 Months","49+ Months")))</f>
        <v>25-48 Months</v>
      </c>
      <c r="L656">
        <f>IF(Table134[[#This Row],[Churn]]="Yes",1,0)</f>
        <v>0</v>
      </c>
    </row>
    <row r="657" spans="1:12" x14ac:dyDescent="0.35">
      <c r="A657" t="s">
        <v>679</v>
      </c>
      <c r="B657" t="s">
        <v>11</v>
      </c>
      <c r="C657">
        <v>54</v>
      </c>
      <c r="D657">
        <v>6</v>
      </c>
      <c r="E657" t="s">
        <v>12</v>
      </c>
      <c r="F657" t="s">
        <v>33</v>
      </c>
      <c r="G657" t="s">
        <v>23</v>
      </c>
      <c r="H657">
        <v>108.74</v>
      </c>
      <c r="I657">
        <v>638.95000000000005</v>
      </c>
      <c r="J657" t="s">
        <v>15</v>
      </c>
      <c r="K657" t="str">
        <f>IF(D657&lt;=12,"0-12 Months",IF(D657&lt;=24,"13-24 Months",IF(D657&lt;=48,"25-48 Months","49+ Months")))</f>
        <v>0-12 Months</v>
      </c>
      <c r="L657">
        <f>IF(Table134[[#This Row],[Churn]]="Yes",1,0)</f>
        <v>0</v>
      </c>
    </row>
    <row r="658" spans="1:12" x14ac:dyDescent="0.35">
      <c r="A658" t="s">
        <v>680</v>
      </c>
      <c r="B658" t="s">
        <v>11</v>
      </c>
      <c r="C658">
        <v>38</v>
      </c>
      <c r="D658">
        <v>67</v>
      </c>
      <c r="E658" t="s">
        <v>12</v>
      </c>
      <c r="F658" t="s">
        <v>33</v>
      </c>
      <c r="G658" t="s">
        <v>14</v>
      </c>
      <c r="H658">
        <v>50.63</v>
      </c>
      <c r="I658">
        <v>3137.71</v>
      </c>
      <c r="J658" t="s">
        <v>15</v>
      </c>
      <c r="K658" t="str">
        <f>IF(D658&lt;=12,"0-12 Months",IF(D658&lt;=24,"13-24 Months",IF(D658&lt;=48,"25-48 Months","49+ Months")))</f>
        <v>49+ Months</v>
      </c>
      <c r="L658">
        <f>IF(Table134[[#This Row],[Churn]]="Yes",1,0)</f>
        <v>0</v>
      </c>
    </row>
    <row r="659" spans="1:12" x14ac:dyDescent="0.35">
      <c r="A659" t="s">
        <v>681</v>
      </c>
      <c r="B659" t="s">
        <v>11</v>
      </c>
      <c r="C659">
        <v>31</v>
      </c>
      <c r="D659">
        <v>7</v>
      </c>
      <c r="E659" t="s">
        <v>21</v>
      </c>
      <c r="F659" t="s">
        <v>22</v>
      </c>
      <c r="G659" t="s">
        <v>14</v>
      </c>
      <c r="H659">
        <v>142.66</v>
      </c>
      <c r="I659">
        <v>1003.7</v>
      </c>
      <c r="J659" t="s">
        <v>15</v>
      </c>
      <c r="K659" t="str">
        <f>IF(D659&lt;=12,"0-12 Months",IF(D659&lt;=24,"13-24 Months",IF(D659&lt;=48,"25-48 Months","49+ Months")))</f>
        <v>0-12 Months</v>
      </c>
      <c r="L659">
        <f>IF(Table134[[#This Row],[Churn]]="Yes",1,0)</f>
        <v>0</v>
      </c>
    </row>
    <row r="660" spans="1:12" x14ac:dyDescent="0.35">
      <c r="A660" t="s">
        <v>682</v>
      </c>
      <c r="B660" t="s">
        <v>17</v>
      </c>
      <c r="C660">
        <v>48</v>
      </c>
      <c r="D660">
        <v>52</v>
      </c>
      <c r="E660" t="s">
        <v>18</v>
      </c>
      <c r="F660" t="s">
        <v>33</v>
      </c>
      <c r="G660" t="s">
        <v>14</v>
      </c>
      <c r="H660">
        <v>133.26</v>
      </c>
      <c r="I660">
        <v>6388.31</v>
      </c>
      <c r="J660" t="s">
        <v>15</v>
      </c>
      <c r="K660" t="str">
        <f>IF(D660&lt;=12,"0-12 Months",IF(D660&lt;=24,"13-24 Months",IF(D660&lt;=48,"25-48 Months","49+ Months")))</f>
        <v>49+ Months</v>
      </c>
      <c r="L660">
        <f>IF(Table134[[#This Row],[Churn]]="Yes",1,0)</f>
        <v>0</v>
      </c>
    </row>
    <row r="661" spans="1:12" x14ac:dyDescent="0.35">
      <c r="A661" t="s">
        <v>683</v>
      </c>
      <c r="B661" t="s">
        <v>17</v>
      </c>
      <c r="C661">
        <v>65</v>
      </c>
      <c r="D661">
        <v>14</v>
      </c>
      <c r="E661" t="s">
        <v>12</v>
      </c>
      <c r="F661" t="s">
        <v>22</v>
      </c>
      <c r="G661" t="s">
        <v>23</v>
      </c>
      <c r="H661">
        <v>57.63</v>
      </c>
      <c r="I661">
        <v>758.87</v>
      </c>
      <c r="J661" t="s">
        <v>27</v>
      </c>
      <c r="K661" t="str">
        <f>IF(D661&lt;=12,"0-12 Months",IF(D661&lt;=24,"13-24 Months",IF(D661&lt;=48,"25-48 Months","49+ Months")))</f>
        <v>13-24 Months</v>
      </c>
      <c r="L661">
        <f>IF(Table134[[#This Row],[Churn]]="Yes",1,0)</f>
        <v>1</v>
      </c>
    </row>
    <row r="662" spans="1:12" x14ac:dyDescent="0.35">
      <c r="A662" t="s">
        <v>684</v>
      </c>
      <c r="B662" t="s">
        <v>17</v>
      </c>
      <c r="C662">
        <v>35</v>
      </c>
      <c r="D662">
        <v>15</v>
      </c>
      <c r="E662" t="s">
        <v>12</v>
      </c>
      <c r="F662" t="s">
        <v>13</v>
      </c>
      <c r="G662" t="s">
        <v>14</v>
      </c>
      <c r="H662">
        <v>121.82</v>
      </c>
      <c r="I662">
        <v>2009.42</v>
      </c>
      <c r="J662" t="s">
        <v>15</v>
      </c>
      <c r="K662" t="str">
        <f>IF(D662&lt;=12,"0-12 Months",IF(D662&lt;=24,"13-24 Months",IF(D662&lt;=48,"25-48 Months","49+ Months")))</f>
        <v>13-24 Months</v>
      </c>
      <c r="L662">
        <f>IF(Table134[[#This Row],[Churn]]="Yes",1,0)</f>
        <v>0</v>
      </c>
    </row>
    <row r="663" spans="1:12" x14ac:dyDescent="0.35">
      <c r="A663" t="s">
        <v>685</v>
      </c>
      <c r="B663" t="s">
        <v>11</v>
      </c>
      <c r="C663">
        <v>24</v>
      </c>
      <c r="D663">
        <v>21</v>
      </c>
      <c r="E663" t="s">
        <v>21</v>
      </c>
      <c r="F663" t="s">
        <v>29</v>
      </c>
      <c r="G663" t="s">
        <v>19</v>
      </c>
      <c r="H663">
        <v>124.42</v>
      </c>
      <c r="I663">
        <v>2634.43</v>
      </c>
      <c r="J663" t="s">
        <v>15</v>
      </c>
      <c r="K663" t="str">
        <f>IF(D663&lt;=12,"0-12 Months",IF(D663&lt;=24,"13-24 Months",IF(D663&lt;=48,"25-48 Months","49+ Months")))</f>
        <v>13-24 Months</v>
      </c>
      <c r="L663">
        <f>IF(Table134[[#This Row],[Churn]]="Yes",1,0)</f>
        <v>0</v>
      </c>
    </row>
    <row r="664" spans="1:12" x14ac:dyDescent="0.35">
      <c r="A664" t="s">
        <v>686</v>
      </c>
      <c r="B664" t="s">
        <v>11</v>
      </c>
      <c r="C664">
        <v>27</v>
      </c>
      <c r="D664">
        <v>35</v>
      </c>
      <c r="E664" t="s">
        <v>18</v>
      </c>
      <c r="F664" t="s">
        <v>22</v>
      </c>
      <c r="G664" t="s">
        <v>19</v>
      </c>
      <c r="H664">
        <v>148.25</v>
      </c>
      <c r="I664">
        <v>4964.66</v>
      </c>
      <c r="J664" t="s">
        <v>27</v>
      </c>
      <c r="K664" t="str">
        <f>IF(D664&lt;=12,"0-12 Months",IF(D664&lt;=24,"13-24 Months",IF(D664&lt;=48,"25-48 Months","49+ Months")))</f>
        <v>25-48 Months</v>
      </c>
      <c r="L664">
        <f>IF(Table134[[#This Row],[Churn]]="Yes",1,0)</f>
        <v>1</v>
      </c>
    </row>
    <row r="665" spans="1:12" x14ac:dyDescent="0.35">
      <c r="A665" t="s">
        <v>687</v>
      </c>
      <c r="B665" t="s">
        <v>17</v>
      </c>
      <c r="C665">
        <v>24</v>
      </c>
      <c r="D665">
        <v>66</v>
      </c>
      <c r="E665" t="s">
        <v>12</v>
      </c>
      <c r="F665" t="s">
        <v>22</v>
      </c>
      <c r="G665" t="s">
        <v>19</v>
      </c>
      <c r="H665">
        <v>97.72</v>
      </c>
      <c r="I665">
        <v>7087.73</v>
      </c>
      <c r="J665" t="s">
        <v>15</v>
      </c>
      <c r="K665" t="str">
        <f>IF(D665&lt;=12,"0-12 Months",IF(D665&lt;=24,"13-24 Months",IF(D665&lt;=48,"25-48 Months","49+ Months")))</f>
        <v>49+ Months</v>
      </c>
      <c r="L665">
        <f>IF(Table134[[#This Row],[Churn]]="Yes",1,0)</f>
        <v>0</v>
      </c>
    </row>
    <row r="666" spans="1:12" x14ac:dyDescent="0.35">
      <c r="A666" t="s">
        <v>688</v>
      </c>
      <c r="B666" t="s">
        <v>11</v>
      </c>
      <c r="C666">
        <v>50</v>
      </c>
      <c r="D666">
        <v>2</v>
      </c>
      <c r="E666" t="s">
        <v>12</v>
      </c>
      <c r="F666" t="s">
        <v>22</v>
      </c>
      <c r="G666" t="s">
        <v>23</v>
      </c>
      <c r="H666">
        <v>30.66</v>
      </c>
      <c r="I666">
        <v>67.040000000000006</v>
      </c>
      <c r="J666" t="s">
        <v>27</v>
      </c>
      <c r="K666" t="str">
        <f>IF(D666&lt;=12,"0-12 Months",IF(D666&lt;=24,"13-24 Months",IF(D666&lt;=48,"25-48 Months","49+ Months")))</f>
        <v>0-12 Months</v>
      </c>
      <c r="L666">
        <f>IF(Table134[[#This Row],[Churn]]="Yes",1,0)</f>
        <v>1</v>
      </c>
    </row>
    <row r="667" spans="1:12" x14ac:dyDescent="0.35">
      <c r="A667" t="s">
        <v>689</v>
      </c>
      <c r="B667" t="s">
        <v>11</v>
      </c>
      <c r="C667">
        <v>40</v>
      </c>
      <c r="D667">
        <v>35</v>
      </c>
      <c r="E667" t="s">
        <v>12</v>
      </c>
      <c r="F667" t="s">
        <v>22</v>
      </c>
      <c r="G667" t="s">
        <v>14</v>
      </c>
      <c r="H667">
        <v>104.09</v>
      </c>
      <c r="I667">
        <v>3599.97</v>
      </c>
      <c r="J667" t="s">
        <v>15</v>
      </c>
      <c r="K667" t="str">
        <f>IF(D667&lt;=12,"0-12 Months",IF(D667&lt;=24,"13-24 Months",IF(D667&lt;=48,"25-48 Months","49+ Months")))</f>
        <v>25-48 Months</v>
      </c>
      <c r="L667">
        <f>IF(Table134[[#This Row],[Churn]]="Yes",1,0)</f>
        <v>0</v>
      </c>
    </row>
    <row r="668" spans="1:12" x14ac:dyDescent="0.35">
      <c r="A668" t="s">
        <v>690</v>
      </c>
      <c r="B668" t="s">
        <v>17</v>
      </c>
      <c r="C668">
        <v>38</v>
      </c>
      <c r="D668">
        <v>20</v>
      </c>
      <c r="E668" t="s">
        <v>18</v>
      </c>
      <c r="F668" t="s">
        <v>13</v>
      </c>
      <c r="G668" t="s">
        <v>14</v>
      </c>
      <c r="H668">
        <v>101.25</v>
      </c>
      <c r="I668">
        <v>1927.96</v>
      </c>
      <c r="J668" t="s">
        <v>15</v>
      </c>
      <c r="K668" t="str">
        <f>IF(D668&lt;=12,"0-12 Months",IF(D668&lt;=24,"13-24 Months",IF(D668&lt;=48,"25-48 Months","49+ Months")))</f>
        <v>13-24 Months</v>
      </c>
      <c r="L668">
        <f>IF(Table134[[#This Row],[Churn]]="Yes",1,0)</f>
        <v>0</v>
      </c>
    </row>
    <row r="669" spans="1:12" x14ac:dyDescent="0.35">
      <c r="A669" t="s">
        <v>691</v>
      </c>
      <c r="B669" t="s">
        <v>17</v>
      </c>
      <c r="C669">
        <v>36</v>
      </c>
      <c r="D669">
        <v>10</v>
      </c>
      <c r="E669" t="s">
        <v>12</v>
      </c>
      <c r="F669" t="s">
        <v>22</v>
      </c>
      <c r="G669" t="s">
        <v>14</v>
      </c>
      <c r="H669">
        <v>102.99</v>
      </c>
      <c r="I669">
        <v>1099.5999999999999</v>
      </c>
      <c r="J669" t="s">
        <v>15</v>
      </c>
      <c r="K669" t="str">
        <f>IF(D669&lt;=12,"0-12 Months",IF(D669&lt;=24,"13-24 Months",IF(D669&lt;=48,"25-48 Months","49+ Months")))</f>
        <v>0-12 Months</v>
      </c>
      <c r="L669">
        <f>IF(Table134[[#This Row],[Churn]]="Yes",1,0)</f>
        <v>0</v>
      </c>
    </row>
    <row r="670" spans="1:12" x14ac:dyDescent="0.35">
      <c r="A670" t="s">
        <v>692</v>
      </c>
      <c r="B670" t="s">
        <v>11</v>
      </c>
      <c r="C670">
        <v>65</v>
      </c>
      <c r="D670">
        <v>25</v>
      </c>
      <c r="E670" t="s">
        <v>12</v>
      </c>
      <c r="F670" t="s">
        <v>33</v>
      </c>
      <c r="G670" t="s">
        <v>23</v>
      </c>
      <c r="H670">
        <v>59.93</v>
      </c>
      <c r="I670">
        <v>1562.86</v>
      </c>
      <c r="J670" t="s">
        <v>15</v>
      </c>
      <c r="K670" t="str">
        <f>IF(D670&lt;=12,"0-12 Months",IF(D670&lt;=24,"13-24 Months",IF(D670&lt;=48,"25-48 Months","49+ Months")))</f>
        <v>25-48 Months</v>
      </c>
      <c r="L670">
        <f>IF(Table134[[#This Row],[Churn]]="Yes",1,0)</f>
        <v>0</v>
      </c>
    </row>
    <row r="671" spans="1:12" x14ac:dyDescent="0.35">
      <c r="A671" t="s">
        <v>693</v>
      </c>
      <c r="B671" t="s">
        <v>11</v>
      </c>
      <c r="C671">
        <v>36</v>
      </c>
      <c r="D671">
        <v>66</v>
      </c>
      <c r="E671" t="s">
        <v>21</v>
      </c>
      <c r="F671" t="s">
        <v>13</v>
      </c>
      <c r="G671" t="s">
        <v>14</v>
      </c>
      <c r="H671">
        <v>131.76</v>
      </c>
      <c r="I671">
        <v>9021.2900000000009</v>
      </c>
      <c r="J671" t="s">
        <v>15</v>
      </c>
      <c r="K671" t="str">
        <f>IF(D671&lt;=12,"0-12 Months",IF(D671&lt;=24,"13-24 Months",IF(D671&lt;=48,"25-48 Months","49+ Months")))</f>
        <v>49+ Months</v>
      </c>
      <c r="L671">
        <f>IF(Table134[[#This Row],[Churn]]="Yes",1,0)</f>
        <v>0</v>
      </c>
    </row>
    <row r="672" spans="1:12" x14ac:dyDescent="0.35">
      <c r="A672" t="s">
        <v>694</v>
      </c>
      <c r="B672" t="s">
        <v>11</v>
      </c>
      <c r="C672">
        <v>53</v>
      </c>
      <c r="D672">
        <v>25</v>
      </c>
      <c r="E672" t="s">
        <v>21</v>
      </c>
      <c r="F672" t="s">
        <v>22</v>
      </c>
      <c r="G672" t="s">
        <v>23</v>
      </c>
      <c r="H672">
        <v>144.72999999999999</v>
      </c>
      <c r="I672">
        <v>3902.73</v>
      </c>
      <c r="J672" t="s">
        <v>15</v>
      </c>
      <c r="K672" t="str">
        <f>IF(D672&lt;=12,"0-12 Months",IF(D672&lt;=24,"13-24 Months",IF(D672&lt;=48,"25-48 Months","49+ Months")))</f>
        <v>25-48 Months</v>
      </c>
      <c r="L672">
        <f>IF(Table134[[#This Row],[Churn]]="Yes",1,0)</f>
        <v>0</v>
      </c>
    </row>
    <row r="673" spans="1:12" x14ac:dyDescent="0.35">
      <c r="A673" t="s">
        <v>695</v>
      </c>
      <c r="B673" t="s">
        <v>17</v>
      </c>
      <c r="C673">
        <v>46</v>
      </c>
      <c r="D673">
        <v>54</v>
      </c>
      <c r="E673" t="s">
        <v>12</v>
      </c>
      <c r="F673" t="s">
        <v>13</v>
      </c>
      <c r="G673" t="s">
        <v>14</v>
      </c>
      <c r="H673">
        <v>48.3</v>
      </c>
      <c r="I673">
        <v>2707.01</v>
      </c>
      <c r="J673" t="s">
        <v>15</v>
      </c>
      <c r="K673" t="str">
        <f>IF(D673&lt;=12,"0-12 Months",IF(D673&lt;=24,"13-24 Months",IF(D673&lt;=48,"25-48 Months","49+ Months")))</f>
        <v>49+ Months</v>
      </c>
      <c r="L673">
        <f>IF(Table134[[#This Row],[Churn]]="Yes",1,0)</f>
        <v>0</v>
      </c>
    </row>
    <row r="674" spans="1:12" x14ac:dyDescent="0.35">
      <c r="A674" t="s">
        <v>696</v>
      </c>
      <c r="B674" t="s">
        <v>17</v>
      </c>
      <c r="C674">
        <v>35</v>
      </c>
      <c r="D674">
        <v>33</v>
      </c>
      <c r="E674" t="s">
        <v>18</v>
      </c>
      <c r="F674" t="s">
        <v>22</v>
      </c>
      <c r="G674" t="s">
        <v>14</v>
      </c>
      <c r="H674">
        <v>31.46</v>
      </c>
      <c r="I674">
        <v>993.29</v>
      </c>
      <c r="J674" t="s">
        <v>15</v>
      </c>
      <c r="K674" t="str">
        <f>IF(D674&lt;=12,"0-12 Months",IF(D674&lt;=24,"13-24 Months",IF(D674&lt;=48,"25-48 Months","49+ Months")))</f>
        <v>25-48 Months</v>
      </c>
      <c r="L674">
        <f>IF(Table134[[#This Row],[Churn]]="Yes",1,0)</f>
        <v>0</v>
      </c>
    </row>
    <row r="675" spans="1:12" x14ac:dyDescent="0.35">
      <c r="A675" t="s">
        <v>697</v>
      </c>
      <c r="B675" t="s">
        <v>17</v>
      </c>
      <c r="C675">
        <v>19</v>
      </c>
      <c r="D675">
        <v>36</v>
      </c>
      <c r="E675" t="s">
        <v>12</v>
      </c>
      <c r="F675" t="s">
        <v>22</v>
      </c>
      <c r="G675" t="s">
        <v>19</v>
      </c>
      <c r="H675">
        <v>45.29</v>
      </c>
      <c r="I675">
        <v>1693.66</v>
      </c>
      <c r="J675" t="s">
        <v>15</v>
      </c>
      <c r="K675" t="str">
        <f>IF(D675&lt;=12,"0-12 Months",IF(D675&lt;=24,"13-24 Months",IF(D675&lt;=48,"25-48 Months","49+ Months")))</f>
        <v>25-48 Months</v>
      </c>
      <c r="L675">
        <f>IF(Table134[[#This Row],[Churn]]="Yes",1,0)</f>
        <v>0</v>
      </c>
    </row>
    <row r="676" spans="1:12" x14ac:dyDescent="0.35">
      <c r="A676" t="s">
        <v>698</v>
      </c>
      <c r="B676" t="s">
        <v>17</v>
      </c>
      <c r="C676">
        <v>18</v>
      </c>
      <c r="D676">
        <v>14</v>
      </c>
      <c r="E676" t="s">
        <v>21</v>
      </c>
      <c r="F676" t="s">
        <v>29</v>
      </c>
      <c r="G676" t="s">
        <v>19</v>
      </c>
      <c r="H676">
        <v>126.67</v>
      </c>
      <c r="I676">
        <v>1704.51</v>
      </c>
      <c r="J676" t="s">
        <v>15</v>
      </c>
      <c r="K676" t="str">
        <f>IF(D676&lt;=12,"0-12 Months",IF(D676&lt;=24,"13-24 Months",IF(D676&lt;=48,"25-48 Months","49+ Months")))</f>
        <v>13-24 Months</v>
      </c>
      <c r="L676">
        <f>IF(Table134[[#This Row],[Churn]]="Yes",1,0)</f>
        <v>0</v>
      </c>
    </row>
    <row r="677" spans="1:12" x14ac:dyDescent="0.35">
      <c r="A677" t="s">
        <v>699</v>
      </c>
      <c r="B677" t="s">
        <v>11</v>
      </c>
      <c r="C677">
        <v>64</v>
      </c>
      <c r="D677">
        <v>65</v>
      </c>
      <c r="E677" t="s">
        <v>12</v>
      </c>
      <c r="F677" t="s">
        <v>22</v>
      </c>
      <c r="G677" t="s">
        <v>23</v>
      </c>
      <c r="H677">
        <v>107.96</v>
      </c>
      <c r="I677">
        <v>7381.24</v>
      </c>
      <c r="J677" t="s">
        <v>27</v>
      </c>
      <c r="K677" t="str">
        <f>IF(D677&lt;=12,"0-12 Months",IF(D677&lt;=24,"13-24 Months",IF(D677&lt;=48,"25-48 Months","49+ Months")))</f>
        <v>49+ Months</v>
      </c>
      <c r="L677">
        <f>IF(Table134[[#This Row],[Churn]]="Yes",1,0)</f>
        <v>1</v>
      </c>
    </row>
    <row r="678" spans="1:12" x14ac:dyDescent="0.35">
      <c r="A678" t="s">
        <v>700</v>
      </c>
      <c r="B678" t="s">
        <v>17</v>
      </c>
      <c r="C678">
        <v>22</v>
      </c>
      <c r="D678">
        <v>54</v>
      </c>
      <c r="E678" t="s">
        <v>21</v>
      </c>
      <c r="F678" t="s">
        <v>29</v>
      </c>
      <c r="G678" t="s">
        <v>19</v>
      </c>
      <c r="H678">
        <v>102.69</v>
      </c>
      <c r="I678">
        <v>5678.07</v>
      </c>
      <c r="J678" t="s">
        <v>27</v>
      </c>
      <c r="K678" t="str">
        <f>IF(D678&lt;=12,"0-12 Months",IF(D678&lt;=24,"13-24 Months",IF(D678&lt;=48,"25-48 Months","49+ Months")))</f>
        <v>49+ Months</v>
      </c>
      <c r="L678">
        <f>IF(Table134[[#This Row],[Churn]]="Yes",1,0)</f>
        <v>1</v>
      </c>
    </row>
    <row r="679" spans="1:12" x14ac:dyDescent="0.35">
      <c r="A679" t="s">
        <v>701</v>
      </c>
      <c r="B679" t="s">
        <v>17</v>
      </c>
      <c r="C679">
        <v>37</v>
      </c>
      <c r="D679">
        <v>52</v>
      </c>
      <c r="E679" t="s">
        <v>12</v>
      </c>
      <c r="F679" t="s">
        <v>22</v>
      </c>
      <c r="G679" t="s">
        <v>14</v>
      </c>
      <c r="H679">
        <v>72.23</v>
      </c>
      <c r="I679">
        <v>3438.51</v>
      </c>
      <c r="J679" t="s">
        <v>15</v>
      </c>
      <c r="K679" t="str">
        <f>IF(D679&lt;=12,"0-12 Months",IF(D679&lt;=24,"13-24 Months",IF(D679&lt;=48,"25-48 Months","49+ Months")))</f>
        <v>49+ Months</v>
      </c>
      <c r="L679">
        <f>IF(Table134[[#This Row],[Churn]]="Yes",1,0)</f>
        <v>0</v>
      </c>
    </row>
    <row r="680" spans="1:12" x14ac:dyDescent="0.35">
      <c r="A680" t="s">
        <v>702</v>
      </c>
      <c r="B680" t="s">
        <v>17</v>
      </c>
      <c r="C680">
        <v>28</v>
      </c>
      <c r="D680">
        <v>3</v>
      </c>
      <c r="E680" t="s">
        <v>18</v>
      </c>
      <c r="F680" t="s">
        <v>13</v>
      </c>
      <c r="G680" t="s">
        <v>19</v>
      </c>
      <c r="H680">
        <v>95.12</v>
      </c>
      <c r="I680">
        <v>286.08999999999997</v>
      </c>
      <c r="J680" t="s">
        <v>15</v>
      </c>
      <c r="K680" t="str">
        <f>IF(D680&lt;=12,"0-12 Months",IF(D680&lt;=24,"13-24 Months",IF(D680&lt;=48,"25-48 Months","49+ Months")))</f>
        <v>0-12 Months</v>
      </c>
      <c r="L680">
        <f>IF(Table134[[#This Row],[Churn]]="Yes",1,0)</f>
        <v>0</v>
      </c>
    </row>
    <row r="681" spans="1:12" x14ac:dyDescent="0.35">
      <c r="A681" t="s">
        <v>703</v>
      </c>
      <c r="B681" t="s">
        <v>17</v>
      </c>
      <c r="C681">
        <v>59</v>
      </c>
      <c r="D681">
        <v>41</v>
      </c>
      <c r="E681" t="s">
        <v>21</v>
      </c>
      <c r="F681" t="s">
        <v>22</v>
      </c>
      <c r="G681" t="s">
        <v>23</v>
      </c>
      <c r="H681">
        <v>60.02</v>
      </c>
      <c r="I681">
        <v>2383.6999999999998</v>
      </c>
      <c r="J681" t="s">
        <v>15</v>
      </c>
      <c r="K681" t="str">
        <f>IF(D681&lt;=12,"0-12 Months",IF(D681&lt;=24,"13-24 Months",IF(D681&lt;=48,"25-48 Months","49+ Months")))</f>
        <v>25-48 Months</v>
      </c>
      <c r="L681">
        <f>IF(Table134[[#This Row],[Churn]]="Yes",1,0)</f>
        <v>0</v>
      </c>
    </row>
    <row r="682" spans="1:12" x14ac:dyDescent="0.35">
      <c r="A682" t="s">
        <v>704</v>
      </c>
      <c r="B682" t="s">
        <v>17</v>
      </c>
      <c r="C682">
        <v>19</v>
      </c>
      <c r="D682">
        <v>6</v>
      </c>
      <c r="E682" t="s">
        <v>21</v>
      </c>
      <c r="F682" t="s">
        <v>29</v>
      </c>
      <c r="G682" t="s">
        <v>19</v>
      </c>
      <c r="H682">
        <v>82.04</v>
      </c>
      <c r="I682">
        <v>475.36</v>
      </c>
      <c r="J682" t="s">
        <v>15</v>
      </c>
      <c r="K682" t="str">
        <f>IF(D682&lt;=12,"0-12 Months",IF(D682&lt;=24,"13-24 Months",IF(D682&lt;=48,"25-48 Months","49+ Months")))</f>
        <v>0-12 Months</v>
      </c>
      <c r="L682">
        <f>IF(Table134[[#This Row],[Churn]]="Yes",1,0)</f>
        <v>0</v>
      </c>
    </row>
    <row r="683" spans="1:12" x14ac:dyDescent="0.35">
      <c r="A683" t="s">
        <v>705</v>
      </c>
      <c r="B683" t="s">
        <v>11</v>
      </c>
      <c r="C683">
        <v>20</v>
      </c>
      <c r="D683">
        <v>25</v>
      </c>
      <c r="E683" t="s">
        <v>21</v>
      </c>
      <c r="F683" t="s">
        <v>22</v>
      </c>
      <c r="G683" t="s">
        <v>19</v>
      </c>
      <c r="H683">
        <v>123.1</v>
      </c>
      <c r="I683">
        <v>3140.44</v>
      </c>
      <c r="J683" t="s">
        <v>15</v>
      </c>
      <c r="K683" t="str">
        <f>IF(D683&lt;=12,"0-12 Months",IF(D683&lt;=24,"13-24 Months",IF(D683&lt;=48,"25-48 Months","49+ Months")))</f>
        <v>25-48 Months</v>
      </c>
      <c r="L683">
        <f>IF(Table134[[#This Row],[Churn]]="Yes",1,0)</f>
        <v>0</v>
      </c>
    </row>
    <row r="684" spans="1:12" x14ac:dyDescent="0.35">
      <c r="A684" t="s">
        <v>706</v>
      </c>
      <c r="B684" t="s">
        <v>11</v>
      </c>
      <c r="C684">
        <v>40</v>
      </c>
      <c r="D684">
        <v>13</v>
      </c>
      <c r="E684" t="s">
        <v>21</v>
      </c>
      <c r="F684" t="s">
        <v>29</v>
      </c>
      <c r="G684" t="s">
        <v>14</v>
      </c>
      <c r="H684">
        <v>147.56</v>
      </c>
      <c r="I684">
        <v>1850.11</v>
      </c>
      <c r="J684" t="s">
        <v>15</v>
      </c>
      <c r="K684" t="str">
        <f>IF(D684&lt;=12,"0-12 Months",IF(D684&lt;=24,"13-24 Months",IF(D684&lt;=48,"25-48 Months","49+ Months")))</f>
        <v>13-24 Months</v>
      </c>
      <c r="L684">
        <f>IF(Table134[[#This Row],[Churn]]="Yes",1,0)</f>
        <v>0</v>
      </c>
    </row>
    <row r="685" spans="1:12" x14ac:dyDescent="0.35">
      <c r="A685" t="s">
        <v>707</v>
      </c>
      <c r="B685" t="s">
        <v>17</v>
      </c>
      <c r="C685">
        <v>29</v>
      </c>
      <c r="D685">
        <v>8</v>
      </c>
      <c r="E685" t="s">
        <v>12</v>
      </c>
      <c r="F685" t="s">
        <v>33</v>
      </c>
      <c r="G685" t="s">
        <v>19</v>
      </c>
      <c r="H685">
        <v>141.22</v>
      </c>
      <c r="I685">
        <v>1192.32</v>
      </c>
      <c r="J685" t="s">
        <v>27</v>
      </c>
      <c r="K685" t="str">
        <f>IF(D685&lt;=12,"0-12 Months",IF(D685&lt;=24,"13-24 Months",IF(D685&lt;=48,"25-48 Months","49+ Months")))</f>
        <v>0-12 Months</v>
      </c>
      <c r="L685">
        <f>IF(Table134[[#This Row],[Churn]]="Yes",1,0)</f>
        <v>1</v>
      </c>
    </row>
    <row r="686" spans="1:12" x14ac:dyDescent="0.35">
      <c r="A686" t="s">
        <v>708</v>
      </c>
      <c r="B686" t="s">
        <v>11</v>
      </c>
      <c r="C686">
        <v>37</v>
      </c>
      <c r="D686">
        <v>21</v>
      </c>
      <c r="E686" t="s">
        <v>12</v>
      </c>
      <c r="F686" t="s">
        <v>33</v>
      </c>
      <c r="G686" t="s">
        <v>14</v>
      </c>
      <c r="H686">
        <v>141.4</v>
      </c>
      <c r="I686">
        <v>2714.5</v>
      </c>
      <c r="J686" t="s">
        <v>27</v>
      </c>
      <c r="K686" t="str">
        <f>IF(D686&lt;=12,"0-12 Months",IF(D686&lt;=24,"13-24 Months",IF(D686&lt;=48,"25-48 Months","49+ Months")))</f>
        <v>13-24 Months</v>
      </c>
      <c r="L686">
        <f>IF(Table134[[#This Row],[Churn]]="Yes",1,0)</f>
        <v>1</v>
      </c>
    </row>
    <row r="687" spans="1:12" x14ac:dyDescent="0.35">
      <c r="A687" t="s">
        <v>709</v>
      </c>
      <c r="B687" t="s">
        <v>17</v>
      </c>
      <c r="C687">
        <v>22</v>
      </c>
      <c r="D687">
        <v>68</v>
      </c>
      <c r="E687" t="s">
        <v>18</v>
      </c>
      <c r="F687" t="s">
        <v>33</v>
      </c>
      <c r="G687" t="s">
        <v>19</v>
      </c>
      <c r="H687">
        <v>72.290000000000006</v>
      </c>
      <c r="I687">
        <v>5073.3999999999996</v>
      </c>
      <c r="J687" t="s">
        <v>15</v>
      </c>
      <c r="K687" t="str">
        <f>IF(D687&lt;=12,"0-12 Months",IF(D687&lt;=24,"13-24 Months",IF(D687&lt;=48,"25-48 Months","49+ Months")))</f>
        <v>49+ Months</v>
      </c>
      <c r="L687">
        <f>IF(Table134[[#This Row],[Churn]]="Yes",1,0)</f>
        <v>0</v>
      </c>
    </row>
    <row r="688" spans="1:12" x14ac:dyDescent="0.35">
      <c r="A688" t="s">
        <v>710</v>
      </c>
      <c r="B688" t="s">
        <v>17</v>
      </c>
      <c r="C688">
        <v>54</v>
      </c>
      <c r="D688">
        <v>25</v>
      </c>
      <c r="E688" t="s">
        <v>12</v>
      </c>
      <c r="F688" t="s">
        <v>22</v>
      </c>
      <c r="G688" t="s">
        <v>23</v>
      </c>
      <c r="H688">
        <v>80.94</v>
      </c>
      <c r="I688">
        <v>2148.63</v>
      </c>
      <c r="J688" t="s">
        <v>15</v>
      </c>
      <c r="K688" t="str">
        <f>IF(D688&lt;=12,"0-12 Months",IF(D688&lt;=24,"13-24 Months",IF(D688&lt;=48,"25-48 Months","49+ Months")))</f>
        <v>25-48 Months</v>
      </c>
      <c r="L688">
        <f>IF(Table134[[#This Row],[Churn]]="Yes",1,0)</f>
        <v>0</v>
      </c>
    </row>
    <row r="689" spans="1:12" x14ac:dyDescent="0.35">
      <c r="A689" t="s">
        <v>711</v>
      </c>
      <c r="B689" t="s">
        <v>11</v>
      </c>
      <c r="C689">
        <v>55</v>
      </c>
      <c r="D689">
        <v>68</v>
      </c>
      <c r="E689" t="s">
        <v>21</v>
      </c>
      <c r="F689" t="s">
        <v>22</v>
      </c>
      <c r="G689" t="s">
        <v>23</v>
      </c>
      <c r="H689">
        <v>111.73</v>
      </c>
      <c r="I689">
        <v>7860.26</v>
      </c>
      <c r="J689" t="s">
        <v>15</v>
      </c>
      <c r="K689" t="str">
        <f>IF(D689&lt;=12,"0-12 Months",IF(D689&lt;=24,"13-24 Months",IF(D689&lt;=48,"25-48 Months","49+ Months")))</f>
        <v>49+ Months</v>
      </c>
      <c r="L689">
        <f>IF(Table134[[#This Row],[Churn]]="Yes",1,0)</f>
        <v>0</v>
      </c>
    </row>
    <row r="690" spans="1:12" x14ac:dyDescent="0.35">
      <c r="A690" t="s">
        <v>712</v>
      </c>
      <c r="B690" t="s">
        <v>11</v>
      </c>
      <c r="C690">
        <v>47</v>
      </c>
      <c r="D690">
        <v>45</v>
      </c>
      <c r="E690" t="s">
        <v>18</v>
      </c>
      <c r="F690" t="s">
        <v>29</v>
      </c>
      <c r="G690" t="s">
        <v>14</v>
      </c>
      <c r="H690">
        <v>139.88</v>
      </c>
      <c r="I690">
        <v>6291.11</v>
      </c>
      <c r="J690" t="s">
        <v>15</v>
      </c>
      <c r="K690" t="str">
        <f>IF(D690&lt;=12,"0-12 Months",IF(D690&lt;=24,"13-24 Months",IF(D690&lt;=48,"25-48 Months","49+ Months")))</f>
        <v>25-48 Months</v>
      </c>
      <c r="L690">
        <f>IF(Table134[[#This Row],[Churn]]="Yes",1,0)</f>
        <v>0</v>
      </c>
    </row>
    <row r="691" spans="1:12" x14ac:dyDescent="0.35">
      <c r="A691" t="s">
        <v>713</v>
      </c>
      <c r="B691" t="s">
        <v>17</v>
      </c>
      <c r="C691">
        <v>26</v>
      </c>
      <c r="D691">
        <v>60</v>
      </c>
      <c r="E691" t="s">
        <v>12</v>
      </c>
      <c r="F691" t="s">
        <v>29</v>
      </c>
      <c r="G691" t="s">
        <v>19</v>
      </c>
      <c r="H691">
        <v>38.46</v>
      </c>
      <c r="I691">
        <v>2515.4299999999998</v>
      </c>
      <c r="J691" t="s">
        <v>15</v>
      </c>
      <c r="K691" t="str">
        <f>IF(D691&lt;=12,"0-12 Months",IF(D691&lt;=24,"13-24 Months",IF(D691&lt;=48,"25-48 Months","49+ Months")))</f>
        <v>49+ Months</v>
      </c>
      <c r="L691">
        <f>IF(Table134[[#This Row],[Churn]]="Yes",1,0)</f>
        <v>0</v>
      </c>
    </row>
    <row r="692" spans="1:12" x14ac:dyDescent="0.35">
      <c r="A692" t="s">
        <v>714</v>
      </c>
      <c r="B692" t="s">
        <v>17</v>
      </c>
      <c r="C692">
        <v>51</v>
      </c>
      <c r="D692">
        <v>12</v>
      </c>
      <c r="E692" t="s">
        <v>21</v>
      </c>
      <c r="F692" t="s">
        <v>13</v>
      </c>
      <c r="G692" t="s">
        <v>23</v>
      </c>
      <c r="H692">
        <v>59.55</v>
      </c>
      <c r="I692">
        <v>686.01</v>
      </c>
      <c r="J692" t="s">
        <v>15</v>
      </c>
      <c r="K692" t="str">
        <f>IF(D692&lt;=12,"0-12 Months",IF(D692&lt;=24,"13-24 Months",IF(D692&lt;=48,"25-48 Months","49+ Months")))</f>
        <v>0-12 Months</v>
      </c>
      <c r="L692">
        <f>IF(Table134[[#This Row],[Churn]]="Yes",1,0)</f>
        <v>0</v>
      </c>
    </row>
    <row r="693" spans="1:12" x14ac:dyDescent="0.35">
      <c r="A693" t="s">
        <v>715</v>
      </c>
      <c r="B693" t="s">
        <v>17</v>
      </c>
      <c r="C693">
        <v>70</v>
      </c>
      <c r="D693">
        <v>32</v>
      </c>
      <c r="E693" t="s">
        <v>12</v>
      </c>
      <c r="F693" t="s">
        <v>22</v>
      </c>
      <c r="G693" t="s">
        <v>23</v>
      </c>
      <c r="H693">
        <v>38.1</v>
      </c>
      <c r="I693">
        <v>1101.95</v>
      </c>
      <c r="J693" t="s">
        <v>27</v>
      </c>
      <c r="K693" t="str">
        <f>IF(D693&lt;=12,"0-12 Months",IF(D693&lt;=24,"13-24 Months",IF(D693&lt;=48,"25-48 Months","49+ Months")))</f>
        <v>25-48 Months</v>
      </c>
      <c r="L693">
        <f>IF(Table134[[#This Row],[Churn]]="Yes",1,0)</f>
        <v>1</v>
      </c>
    </row>
    <row r="694" spans="1:12" x14ac:dyDescent="0.35">
      <c r="A694" t="s">
        <v>716</v>
      </c>
      <c r="B694" t="s">
        <v>11</v>
      </c>
      <c r="C694">
        <v>61</v>
      </c>
      <c r="D694">
        <v>13</v>
      </c>
      <c r="E694" t="s">
        <v>21</v>
      </c>
      <c r="F694" t="s">
        <v>33</v>
      </c>
      <c r="G694" t="s">
        <v>23</v>
      </c>
      <c r="H694">
        <v>99.56</v>
      </c>
      <c r="I694">
        <v>1276.68</v>
      </c>
      <c r="J694" t="s">
        <v>15</v>
      </c>
      <c r="K694" t="str">
        <f>IF(D694&lt;=12,"0-12 Months",IF(D694&lt;=24,"13-24 Months",IF(D694&lt;=48,"25-48 Months","49+ Months")))</f>
        <v>13-24 Months</v>
      </c>
      <c r="L694">
        <f>IF(Table134[[#This Row],[Churn]]="Yes",1,0)</f>
        <v>0</v>
      </c>
    </row>
    <row r="695" spans="1:12" x14ac:dyDescent="0.35">
      <c r="A695" t="s">
        <v>717</v>
      </c>
      <c r="B695" t="s">
        <v>17</v>
      </c>
      <c r="C695">
        <v>52</v>
      </c>
      <c r="D695">
        <v>31</v>
      </c>
      <c r="E695" t="s">
        <v>12</v>
      </c>
      <c r="F695" t="s">
        <v>29</v>
      </c>
      <c r="G695" t="s">
        <v>23</v>
      </c>
      <c r="H695">
        <v>59.82</v>
      </c>
      <c r="I695">
        <v>1681.22</v>
      </c>
      <c r="J695" t="s">
        <v>15</v>
      </c>
      <c r="K695" t="str">
        <f>IF(D695&lt;=12,"0-12 Months",IF(D695&lt;=24,"13-24 Months",IF(D695&lt;=48,"25-48 Months","49+ Months")))</f>
        <v>25-48 Months</v>
      </c>
      <c r="L695">
        <f>IF(Table134[[#This Row],[Churn]]="Yes",1,0)</f>
        <v>0</v>
      </c>
    </row>
    <row r="696" spans="1:12" x14ac:dyDescent="0.35">
      <c r="A696" t="s">
        <v>718</v>
      </c>
      <c r="B696" t="s">
        <v>17</v>
      </c>
      <c r="C696">
        <v>69</v>
      </c>
      <c r="D696">
        <v>20</v>
      </c>
      <c r="E696" t="s">
        <v>12</v>
      </c>
      <c r="F696" t="s">
        <v>33</v>
      </c>
      <c r="G696" t="s">
        <v>23</v>
      </c>
      <c r="H696">
        <v>62.39</v>
      </c>
      <c r="I696">
        <v>1361.08</v>
      </c>
      <c r="J696" t="s">
        <v>15</v>
      </c>
      <c r="K696" t="str">
        <f>IF(D696&lt;=12,"0-12 Months",IF(D696&lt;=24,"13-24 Months",IF(D696&lt;=48,"25-48 Months","49+ Months")))</f>
        <v>13-24 Months</v>
      </c>
      <c r="L696">
        <f>IF(Table134[[#This Row],[Churn]]="Yes",1,0)</f>
        <v>0</v>
      </c>
    </row>
    <row r="697" spans="1:12" x14ac:dyDescent="0.35">
      <c r="A697" t="s">
        <v>719</v>
      </c>
      <c r="B697" t="s">
        <v>17</v>
      </c>
      <c r="C697">
        <v>39</v>
      </c>
      <c r="D697">
        <v>18</v>
      </c>
      <c r="E697" t="s">
        <v>21</v>
      </c>
      <c r="F697" t="s">
        <v>22</v>
      </c>
      <c r="G697" t="s">
        <v>14</v>
      </c>
      <c r="H697">
        <v>29.22</v>
      </c>
      <c r="I697">
        <v>495.45</v>
      </c>
      <c r="J697" t="s">
        <v>15</v>
      </c>
      <c r="K697" t="str">
        <f>IF(D697&lt;=12,"0-12 Months",IF(D697&lt;=24,"13-24 Months",IF(D697&lt;=48,"25-48 Months","49+ Months")))</f>
        <v>13-24 Months</v>
      </c>
      <c r="L697">
        <f>IF(Table134[[#This Row],[Churn]]="Yes",1,0)</f>
        <v>0</v>
      </c>
    </row>
    <row r="698" spans="1:12" x14ac:dyDescent="0.35">
      <c r="A698" t="s">
        <v>720</v>
      </c>
      <c r="B698" t="s">
        <v>11</v>
      </c>
      <c r="C698">
        <v>61</v>
      </c>
      <c r="D698">
        <v>60</v>
      </c>
      <c r="E698" t="s">
        <v>18</v>
      </c>
      <c r="F698" t="s">
        <v>22</v>
      </c>
      <c r="G698" t="s">
        <v>23</v>
      </c>
      <c r="H698">
        <v>65.47</v>
      </c>
      <c r="I698">
        <v>4155.1899999999996</v>
      </c>
      <c r="J698" t="s">
        <v>15</v>
      </c>
      <c r="K698" t="str">
        <f>IF(D698&lt;=12,"0-12 Months",IF(D698&lt;=24,"13-24 Months",IF(D698&lt;=48,"25-48 Months","49+ Months")))</f>
        <v>49+ Months</v>
      </c>
      <c r="L698">
        <f>IF(Table134[[#This Row],[Churn]]="Yes",1,0)</f>
        <v>0</v>
      </c>
    </row>
    <row r="699" spans="1:12" x14ac:dyDescent="0.35">
      <c r="A699" t="s">
        <v>721</v>
      </c>
      <c r="B699" t="s">
        <v>17</v>
      </c>
      <c r="C699">
        <v>41</v>
      </c>
      <c r="D699">
        <v>63</v>
      </c>
      <c r="E699" t="s">
        <v>21</v>
      </c>
      <c r="F699" t="s">
        <v>29</v>
      </c>
      <c r="G699" t="s">
        <v>14</v>
      </c>
      <c r="H699">
        <v>132.12</v>
      </c>
      <c r="I699">
        <v>8780.64</v>
      </c>
      <c r="J699" t="s">
        <v>27</v>
      </c>
      <c r="K699" t="str">
        <f>IF(D699&lt;=12,"0-12 Months",IF(D699&lt;=24,"13-24 Months",IF(D699&lt;=48,"25-48 Months","49+ Months")))</f>
        <v>49+ Months</v>
      </c>
      <c r="L699">
        <f>IF(Table134[[#This Row],[Churn]]="Yes",1,0)</f>
        <v>1</v>
      </c>
    </row>
    <row r="700" spans="1:12" x14ac:dyDescent="0.35">
      <c r="A700" t="s">
        <v>722</v>
      </c>
      <c r="B700" t="s">
        <v>17</v>
      </c>
      <c r="C700">
        <v>34</v>
      </c>
      <c r="D700">
        <v>6</v>
      </c>
      <c r="E700" t="s">
        <v>12</v>
      </c>
      <c r="F700" t="s">
        <v>29</v>
      </c>
      <c r="G700" t="s">
        <v>14</v>
      </c>
      <c r="H700">
        <v>50.3</v>
      </c>
      <c r="I700">
        <v>284.76</v>
      </c>
      <c r="J700" t="s">
        <v>27</v>
      </c>
      <c r="K700" t="str">
        <f>IF(D700&lt;=12,"0-12 Months",IF(D700&lt;=24,"13-24 Months",IF(D700&lt;=48,"25-48 Months","49+ Months")))</f>
        <v>0-12 Months</v>
      </c>
      <c r="L700">
        <f>IF(Table134[[#This Row],[Churn]]="Yes",1,0)</f>
        <v>1</v>
      </c>
    </row>
    <row r="701" spans="1:12" x14ac:dyDescent="0.35">
      <c r="A701" t="s">
        <v>723</v>
      </c>
      <c r="B701" t="s">
        <v>11</v>
      </c>
      <c r="C701">
        <v>27</v>
      </c>
      <c r="D701">
        <v>32</v>
      </c>
      <c r="E701" t="s">
        <v>12</v>
      </c>
      <c r="F701" t="s">
        <v>13</v>
      </c>
      <c r="G701" t="s">
        <v>19</v>
      </c>
      <c r="H701">
        <v>110.37</v>
      </c>
      <c r="I701">
        <v>3617.47</v>
      </c>
      <c r="J701" t="s">
        <v>15</v>
      </c>
      <c r="K701" t="str">
        <f>IF(D701&lt;=12,"0-12 Months",IF(D701&lt;=24,"13-24 Months",IF(D701&lt;=48,"25-48 Months","49+ Months")))</f>
        <v>25-48 Months</v>
      </c>
      <c r="L701">
        <f>IF(Table134[[#This Row],[Churn]]="Yes",1,0)</f>
        <v>0</v>
      </c>
    </row>
    <row r="702" spans="1:12" x14ac:dyDescent="0.35">
      <c r="A702" t="s">
        <v>724</v>
      </c>
      <c r="B702" t="s">
        <v>17</v>
      </c>
      <c r="C702">
        <v>47</v>
      </c>
      <c r="D702">
        <v>43</v>
      </c>
      <c r="E702" t="s">
        <v>21</v>
      </c>
      <c r="F702" t="s">
        <v>22</v>
      </c>
      <c r="G702" t="s">
        <v>14</v>
      </c>
      <c r="H702">
        <v>101.85</v>
      </c>
      <c r="I702">
        <v>3983.71</v>
      </c>
      <c r="J702" t="s">
        <v>15</v>
      </c>
      <c r="K702" t="str">
        <f>IF(D702&lt;=12,"0-12 Months",IF(D702&lt;=24,"13-24 Months",IF(D702&lt;=48,"25-48 Months","49+ Months")))</f>
        <v>25-48 Months</v>
      </c>
      <c r="L702">
        <f>IF(Table134[[#This Row],[Churn]]="Yes",1,0)</f>
        <v>0</v>
      </c>
    </row>
    <row r="703" spans="1:12" x14ac:dyDescent="0.35">
      <c r="A703" t="s">
        <v>725</v>
      </c>
      <c r="B703" t="s">
        <v>17</v>
      </c>
      <c r="C703">
        <v>63</v>
      </c>
      <c r="D703">
        <v>2</v>
      </c>
      <c r="E703" t="s">
        <v>12</v>
      </c>
      <c r="F703" t="s">
        <v>29</v>
      </c>
      <c r="G703" t="s">
        <v>23</v>
      </c>
      <c r="H703">
        <v>132.25</v>
      </c>
      <c r="I703">
        <v>263.63</v>
      </c>
      <c r="J703" t="s">
        <v>27</v>
      </c>
      <c r="K703" t="str">
        <f>IF(D703&lt;=12,"0-12 Months",IF(D703&lt;=24,"13-24 Months",IF(D703&lt;=48,"25-48 Months","49+ Months")))</f>
        <v>0-12 Months</v>
      </c>
      <c r="L703">
        <f>IF(Table134[[#This Row],[Churn]]="Yes",1,0)</f>
        <v>1</v>
      </c>
    </row>
    <row r="704" spans="1:12" x14ac:dyDescent="0.35">
      <c r="A704" t="s">
        <v>726</v>
      </c>
      <c r="B704" t="s">
        <v>11</v>
      </c>
      <c r="C704">
        <v>40</v>
      </c>
      <c r="D704">
        <v>60</v>
      </c>
      <c r="E704" t="s">
        <v>18</v>
      </c>
      <c r="F704" t="s">
        <v>13</v>
      </c>
      <c r="G704" t="s">
        <v>14</v>
      </c>
      <c r="H704">
        <v>37.200000000000003</v>
      </c>
      <c r="I704">
        <v>2015.34</v>
      </c>
      <c r="J704" t="s">
        <v>15</v>
      </c>
      <c r="K704" t="str">
        <f>IF(D704&lt;=12,"0-12 Months",IF(D704&lt;=24,"13-24 Months",IF(D704&lt;=48,"25-48 Months","49+ Months")))</f>
        <v>49+ Months</v>
      </c>
      <c r="L704">
        <f>IF(Table134[[#This Row],[Churn]]="Yes",1,0)</f>
        <v>0</v>
      </c>
    </row>
    <row r="705" spans="1:12" x14ac:dyDescent="0.35">
      <c r="A705" t="s">
        <v>727</v>
      </c>
      <c r="B705" t="s">
        <v>17</v>
      </c>
      <c r="C705">
        <v>49</v>
      </c>
      <c r="D705">
        <v>23</v>
      </c>
      <c r="E705" t="s">
        <v>18</v>
      </c>
      <c r="F705" t="s">
        <v>33</v>
      </c>
      <c r="G705" t="s">
        <v>14</v>
      </c>
      <c r="H705">
        <v>147.09</v>
      </c>
      <c r="I705">
        <v>3668.02</v>
      </c>
      <c r="J705" t="s">
        <v>15</v>
      </c>
      <c r="K705" t="str">
        <f>IF(D705&lt;=12,"0-12 Months",IF(D705&lt;=24,"13-24 Months",IF(D705&lt;=48,"25-48 Months","49+ Months")))</f>
        <v>13-24 Months</v>
      </c>
      <c r="L705">
        <f>IF(Table134[[#This Row],[Churn]]="Yes",1,0)</f>
        <v>0</v>
      </c>
    </row>
    <row r="706" spans="1:12" x14ac:dyDescent="0.35">
      <c r="A706" t="s">
        <v>728</v>
      </c>
      <c r="B706" t="s">
        <v>11</v>
      </c>
      <c r="C706">
        <v>34</v>
      </c>
      <c r="D706">
        <v>31</v>
      </c>
      <c r="E706" t="s">
        <v>21</v>
      </c>
      <c r="F706" t="s">
        <v>33</v>
      </c>
      <c r="G706" t="s">
        <v>14</v>
      </c>
      <c r="H706">
        <v>95.74</v>
      </c>
      <c r="I706">
        <v>3250.54</v>
      </c>
      <c r="J706" t="s">
        <v>15</v>
      </c>
      <c r="K706" t="str">
        <f>IF(D706&lt;=12,"0-12 Months",IF(D706&lt;=24,"13-24 Months",IF(D706&lt;=48,"25-48 Months","49+ Months")))</f>
        <v>25-48 Months</v>
      </c>
      <c r="L706">
        <f>IF(Table134[[#This Row],[Churn]]="Yes",1,0)</f>
        <v>0</v>
      </c>
    </row>
    <row r="707" spans="1:12" x14ac:dyDescent="0.35">
      <c r="A707" t="s">
        <v>729</v>
      </c>
      <c r="B707" t="s">
        <v>11</v>
      </c>
      <c r="C707">
        <v>67</v>
      </c>
      <c r="D707">
        <v>5</v>
      </c>
      <c r="E707" t="s">
        <v>18</v>
      </c>
      <c r="F707" t="s">
        <v>33</v>
      </c>
      <c r="G707" t="s">
        <v>23</v>
      </c>
      <c r="H707">
        <v>149.41</v>
      </c>
      <c r="I707">
        <v>705.56</v>
      </c>
      <c r="J707" t="s">
        <v>27</v>
      </c>
      <c r="K707" t="str">
        <f>IF(D707&lt;=12,"0-12 Months",IF(D707&lt;=24,"13-24 Months",IF(D707&lt;=48,"25-48 Months","49+ Months")))</f>
        <v>0-12 Months</v>
      </c>
      <c r="L707">
        <f>IF(Table134[[#This Row],[Churn]]="Yes",1,0)</f>
        <v>1</v>
      </c>
    </row>
    <row r="708" spans="1:12" x14ac:dyDescent="0.35">
      <c r="A708" t="s">
        <v>730</v>
      </c>
      <c r="B708" t="s">
        <v>17</v>
      </c>
      <c r="C708">
        <v>68</v>
      </c>
      <c r="D708">
        <v>34</v>
      </c>
      <c r="E708" t="s">
        <v>12</v>
      </c>
      <c r="F708" t="s">
        <v>13</v>
      </c>
      <c r="G708" t="s">
        <v>23</v>
      </c>
      <c r="H708">
        <v>138.5</v>
      </c>
      <c r="I708">
        <v>4434.09</v>
      </c>
      <c r="J708" t="s">
        <v>15</v>
      </c>
      <c r="K708" t="str">
        <f>IF(D708&lt;=12,"0-12 Months",IF(D708&lt;=24,"13-24 Months",IF(D708&lt;=48,"25-48 Months","49+ Months")))</f>
        <v>25-48 Months</v>
      </c>
      <c r="L708">
        <f>IF(Table134[[#This Row],[Churn]]="Yes",1,0)</f>
        <v>0</v>
      </c>
    </row>
    <row r="709" spans="1:12" x14ac:dyDescent="0.35">
      <c r="A709" t="s">
        <v>731</v>
      </c>
      <c r="B709" t="s">
        <v>17</v>
      </c>
      <c r="C709">
        <v>34</v>
      </c>
      <c r="D709">
        <v>10</v>
      </c>
      <c r="E709" t="s">
        <v>21</v>
      </c>
      <c r="F709" t="s">
        <v>29</v>
      </c>
      <c r="G709" t="s">
        <v>14</v>
      </c>
      <c r="H709">
        <v>48.8</v>
      </c>
      <c r="I709">
        <v>512.76</v>
      </c>
      <c r="J709" t="s">
        <v>27</v>
      </c>
      <c r="K709" t="str">
        <f>IF(D709&lt;=12,"0-12 Months",IF(D709&lt;=24,"13-24 Months",IF(D709&lt;=48,"25-48 Months","49+ Months")))</f>
        <v>0-12 Months</v>
      </c>
      <c r="L709">
        <f>IF(Table134[[#This Row],[Churn]]="Yes",1,0)</f>
        <v>1</v>
      </c>
    </row>
    <row r="710" spans="1:12" x14ac:dyDescent="0.35">
      <c r="A710" t="s">
        <v>732</v>
      </c>
      <c r="B710" t="s">
        <v>17</v>
      </c>
      <c r="C710">
        <v>31</v>
      </c>
      <c r="D710">
        <v>2</v>
      </c>
      <c r="E710" t="s">
        <v>12</v>
      </c>
      <c r="F710" t="s">
        <v>22</v>
      </c>
      <c r="G710" t="s">
        <v>14</v>
      </c>
      <c r="H710">
        <v>27.3</v>
      </c>
      <c r="I710">
        <v>51.91</v>
      </c>
      <c r="J710" t="s">
        <v>15</v>
      </c>
      <c r="K710" t="str">
        <f>IF(D710&lt;=12,"0-12 Months",IF(D710&lt;=24,"13-24 Months",IF(D710&lt;=48,"25-48 Months","49+ Months")))</f>
        <v>0-12 Months</v>
      </c>
      <c r="L710">
        <f>IF(Table134[[#This Row],[Churn]]="Yes",1,0)</f>
        <v>0</v>
      </c>
    </row>
    <row r="711" spans="1:12" x14ac:dyDescent="0.35">
      <c r="A711" t="s">
        <v>733</v>
      </c>
      <c r="B711" t="s">
        <v>17</v>
      </c>
      <c r="C711">
        <v>26</v>
      </c>
      <c r="D711">
        <v>11</v>
      </c>
      <c r="E711" t="s">
        <v>18</v>
      </c>
      <c r="F711" t="s">
        <v>13</v>
      </c>
      <c r="G711" t="s">
        <v>19</v>
      </c>
      <c r="H711">
        <v>53.23</v>
      </c>
      <c r="I711">
        <v>631.79999999999995</v>
      </c>
      <c r="J711" t="s">
        <v>15</v>
      </c>
      <c r="K711" t="str">
        <f>IF(D711&lt;=12,"0-12 Months",IF(D711&lt;=24,"13-24 Months",IF(D711&lt;=48,"25-48 Months","49+ Months")))</f>
        <v>0-12 Months</v>
      </c>
      <c r="L711">
        <f>IF(Table134[[#This Row],[Churn]]="Yes",1,0)</f>
        <v>0</v>
      </c>
    </row>
    <row r="712" spans="1:12" x14ac:dyDescent="0.35">
      <c r="A712" t="s">
        <v>734</v>
      </c>
      <c r="B712" t="s">
        <v>11</v>
      </c>
      <c r="C712">
        <v>57</v>
      </c>
      <c r="D712">
        <v>50</v>
      </c>
      <c r="E712" t="s">
        <v>12</v>
      </c>
      <c r="F712" t="s">
        <v>29</v>
      </c>
      <c r="G712" t="s">
        <v>23</v>
      </c>
      <c r="H712">
        <v>88.58</v>
      </c>
      <c r="I712">
        <v>4494.49</v>
      </c>
      <c r="J712" t="s">
        <v>15</v>
      </c>
      <c r="K712" t="str">
        <f>IF(D712&lt;=12,"0-12 Months",IF(D712&lt;=24,"13-24 Months",IF(D712&lt;=48,"25-48 Months","49+ Months")))</f>
        <v>49+ Months</v>
      </c>
      <c r="L712">
        <f>IF(Table134[[#This Row],[Churn]]="Yes",1,0)</f>
        <v>0</v>
      </c>
    </row>
    <row r="713" spans="1:12" x14ac:dyDescent="0.35">
      <c r="A713" t="s">
        <v>735</v>
      </c>
      <c r="B713" t="s">
        <v>17</v>
      </c>
      <c r="C713">
        <v>19</v>
      </c>
      <c r="D713">
        <v>31</v>
      </c>
      <c r="E713" t="s">
        <v>21</v>
      </c>
      <c r="F713" t="s">
        <v>29</v>
      </c>
      <c r="G713" t="s">
        <v>19</v>
      </c>
      <c r="H713">
        <v>42.31</v>
      </c>
      <c r="I713">
        <v>1272.47</v>
      </c>
      <c r="J713" t="s">
        <v>15</v>
      </c>
      <c r="K713" t="str">
        <f>IF(D713&lt;=12,"0-12 Months",IF(D713&lt;=24,"13-24 Months",IF(D713&lt;=48,"25-48 Months","49+ Months")))</f>
        <v>25-48 Months</v>
      </c>
      <c r="L713">
        <f>IF(Table134[[#This Row],[Churn]]="Yes",1,0)</f>
        <v>0</v>
      </c>
    </row>
    <row r="714" spans="1:12" x14ac:dyDescent="0.35">
      <c r="A714" t="s">
        <v>736</v>
      </c>
      <c r="B714" t="s">
        <v>11</v>
      </c>
      <c r="C714">
        <v>62</v>
      </c>
      <c r="D714">
        <v>56</v>
      </c>
      <c r="E714" t="s">
        <v>18</v>
      </c>
      <c r="F714" t="s">
        <v>13</v>
      </c>
      <c r="G714" t="s">
        <v>23</v>
      </c>
      <c r="H714">
        <v>41.77</v>
      </c>
      <c r="I714">
        <v>2494.7600000000002</v>
      </c>
      <c r="J714" t="s">
        <v>15</v>
      </c>
      <c r="K714" t="str">
        <f>IF(D714&lt;=12,"0-12 Months",IF(D714&lt;=24,"13-24 Months",IF(D714&lt;=48,"25-48 Months","49+ Months")))</f>
        <v>49+ Months</v>
      </c>
      <c r="L714">
        <f>IF(Table134[[#This Row],[Churn]]="Yes",1,0)</f>
        <v>0</v>
      </c>
    </row>
    <row r="715" spans="1:12" x14ac:dyDescent="0.35">
      <c r="A715" t="s">
        <v>737</v>
      </c>
      <c r="B715" t="s">
        <v>17</v>
      </c>
      <c r="C715">
        <v>42</v>
      </c>
      <c r="D715">
        <v>9</v>
      </c>
      <c r="E715" t="s">
        <v>12</v>
      </c>
      <c r="F715" t="s">
        <v>29</v>
      </c>
      <c r="G715" t="s">
        <v>14</v>
      </c>
      <c r="H715">
        <v>80.14</v>
      </c>
      <c r="I715">
        <v>720.31</v>
      </c>
      <c r="J715" t="s">
        <v>27</v>
      </c>
      <c r="K715" t="str">
        <f>IF(D715&lt;=12,"0-12 Months",IF(D715&lt;=24,"13-24 Months",IF(D715&lt;=48,"25-48 Months","49+ Months")))</f>
        <v>0-12 Months</v>
      </c>
      <c r="L715">
        <f>IF(Table134[[#This Row],[Churn]]="Yes",1,0)</f>
        <v>1</v>
      </c>
    </row>
    <row r="716" spans="1:12" x14ac:dyDescent="0.35">
      <c r="A716" t="s">
        <v>738</v>
      </c>
      <c r="B716" t="s">
        <v>17</v>
      </c>
      <c r="C716">
        <v>56</v>
      </c>
      <c r="D716">
        <v>21</v>
      </c>
      <c r="E716" t="s">
        <v>12</v>
      </c>
      <c r="F716" t="s">
        <v>29</v>
      </c>
      <c r="G716" t="s">
        <v>23</v>
      </c>
      <c r="H716">
        <v>24.32</v>
      </c>
      <c r="I716">
        <v>552.77</v>
      </c>
      <c r="J716" t="s">
        <v>15</v>
      </c>
      <c r="K716" t="str">
        <f>IF(D716&lt;=12,"0-12 Months",IF(D716&lt;=24,"13-24 Months",IF(D716&lt;=48,"25-48 Months","49+ Months")))</f>
        <v>13-24 Months</v>
      </c>
      <c r="L716">
        <f>IF(Table134[[#This Row],[Churn]]="Yes",1,0)</f>
        <v>0</v>
      </c>
    </row>
    <row r="717" spans="1:12" x14ac:dyDescent="0.35">
      <c r="A717" t="s">
        <v>739</v>
      </c>
      <c r="B717" t="s">
        <v>17</v>
      </c>
      <c r="C717">
        <v>26</v>
      </c>
      <c r="D717">
        <v>28</v>
      </c>
      <c r="E717" t="s">
        <v>21</v>
      </c>
      <c r="F717" t="s">
        <v>29</v>
      </c>
      <c r="G717" t="s">
        <v>19</v>
      </c>
      <c r="H717">
        <v>35.85</v>
      </c>
      <c r="I717">
        <v>1089.73</v>
      </c>
      <c r="J717" t="s">
        <v>15</v>
      </c>
      <c r="K717" t="str">
        <f>IF(D717&lt;=12,"0-12 Months",IF(D717&lt;=24,"13-24 Months",IF(D717&lt;=48,"25-48 Months","49+ Months")))</f>
        <v>25-48 Months</v>
      </c>
      <c r="L717">
        <f>IF(Table134[[#This Row],[Churn]]="Yes",1,0)</f>
        <v>0</v>
      </c>
    </row>
    <row r="718" spans="1:12" x14ac:dyDescent="0.35">
      <c r="A718" t="s">
        <v>740</v>
      </c>
      <c r="B718" t="s">
        <v>11</v>
      </c>
      <c r="C718">
        <v>39</v>
      </c>
      <c r="D718">
        <v>62</v>
      </c>
      <c r="E718" t="s">
        <v>12</v>
      </c>
      <c r="F718" t="s">
        <v>29</v>
      </c>
      <c r="G718" t="s">
        <v>14</v>
      </c>
      <c r="H718">
        <v>74.06</v>
      </c>
      <c r="I718">
        <v>4284.46</v>
      </c>
      <c r="J718" t="s">
        <v>15</v>
      </c>
      <c r="K718" t="str">
        <f>IF(D718&lt;=12,"0-12 Months",IF(D718&lt;=24,"13-24 Months",IF(D718&lt;=48,"25-48 Months","49+ Months")))</f>
        <v>49+ Months</v>
      </c>
      <c r="L718">
        <f>IF(Table134[[#This Row],[Churn]]="Yes",1,0)</f>
        <v>0</v>
      </c>
    </row>
    <row r="719" spans="1:12" x14ac:dyDescent="0.35">
      <c r="A719" t="s">
        <v>741</v>
      </c>
      <c r="B719" t="s">
        <v>17</v>
      </c>
      <c r="C719">
        <v>60</v>
      </c>
      <c r="D719">
        <v>7</v>
      </c>
      <c r="E719" t="s">
        <v>12</v>
      </c>
      <c r="F719" t="s">
        <v>22</v>
      </c>
      <c r="G719" t="s">
        <v>23</v>
      </c>
      <c r="H719">
        <v>28.21</v>
      </c>
      <c r="I719">
        <v>177.81</v>
      </c>
      <c r="J719" t="s">
        <v>27</v>
      </c>
      <c r="K719" t="str">
        <f>IF(D719&lt;=12,"0-12 Months",IF(D719&lt;=24,"13-24 Months",IF(D719&lt;=48,"25-48 Months","49+ Months")))</f>
        <v>0-12 Months</v>
      </c>
      <c r="L719">
        <f>IF(Table134[[#This Row],[Churn]]="Yes",1,0)</f>
        <v>1</v>
      </c>
    </row>
    <row r="720" spans="1:12" x14ac:dyDescent="0.35">
      <c r="A720" t="s">
        <v>742</v>
      </c>
      <c r="B720" t="s">
        <v>17</v>
      </c>
      <c r="C720">
        <v>63</v>
      </c>
      <c r="D720">
        <v>16</v>
      </c>
      <c r="E720" t="s">
        <v>12</v>
      </c>
      <c r="F720" t="s">
        <v>13</v>
      </c>
      <c r="G720" t="s">
        <v>23</v>
      </c>
      <c r="H720">
        <v>71.58</v>
      </c>
      <c r="I720">
        <v>1256.1300000000001</v>
      </c>
      <c r="J720" t="s">
        <v>15</v>
      </c>
      <c r="K720" t="str">
        <f>IF(D720&lt;=12,"0-12 Months",IF(D720&lt;=24,"13-24 Months",IF(D720&lt;=48,"25-48 Months","49+ Months")))</f>
        <v>13-24 Months</v>
      </c>
      <c r="L720">
        <f>IF(Table134[[#This Row],[Churn]]="Yes",1,0)</f>
        <v>0</v>
      </c>
    </row>
    <row r="721" spans="1:12" x14ac:dyDescent="0.35">
      <c r="A721" t="s">
        <v>743</v>
      </c>
      <c r="B721" t="s">
        <v>17</v>
      </c>
      <c r="C721">
        <v>21</v>
      </c>
      <c r="D721">
        <v>4</v>
      </c>
      <c r="E721" t="s">
        <v>12</v>
      </c>
      <c r="F721" t="s">
        <v>22</v>
      </c>
      <c r="G721" t="s">
        <v>19</v>
      </c>
      <c r="H721">
        <v>81.62</v>
      </c>
      <c r="I721">
        <v>353</v>
      </c>
      <c r="J721" t="s">
        <v>27</v>
      </c>
      <c r="K721" t="str">
        <f>IF(D721&lt;=12,"0-12 Months",IF(D721&lt;=24,"13-24 Months",IF(D721&lt;=48,"25-48 Months","49+ Months")))</f>
        <v>0-12 Months</v>
      </c>
      <c r="L721">
        <f>IF(Table134[[#This Row],[Churn]]="Yes",1,0)</f>
        <v>1</v>
      </c>
    </row>
    <row r="722" spans="1:12" x14ac:dyDescent="0.35">
      <c r="A722" t="s">
        <v>744</v>
      </c>
      <c r="B722" t="s">
        <v>17</v>
      </c>
      <c r="C722">
        <v>43</v>
      </c>
      <c r="D722">
        <v>4</v>
      </c>
      <c r="E722" t="s">
        <v>18</v>
      </c>
      <c r="F722" t="s">
        <v>29</v>
      </c>
      <c r="G722" t="s">
        <v>14</v>
      </c>
      <c r="H722">
        <v>78.66</v>
      </c>
      <c r="I722">
        <v>286.67</v>
      </c>
      <c r="J722" t="s">
        <v>27</v>
      </c>
      <c r="K722" t="str">
        <f>IF(D722&lt;=12,"0-12 Months",IF(D722&lt;=24,"13-24 Months",IF(D722&lt;=48,"25-48 Months","49+ Months")))</f>
        <v>0-12 Months</v>
      </c>
      <c r="L722">
        <f>IF(Table134[[#This Row],[Churn]]="Yes",1,0)</f>
        <v>1</v>
      </c>
    </row>
    <row r="723" spans="1:12" x14ac:dyDescent="0.35">
      <c r="A723" t="s">
        <v>745</v>
      </c>
      <c r="B723" t="s">
        <v>11</v>
      </c>
      <c r="C723">
        <v>46</v>
      </c>
      <c r="D723">
        <v>40</v>
      </c>
      <c r="E723" t="s">
        <v>21</v>
      </c>
      <c r="F723" t="s">
        <v>29</v>
      </c>
      <c r="G723" t="s">
        <v>14</v>
      </c>
      <c r="H723">
        <v>132.99</v>
      </c>
      <c r="I723">
        <v>5673.92</v>
      </c>
      <c r="J723" t="s">
        <v>27</v>
      </c>
      <c r="K723" t="str">
        <f>IF(D723&lt;=12,"0-12 Months",IF(D723&lt;=24,"13-24 Months",IF(D723&lt;=48,"25-48 Months","49+ Months")))</f>
        <v>25-48 Months</v>
      </c>
      <c r="L723">
        <f>IF(Table134[[#This Row],[Churn]]="Yes",1,0)</f>
        <v>1</v>
      </c>
    </row>
    <row r="724" spans="1:12" x14ac:dyDescent="0.35">
      <c r="A724" t="s">
        <v>746</v>
      </c>
      <c r="B724" t="s">
        <v>17</v>
      </c>
      <c r="C724">
        <v>62</v>
      </c>
      <c r="D724">
        <v>17</v>
      </c>
      <c r="E724" t="s">
        <v>12</v>
      </c>
      <c r="F724" t="s">
        <v>22</v>
      </c>
      <c r="G724" t="s">
        <v>23</v>
      </c>
      <c r="H724">
        <v>88.91</v>
      </c>
      <c r="I724">
        <v>1498.71</v>
      </c>
      <c r="J724" t="s">
        <v>15</v>
      </c>
      <c r="K724" t="str">
        <f>IF(D724&lt;=12,"0-12 Months",IF(D724&lt;=24,"13-24 Months",IF(D724&lt;=48,"25-48 Months","49+ Months")))</f>
        <v>13-24 Months</v>
      </c>
      <c r="L724">
        <f>IF(Table134[[#This Row],[Churn]]="Yes",1,0)</f>
        <v>0</v>
      </c>
    </row>
    <row r="725" spans="1:12" x14ac:dyDescent="0.35">
      <c r="A725" t="s">
        <v>747</v>
      </c>
      <c r="B725" t="s">
        <v>11</v>
      </c>
      <c r="C725">
        <v>51</v>
      </c>
      <c r="D725">
        <v>52</v>
      </c>
      <c r="E725" t="s">
        <v>12</v>
      </c>
      <c r="F725" t="s">
        <v>13</v>
      </c>
      <c r="G725" t="s">
        <v>23</v>
      </c>
      <c r="H725">
        <v>80.84</v>
      </c>
      <c r="I725">
        <v>4001.03</v>
      </c>
      <c r="J725" t="s">
        <v>15</v>
      </c>
      <c r="K725" t="str">
        <f>IF(D725&lt;=12,"0-12 Months",IF(D725&lt;=24,"13-24 Months",IF(D725&lt;=48,"25-48 Months","49+ Months")))</f>
        <v>49+ Months</v>
      </c>
      <c r="L725">
        <f>IF(Table134[[#This Row],[Churn]]="Yes",1,0)</f>
        <v>0</v>
      </c>
    </row>
    <row r="726" spans="1:12" x14ac:dyDescent="0.35">
      <c r="A726" t="s">
        <v>748</v>
      </c>
      <c r="B726" t="s">
        <v>11</v>
      </c>
      <c r="C726">
        <v>40</v>
      </c>
      <c r="D726">
        <v>52</v>
      </c>
      <c r="E726" t="s">
        <v>12</v>
      </c>
      <c r="F726" t="s">
        <v>13</v>
      </c>
      <c r="G726" t="s">
        <v>14</v>
      </c>
      <c r="H726">
        <v>73.39</v>
      </c>
      <c r="I726">
        <v>4105.3599999999997</v>
      </c>
      <c r="J726" t="s">
        <v>15</v>
      </c>
      <c r="K726" t="str">
        <f>IF(D726&lt;=12,"0-12 Months",IF(D726&lt;=24,"13-24 Months",IF(D726&lt;=48,"25-48 Months","49+ Months")))</f>
        <v>49+ Months</v>
      </c>
      <c r="L726">
        <f>IF(Table134[[#This Row],[Churn]]="Yes",1,0)</f>
        <v>0</v>
      </c>
    </row>
    <row r="727" spans="1:12" x14ac:dyDescent="0.35">
      <c r="A727" t="s">
        <v>749</v>
      </c>
      <c r="B727" t="s">
        <v>11</v>
      </c>
      <c r="C727">
        <v>54</v>
      </c>
      <c r="D727">
        <v>36</v>
      </c>
      <c r="E727" t="s">
        <v>12</v>
      </c>
      <c r="F727" t="s">
        <v>13</v>
      </c>
      <c r="G727" t="s">
        <v>23</v>
      </c>
      <c r="H727">
        <v>126.29</v>
      </c>
      <c r="I727">
        <v>4270.62</v>
      </c>
      <c r="J727" t="s">
        <v>27</v>
      </c>
      <c r="K727" t="str">
        <f>IF(D727&lt;=12,"0-12 Months",IF(D727&lt;=24,"13-24 Months",IF(D727&lt;=48,"25-48 Months","49+ Months")))</f>
        <v>25-48 Months</v>
      </c>
      <c r="L727">
        <f>IF(Table134[[#This Row],[Churn]]="Yes",1,0)</f>
        <v>1</v>
      </c>
    </row>
    <row r="728" spans="1:12" x14ac:dyDescent="0.35">
      <c r="A728" t="s">
        <v>750</v>
      </c>
      <c r="B728" t="s">
        <v>11</v>
      </c>
      <c r="C728">
        <v>28</v>
      </c>
      <c r="D728">
        <v>38</v>
      </c>
      <c r="E728" t="s">
        <v>12</v>
      </c>
      <c r="F728" t="s">
        <v>33</v>
      </c>
      <c r="G728" t="s">
        <v>19</v>
      </c>
      <c r="H728">
        <v>136.36000000000001</v>
      </c>
      <c r="I728">
        <v>5645.23</v>
      </c>
      <c r="J728" t="s">
        <v>27</v>
      </c>
      <c r="K728" t="str">
        <f>IF(D728&lt;=12,"0-12 Months",IF(D728&lt;=24,"13-24 Months",IF(D728&lt;=48,"25-48 Months","49+ Months")))</f>
        <v>25-48 Months</v>
      </c>
      <c r="L728">
        <f>IF(Table134[[#This Row],[Churn]]="Yes",1,0)</f>
        <v>1</v>
      </c>
    </row>
    <row r="729" spans="1:12" x14ac:dyDescent="0.35">
      <c r="A729" t="s">
        <v>751</v>
      </c>
      <c r="B729" t="s">
        <v>11</v>
      </c>
      <c r="C729">
        <v>23</v>
      </c>
      <c r="D729">
        <v>50</v>
      </c>
      <c r="E729" t="s">
        <v>12</v>
      </c>
      <c r="F729" t="s">
        <v>29</v>
      </c>
      <c r="G729" t="s">
        <v>19</v>
      </c>
      <c r="H729">
        <v>130.91999999999999</v>
      </c>
      <c r="I729">
        <v>6160.6</v>
      </c>
      <c r="J729" t="s">
        <v>27</v>
      </c>
      <c r="K729" t="str">
        <f>IF(D729&lt;=12,"0-12 Months",IF(D729&lt;=24,"13-24 Months",IF(D729&lt;=48,"25-48 Months","49+ Months")))</f>
        <v>49+ Months</v>
      </c>
      <c r="L729">
        <f>IF(Table134[[#This Row],[Churn]]="Yes",1,0)</f>
        <v>1</v>
      </c>
    </row>
    <row r="730" spans="1:12" x14ac:dyDescent="0.35">
      <c r="A730" t="s">
        <v>752</v>
      </c>
      <c r="B730" t="s">
        <v>11</v>
      </c>
      <c r="C730">
        <v>35</v>
      </c>
      <c r="D730">
        <v>63</v>
      </c>
      <c r="E730" t="s">
        <v>12</v>
      </c>
      <c r="F730" t="s">
        <v>13</v>
      </c>
      <c r="G730" t="s">
        <v>14</v>
      </c>
      <c r="H730">
        <v>107.56</v>
      </c>
      <c r="I730">
        <v>6930.35</v>
      </c>
      <c r="J730" t="s">
        <v>15</v>
      </c>
      <c r="K730" t="str">
        <f>IF(D730&lt;=12,"0-12 Months",IF(D730&lt;=24,"13-24 Months",IF(D730&lt;=48,"25-48 Months","49+ Months")))</f>
        <v>49+ Months</v>
      </c>
      <c r="L730">
        <f>IF(Table134[[#This Row],[Churn]]="Yes",1,0)</f>
        <v>0</v>
      </c>
    </row>
    <row r="731" spans="1:12" x14ac:dyDescent="0.35">
      <c r="A731" t="s">
        <v>753</v>
      </c>
      <c r="B731" t="s">
        <v>17</v>
      </c>
      <c r="C731">
        <v>38</v>
      </c>
      <c r="D731">
        <v>63</v>
      </c>
      <c r="E731" t="s">
        <v>21</v>
      </c>
      <c r="F731" t="s">
        <v>22</v>
      </c>
      <c r="G731" t="s">
        <v>14</v>
      </c>
      <c r="H731">
        <v>37.86</v>
      </c>
      <c r="I731">
        <v>2253.08</v>
      </c>
      <c r="J731" t="s">
        <v>15</v>
      </c>
      <c r="K731" t="str">
        <f>IF(D731&lt;=12,"0-12 Months",IF(D731&lt;=24,"13-24 Months",IF(D731&lt;=48,"25-48 Months","49+ Months")))</f>
        <v>49+ Months</v>
      </c>
      <c r="L731">
        <f>IF(Table134[[#This Row],[Churn]]="Yes",1,0)</f>
        <v>0</v>
      </c>
    </row>
    <row r="732" spans="1:12" x14ac:dyDescent="0.35">
      <c r="A732" t="s">
        <v>754</v>
      </c>
      <c r="B732" t="s">
        <v>11</v>
      </c>
      <c r="C732">
        <v>59</v>
      </c>
      <c r="D732">
        <v>62</v>
      </c>
      <c r="E732" t="s">
        <v>12</v>
      </c>
      <c r="F732" t="s">
        <v>13</v>
      </c>
      <c r="G732" t="s">
        <v>23</v>
      </c>
      <c r="H732">
        <v>55.99</v>
      </c>
      <c r="I732">
        <v>3503.09</v>
      </c>
      <c r="J732" t="s">
        <v>15</v>
      </c>
      <c r="K732" t="str">
        <f>IF(D732&lt;=12,"0-12 Months",IF(D732&lt;=24,"13-24 Months",IF(D732&lt;=48,"25-48 Months","49+ Months")))</f>
        <v>49+ Months</v>
      </c>
      <c r="L732">
        <f>IF(Table134[[#This Row],[Churn]]="Yes",1,0)</f>
        <v>0</v>
      </c>
    </row>
    <row r="733" spans="1:12" x14ac:dyDescent="0.35">
      <c r="A733" t="s">
        <v>755</v>
      </c>
      <c r="B733" t="s">
        <v>11</v>
      </c>
      <c r="C733">
        <v>53</v>
      </c>
      <c r="D733">
        <v>7</v>
      </c>
      <c r="E733" t="s">
        <v>21</v>
      </c>
      <c r="F733" t="s">
        <v>29</v>
      </c>
      <c r="G733" t="s">
        <v>23</v>
      </c>
      <c r="H733">
        <v>25.99</v>
      </c>
      <c r="I733">
        <v>188.62</v>
      </c>
      <c r="J733" t="s">
        <v>27</v>
      </c>
      <c r="K733" t="str">
        <f>IF(D733&lt;=12,"0-12 Months",IF(D733&lt;=24,"13-24 Months",IF(D733&lt;=48,"25-48 Months","49+ Months")))</f>
        <v>0-12 Months</v>
      </c>
      <c r="L733">
        <f>IF(Table134[[#This Row],[Churn]]="Yes",1,0)</f>
        <v>1</v>
      </c>
    </row>
    <row r="734" spans="1:12" x14ac:dyDescent="0.35">
      <c r="A734" t="s">
        <v>756</v>
      </c>
      <c r="B734" t="s">
        <v>11</v>
      </c>
      <c r="C734">
        <v>58</v>
      </c>
      <c r="D734">
        <v>27</v>
      </c>
      <c r="E734" t="s">
        <v>21</v>
      </c>
      <c r="F734" t="s">
        <v>13</v>
      </c>
      <c r="G734" t="s">
        <v>23</v>
      </c>
      <c r="H734">
        <v>141.01</v>
      </c>
      <c r="I734">
        <v>3571.39</v>
      </c>
      <c r="J734" t="s">
        <v>27</v>
      </c>
      <c r="K734" t="str">
        <f>IF(D734&lt;=12,"0-12 Months",IF(D734&lt;=24,"13-24 Months",IF(D734&lt;=48,"25-48 Months","49+ Months")))</f>
        <v>25-48 Months</v>
      </c>
      <c r="L734">
        <f>IF(Table134[[#This Row],[Churn]]="Yes",1,0)</f>
        <v>1</v>
      </c>
    </row>
    <row r="735" spans="1:12" x14ac:dyDescent="0.35">
      <c r="A735" t="s">
        <v>757</v>
      </c>
      <c r="B735" t="s">
        <v>17</v>
      </c>
      <c r="C735">
        <v>55</v>
      </c>
      <c r="D735">
        <v>14</v>
      </c>
      <c r="E735" t="s">
        <v>21</v>
      </c>
      <c r="F735" t="s">
        <v>22</v>
      </c>
      <c r="G735" t="s">
        <v>23</v>
      </c>
      <c r="H735">
        <v>105.9</v>
      </c>
      <c r="I735">
        <v>1488.79</v>
      </c>
      <c r="J735" t="s">
        <v>27</v>
      </c>
      <c r="K735" t="str">
        <f>IF(D735&lt;=12,"0-12 Months",IF(D735&lt;=24,"13-24 Months",IF(D735&lt;=48,"25-48 Months","49+ Months")))</f>
        <v>13-24 Months</v>
      </c>
      <c r="L735">
        <f>IF(Table134[[#This Row],[Churn]]="Yes",1,0)</f>
        <v>1</v>
      </c>
    </row>
    <row r="736" spans="1:12" x14ac:dyDescent="0.35">
      <c r="A736" t="s">
        <v>758</v>
      </c>
      <c r="B736" t="s">
        <v>17</v>
      </c>
      <c r="C736">
        <v>51</v>
      </c>
      <c r="D736">
        <v>71</v>
      </c>
      <c r="E736" t="s">
        <v>21</v>
      </c>
      <c r="F736" t="s">
        <v>29</v>
      </c>
      <c r="G736" t="s">
        <v>23</v>
      </c>
      <c r="H736">
        <v>117.03</v>
      </c>
      <c r="I736">
        <v>8257.7099999999991</v>
      </c>
      <c r="J736" t="s">
        <v>27</v>
      </c>
      <c r="K736" t="str">
        <f>IF(D736&lt;=12,"0-12 Months",IF(D736&lt;=24,"13-24 Months",IF(D736&lt;=48,"25-48 Months","49+ Months")))</f>
        <v>49+ Months</v>
      </c>
      <c r="L736">
        <f>IF(Table134[[#This Row],[Churn]]="Yes",1,0)</f>
        <v>1</v>
      </c>
    </row>
    <row r="737" spans="1:12" x14ac:dyDescent="0.35">
      <c r="A737" t="s">
        <v>759</v>
      </c>
      <c r="B737" t="s">
        <v>11</v>
      </c>
      <c r="C737">
        <v>34</v>
      </c>
      <c r="D737">
        <v>5</v>
      </c>
      <c r="E737" t="s">
        <v>12</v>
      </c>
      <c r="F737" t="s">
        <v>29</v>
      </c>
      <c r="G737" t="s">
        <v>14</v>
      </c>
      <c r="H737">
        <v>60.5</v>
      </c>
      <c r="I737">
        <v>276.55</v>
      </c>
      <c r="J737" t="s">
        <v>15</v>
      </c>
      <c r="K737" t="str">
        <f>IF(D737&lt;=12,"0-12 Months",IF(D737&lt;=24,"13-24 Months",IF(D737&lt;=48,"25-48 Months","49+ Months")))</f>
        <v>0-12 Months</v>
      </c>
      <c r="L737">
        <f>IF(Table134[[#This Row],[Churn]]="Yes",1,0)</f>
        <v>0</v>
      </c>
    </row>
    <row r="738" spans="1:12" x14ac:dyDescent="0.35">
      <c r="A738" t="s">
        <v>760</v>
      </c>
      <c r="B738" t="s">
        <v>17</v>
      </c>
      <c r="C738">
        <v>54</v>
      </c>
      <c r="D738">
        <v>55</v>
      </c>
      <c r="E738" t="s">
        <v>18</v>
      </c>
      <c r="F738" t="s">
        <v>29</v>
      </c>
      <c r="G738" t="s">
        <v>23</v>
      </c>
      <c r="H738">
        <v>129.93</v>
      </c>
      <c r="I738">
        <v>7601.09</v>
      </c>
      <c r="J738" t="s">
        <v>27</v>
      </c>
      <c r="K738" t="str">
        <f>IF(D738&lt;=12,"0-12 Months",IF(D738&lt;=24,"13-24 Months",IF(D738&lt;=48,"25-48 Months","49+ Months")))</f>
        <v>49+ Months</v>
      </c>
      <c r="L738">
        <f>IF(Table134[[#This Row],[Churn]]="Yes",1,0)</f>
        <v>1</v>
      </c>
    </row>
    <row r="739" spans="1:12" x14ac:dyDescent="0.35">
      <c r="A739" t="s">
        <v>761</v>
      </c>
      <c r="B739" t="s">
        <v>11</v>
      </c>
      <c r="C739">
        <v>42</v>
      </c>
      <c r="D739">
        <v>2</v>
      </c>
      <c r="E739" t="s">
        <v>21</v>
      </c>
      <c r="F739" t="s">
        <v>33</v>
      </c>
      <c r="G739" t="s">
        <v>14</v>
      </c>
      <c r="H739">
        <v>53.75</v>
      </c>
      <c r="I739">
        <v>103.97</v>
      </c>
      <c r="J739" t="s">
        <v>15</v>
      </c>
      <c r="K739" t="str">
        <f>IF(D739&lt;=12,"0-12 Months",IF(D739&lt;=24,"13-24 Months",IF(D739&lt;=48,"25-48 Months","49+ Months")))</f>
        <v>0-12 Months</v>
      </c>
      <c r="L739">
        <f>IF(Table134[[#This Row],[Churn]]="Yes",1,0)</f>
        <v>0</v>
      </c>
    </row>
    <row r="740" spans="1:12" x14ac:dyDescent="0.35">
      <c r="A740" t="s">
        <v>762</v>
      </c>
      <c r="B740" t="s">
        <v>11</v>
      </c>
      <c r="C740">
        <v>55</v>
      </c>
      <c r="D740">
        <v>62</v>
      </c>
      <c r="E740" t="s">
        <v>12</v>
      </c>
      <c r="F740" t="s">
        <v>29</v>
      </c>
      <c r="G740" t="s">
        <v>23</v>
      </c>
      <c r="H740">
        <v>20.21</v>
      </c>
      <c r="I740">
        <v>1271.71</v>
      </c>
      <c r="J740" t="s">
        <v>15</v>
      </c>
      <c r="K740" t="str">
        <f>IF(D740&lt;=12,"0-12 Months",IF(D740&lt;=24,"13-24 Months",IF(D740&lt;=48,"25-48 Months","49+ Months")))</f>
        <v>49+ Months</v>
      </c>
      <c r="L740">
        <f>IF(Table134[[#This Row],[Churn]]="Yes",1,0)</f>
        <v>0</v>
      </c>
    </row>
    <row r="741" spans="1:12" x14ac:dyDescent="0.35">
      <c r="A741" t="s">
        <v>763</v>
      </c>
      <c r="B741" t="s">
        <v>17</v>
      </c>
      <c r="C741">
        <v>29</v>
      </c>
      <c r="D741">
        <v>21</v>
      </c>
      <c r="E741" t="s">
        <v>18</v>
      </c>
      <c r="F741" t="s">
        <v>33</v>
      </c>
      <c r="G741" t="s">
        <v>19</v>
      </c>
      <c r="H741">
        <v>68.930000000000007</v>
      </c>
      <c r="I741">
        <v>1451.81</v>
      </c>
      <c r="J741" t="s">
        <v>15</v>
      </c>
      <c r="K741" t="str">
        <f>IF(D741&lt;=12,"0-12 Months",IF(D741&lt;=24,"13-24 Months",IF(D741&lt;=48,"25-48 Months","49+ Months")))</f>
        <v>13-24 Months</v>
      </c>
      <c r="L741">
        <f>IF(Table134[[#This Row],[Churn]]="Yes",1,0)</f>
        <v>0</v>
      </c>
    </row>
    <row r="742" spans="1:12" x14ac:dyDescent="0.35">
      <c r="A742" t="s">
        <v>764</v>
      </c>
      <c r="B742" t="s">
        <v>11</v>
      </c>
      <c r="C742">
        <v>40</v>
      </c>
      <c r="D742">
        <v>21</v>
      </c>
      <c r="E742" t="s">
        <v>21</v>
      </c>
      <c r="F742" t="s">
        <v>13</v>
      </c>
      <c r="G742" t="s">
        <v>14</v>
      </c>
      <c r="H742">
        <v>94.2</v>
      </c>
      <c r="I742">
        <v>1983.45</v>
      </c>
      <c r="J742" t="s">
        <v>15</v>
      </c>
      <c r="K742" t="str">
        <f>IF(D742&lt;=12,"0-12 Months",IF(D742&lt;=24,"13-24 Months",IF(D742&lt;=48,"25-48 Months","49+ Months")))</f>
        <v>13-24 Months</v>
      </c>
      <c r="L742">
        <f>IF(Table134[[#This Row],[Churn]]="Yes",1,0)</f>
        <v>0</v>
      </c>
    </row>
    <row r="743" spans="1:12" x14ac:dyDescent="0.35">
      <c r="A743" t="s">
        <v>765</v>
      </c>
      <c r="B743" t="s">
        <v>17</v>
      </c>
      <c r="C743">
        <v>70</v>
      </c>
      <c r="D743">
        <v>10</v>
      </c>
      <c r="E743" t="s">
        <v>12</v>
      </c>
      <c r="F743" t="s">
        <v>33</v>
      </c>
      <c r="G743" t="s">
        <v>23</v>
      </c>
      <c r="H743">
        <v>82.23</v>
      </c>
      <c r="I743">
        <v>757.7</v>
      </c>
      <c r="J743" t="s">
        <v>15</v>
      </c>
      <c r="K743" t="str">
        <f>IF(D743&lt;=12,"0-12 Months",IF(D743&lt;=24,"13-24 Months",IF(D743&lt;=48,"25-48 Months","49+ Months")))</f>
        <v>0-12 Months</v>
      </c>
      <c r="L743">
        <f>IF(Table134[[#This Row],[Churn]]="Yes",1,0)</f>
        <v>0</v>
      </c>
    </row>
    <row r="744" spans="1:12" x14ac:dyDescent="0.35">
      <c r="A744" t="s">
        <v>766</v>
      </c>
      <c r="B744" t="s">
        <v>17</v>
      </c>
      <c r="C744">
        <v>59</v>
      </c>
      <c r="D744">
        <v>58</v>
      </c>
      <c r="E744" t="s">
        <v>12</v>
      </c>
      <c r="F744" t="s">
        <v>33</v>
      </c>
      <c r="G744" t="s">
        <v>23</v>
      </c>
      <c r="H744">
        <v>132.07</v>
      </c>
      <c r="I744">
        <v>7542.83</v>
      </c>
      <c r="J744" t="s">
        <v>27</v>
      </c>
      <c r="K744" t="str">
        <f>IF(D744&lt;=12,"0-12 Months",IF(D744&lt;=24,"13-24 Months",IF(D744&lt;=48,"25-48 Months","49+ Months")))</f>
        <v>49+ Months</v>
      </c>
      <c r="L744">
        <f>IF(Table134[[#This Row],[Churn]]="Yes",1,0)</f>
        <v>1</v>
      </c>
    </row>
    <row r="745" spans="1:12" x14ac:dyDescent="0.35">
      <c r="A745" t="s">
        <v>767</v>
      </c>
      <c r="B745" t="s">
        <v>11</v>
      </c>
      <c r="C745">
        <v>39</v>
      </c>
      <c r="D745">
        <v>39</v>
      </c>
      <c r="E745" t="s">
        <v>12</v>
      </c>
      <c r="F745" t="s">
        <v>13</v>
      </c>
      <c r="G745" t="s">
        <v>14</v>
      </c>
      <c r="H745">
        <v>33.700000000000003</v>
      </c>
      <c r="I745">
        <v>1301.78</v>
      </c>
      <c r="J745" t="s">
        <v>15</v>
      </c>
      <c r="K745" t="str">
        <f>IF(D745&lt;=12,"0-12 Months",IF(D745&lt;=24,"13-24 Months",IF(D745&lt;=48,"25-48 Months","49+ Months")))</f>
        <v>25-48 Months</v>
      </c>
      <c r="L745">
        <f>IF(Table134[[#This Row],[Churn]]="Yes",1,0)</f>
        <v>0</v>
      </c>
    </row>
    <row r="746" spans="1:12" x14ac:dyDescent="0.35">
      <c r="A746" t="s">
        <v>768</v>
      </c>
      <c r="B746" t="s">
        <v>11</v>
      </c>
      <c r="C746">
        <v>38</v>
      </c>
      <c r="D746">
        <v>5</v>
      </c>
      <c r="E746" t="s">
        <v>18</v>
      </c>
      <c r="F746" t="s">
        <v>29</v>
      </c>
      <c r="G746" t="s">
        <v>14</v>
      </c>
      <c r="H746">
        <v>92</v>
      </c>
      <c r="I746">
        <v>481.5</v>
      </c>
      <c r="J746" t="s">
        <v>15</v>
      </c>
      <c r="K746" t="str">
        <f>IF(D746&lt;=12,"0-12 Months",IF(D746&lt;=24,"13-24 Months",IF(D746&lt;=48,"25-48 Months","49+ Months")))</f>
        <v>0-12 Months</v>
      </c>
      <c r="L746">
        <f>IF(Table134[[#This Row],[Churn]]="Yes",1,0)</f>
        <v>0</v>
      </c>
    </row>
    <row r="747" spans="1:12" x14ac:dyDescent="0.35">
      <c r="A747" t="s">
        <v>769</v>
      </c>
      <c r="B747" t="s">
        <v>17</v>
      </c>
      <c r="C747">
        <v>44</v>
      </c>
      <c r="D747">
        <v>65</v>
      </c>
      <c r="E747" t="s">
        <v>21</v>
      </c>
      <c r="F747" t="s">
        <v>29</v>
      </c>
      <c r="G747" t="s">
        <v>14</v>
      </c>
      <c r="H747">
        <v>86.69</v>
      </c>
      <c r="I747">
        <v>6018.04</v>
      </c>
      <c r="J747" t="s">
        <v>27</v>
      </c>
      <c r="K747" t="str">
        <f>IF(D747&lt;=12,"0-12 Months",IF(D747&lt;=24,"13-24 Months",IF(D747&lt;=48,"25-48 Months","49+ Months")))</f>
        <v>49+ Months</v>
      </c>
      <c r="L747">
        <f>IF(Table134[[#This Row],[Churn]]="Yes",1,0)</f>
        <v>1</v>
      </c>
    </row>
    <row r="748" spans="1:12" x14ac:dyDescent="0.35">
      <c r="A748" t="s">
        <v>770</v>
      </c>
      <c r="B748" t="s">
        <v>11</v>
      </c>
      <c r="C748">
        <v>48</v>
      </c>
      <c r="D748">
        <v>13</v>
      </c>
      <c r="E748" t="s">
        <v>18</v>
      </c>
      <c r="F748" t="s">
        <v>29</v>
      </c>
      <c r="G748" t="s">
        <v>14</v>
      </c>
      <c r="H748">
        <v>56.58</v>
      </c>
      <c r="I748">
        <v>742.16</v>
      </c>
      <c r="J748" t="s">
        <v>15</v>
      </c>
      <c r="K748" t="str">
        <f>IF(D748&lt;=12,"0-12 Months",IF(D748&lt;=24,"13-24 Months",IF(D748&lt;=48,"25-48 Months","49+ Months")))</f>
        <v>13-24 Months</v>
      </c>
      <c r="L748">
        <f>IF(Table134[[#This Row],[Churn]]="Yes",1,0)</f>
        <v>0</v>
      </c>
    </row>
    <row r="749" spans="1:12" x14ac:dyDescent="0.35">
      <c r="A749" t="s">
        <v>771</v>
      </c>
      <c r="B749" t="s">
        <v>11</v>
      </c>
      <c r="C749">
        <v>23</v>
      </c>
      <c r="D749">
        <v>53</v>
      </c>
      <c r="E749" t="s">
        <v>21</v>
      </c>
      <c r="F749" t="s">
        <v>22</v>
      </c>
      <c r="G749" t="s">
        <v>19</v>
      </c>
      <c r="H749">
        <v>126.89</v>
      </c>
      <c r="I749">
        <v>6169.38</v>
      </c>
      <c r="J749" t="s">
        <v>15</v>
      </c>
      <c r="K749" t="str">
        <f>IF(D749&lt;=12,"0-12 Months",IF(D749&lt;=24,"13-24 Months",IF(D749&lt;=48,"25-48 Months","49+ Months")))</f>
        <v>49+ Months</v>
      </c>
      <c r="L749">
        <f>IF(Table134[[#This Row],[Churn]]="Yes",1,0)</f>
        <v>0</v>
      </c>
    </row>
    <row r="750" spans="1:12" x14ac:dyDescent="0.35">
      <c r="A750" t="s">
        <v>772</v>
      </c>
      <c r="B750" t="s">
        <v>11</v>
      </c>
      <c r="C750">
        <v>44</v>
      </c>
      <c r="D750">
        <v>45</v>
      </c>
      <c r="E750" t="s">
        <v>12</v>
      </c>
      <c r="F750" t="s">
        <v>29</v>
      </c>
      <c r="G750" t="s">
        <v>14</v>
      </c>
      <c r="H750">
        <v>117.87</v>
      </c>
      <c r="I750">
        <v>5024.99</v>
      </c>
      <c r="J750" t="s">
        <v>15</v>
      </c>
      <c r="K750" t="str">
        <f>IF(D750&lt;=12,"0-12 Months",IF(D750&lt;=24,"13-24 Months",IF(D750&lt;=48,"25-48 Months","49+ Months")))</f>
        <v>25-48 Months</v>
      </c>
      <c r="L750">
        <f>IF(Table134[[#This Row],[Churn]]="Yes",1,0)</f>
        <v>0</v>
      </c>
    </row>
    <row r="751" spans="1:12" x14ac:dyDescent="0.35">
      <c r="A751" t="s">
        <v>773</v>
      </c>
      <c r="B751" t="s">
        <v>17</v>
      </c>
      <c r="C751">
        <v>57</v>
      </c>
      <c r="D751">
        <v>32</v>
      </c>
      <c r="E751" t="s">
        <v>12</v>
      </c>
      <c r="F751" t="s">
        <v>29</v>
      </c>
      <c r="G751" t="s">
        <v>23</v>
      </c>
      <c r="H751">
        <v>115.27</v>
      </c>
      <c r="I751">
        <v>3441.45</v>
      </c>
      <c r="J751" t="s">
        <v>27</v>
      </c>
      <c r="K751" t="str">
        <f>IF(D751&lt;=12,"0-12 Months",IF(D751&lt;=24,"13-24 Months",IF(D751&lt;=48,"25-48 Months","49+ Months")))</f>
        <v>25-48 Months</v>
      </c>
      <c r="L751">
        <f>IF(Table134[[#This Row],[Churn]]="Yes",1,0)</f>
        <v>1</v>
      </c>
    </row>
    <row r="752" spans="1:12" x14ac:dyDescent="0.35">
      <c r="A752" t="s">
        <v>774</v>
      </c>
      <c r="B752" t="s">
        <v>17</v>
      </c>
      <c r="C752">
        <v>51</v>
      </c>
      <c r="D752">
        <v>36</v>
      </c>
      <c r="E752" t="s">
        <v>21</v>
      </c>
      <c r="F752" t="s">
        <v>13</v>
      </c>
      <c r="G752" t="s">
        <v>23</v>
      </c>
      <c r="H752">
        <v>133.91</v>
      </c>
      <c r="I752">
        <v>4458.83</v>
      </c>
      <c r="J752" t="s">
        <v>27</v>
      </c>
      <c r="K752" t="str">
        <f>IF(D752&lt;=12,"0-12 Months",IF(D752&lt;=24,"13-24 Months",IF(D752&lt;=48,"25-48 Months","49+ Months")))</f>
        <v>25-48 Months</v>
      </c>
      <c r="L752">
        <f>IF(Table134[[#This Row],[Churn]]="Yes",1,0)</f>
        <v>1</v>
      </c>
    </row>
    <row r="753" spans="1:12" x14ac:dyDescent="0.35">
      <c r="A753" t="s">
        <v>775</v>
      </c>
      <c r="B753" t="s">
        <v>11</v>
      </c>
      <c r="C753">
        <v>29</v>
      </c>
      <c r="D753">
        <v>60</v>
      </c>
      <c r="E753" t="s">
        <v>21</v>
      </c>
      <c r="F753" t="s">
        <v>33</v>
      </c>
      <c r="G753" t="s">
        <v>19</v>
      </c>
      <c r="H753">
        <v>113.96</v>
      </c>
      <c r="I753">
        <v>6654.21</v>
      </c>
      <c r="J753" t="s">
        <v>15</v>
      </c>
      <c r="K753" t="str">
        <f>IF(D753&lt;=12,"0-12 Months",IF(D753&lt;=24,"13-24 Months",IF(D753&lt;=48,"25-48 Months","49+ Months")))</f>
        <v>49+ Months</v>
      </c>
      <c r="L753">
        <f>IF(Table134[[#This Row],[Churn]]="Yes",1,0)</f>
        <v>0</v>
      </c>
    </row>
    <row r="754" spans="1:12" x14ac:dyDescent="0.35">
      <c r="A754" t="s">
        <v>776</v>
      </c>
      <c r="B754" t="s">
        <v>17</v>
      </c>
      <c r="C754">
        <v>62</v>
      </c>
      <c r="D754">
        <v>11</v>
      </c>
      <c r="E754" t="s">
        <v>18</v>
      </c>
      <c r="F754" t="s">
        <v>29</v>
      </c>
      <c r="G754" t="s">
        <v>23</v>
      </c>
      <c r="H754">
        <v>50.14</v>
      </c>
      <c r="I754">
        <v>521.69000000000005</v>
      </c>
      <c r="J754" t="s">
        <v>27</v>
      </c>
      <c r="K754" t="str">
        <f>IF(D754&lt;=12,"0-12 Months",IF(D754&lt;=24,"13-24 Months",IF(D754&lt;=48,"25-48 Months","49+ Months")))</f>
        <v>0-12 Months</v>
      </c>
      <c r="L754">
        <f>IF(Table134[[#This Row],[Churn]]="Yes",1,0)</f>
        <v>1</v>
      </c>
    </row>
    <row r="755" spans="1:12" x14ac:dyDescent="0.35">
      <c r="A755" t="s">
        <v>777</v>
      </c>
      <c r="B755" t="s">
        <v>17</v>
      </c>
      <c r="C755">
        <v>70</v>
      </c>
      <c r="D755">
        <v>63</v>
      </c>
      <c r="E755" t="s">
        <v>12</v>
      </c>
      <c r="F755" t="s">
        <v>29</v>
      </c>
      <c r="G755" t="s">
        <v>23</v>
      </c>
      <c r="H755">
        <v>111.72</v>
      </c>
      <c r="I755">
        <v>6641.82</v>
      </c>
      <c r="J755" t="s">
        <v>15</v>
      </c>
      <c r="K755" t="str">
        <f>IF(D755&lt;=12,"0-12 Months",IF(D755&lt;=24,"13-24 Months",IF(D755&lt;=48,"25-48 Months","49+ Months")))</f>
        <v>49+ Months</v>
      </c>
      <c r="L755">
        <f>IF(Table134[[#This Row],[Churn]]="Yes",1,0)</f>
        <v>0</v>
      </c>
    </row>
    <row r="756" spans="1:12" x14ac:dyDescent="0.35">
      <c r="A756" t="s">
        <v>778</v>
      </c>
      <c r="B756" t="s">
        <v>17</v>
      </c>
      <c r="C756">
        <v>24</v>
      </c>
      <c r="D756">
        <v>21</v>
      </c>
      <c r="E756" t="s">
        <v>12</v>
      </c>
      <c r="F756" t="s">
        <v>29</v>
      </c>
      <c r="G756" t="s">
        <v>19</v>
      </c>
      <c r="H756">
        <v>60</v>
      </c>
      <c r="I756">
        <v>1147.78</v>
      </c>
      <c r="J756" t="s">
        <v>15</v>
      </c>
      <c r="K756" t="str">
        <f>IF(D756&lt;=12,"0-12 Months",IF(D756&lt;=24,"13-24 Months",IF(D756&lt;=48,"25-48 Months","49+ Months")))</f>
        <v>13-24 Months</v>
      </c>
      <c r="L756">
        <f>IF(Table134[[#This Row],[Churn]]="Yes",1,0)</f>
        <v>0</v>
      </c>
    </row>
    <row r="757" spans="1:12" x14ac:dyDescent="0.35">
      <c r="A757" t="s">
        <v>779</v>
      </c>
      <c r="B757" t="s">
        <v>17</v>
      </c>
      <c r="C757">
        <v>27</v>
      </c>
      <c r="D757">
        <v>52</v>
      </c>
      <c r="E757" t="s">
        <v>21</v>
      </c>
      <c r="F757" t="s">
        <v>33</v>
      </c>
      <c r="G757" t="s">
        <v>19</v>
      </c>
      <c r="H757">
        <v>51.48</v>
      </c>
      <c r="I757">
        <v>2418.7199999999998</v>
      </c>
      <c r="J757" t="s">
        <v>15</v>
      </c>
      <c r="K757" t="str">
        <f>IF(D757&lt;=12,"0-12 Months",IF(D757&lt;=24,"13-24 Months",IF(D757&lt;=48,"25-48 Months","49+ Months")))</f>
        <v>49+ Months</v>
      </c>
      <c r="L757">
        <f>IF(Table134[[#This Row],[Churn]]="Yes",1,0)</f>
        <v>0</v>
      </c>
    </row>
    <row r="758" spans="1:12" x14ac:dyDescent="0.35">
      <c r="A758" t="s">
        <v>780</v>
      </c>
      <c r="B758" t="s">
        <v>17</v>
      </c>
      <c r="C758">
        <v>62</v>
      </c>
      <c r="D758">
        <v>55</v>
      </c>
      <c r="E758" t="s">
        <v>21</v>
      </c>
      <c r="F758" t="s">
        <v>22</v>
      </c>
      <c r="G758" t="s">
        <v>23</v>
      </c>
      <c r="H758">
        <v>29.49</v>
      </c>
      <c r="I758">
        <v>1493.09</v>
      </c>
      <c r="J758" t="s">
        <v>15</v>
      </c>
      <c r="K758" t="str">
        <f>IF(D758&lt;=12,"0-12 Months",IF(D758&lt;=24,"13-24 Months",IF(D758&lt;=48,"25-48 Months","49+ Months")))</f>
        <v>49+ Months</v>
      </c>
      <c r="L758">
        <f>IF(Table134[[#This Row],[Churn]]="Yes",1,0)</f>
        <v>0</v>
      </c>
    </row>
    <row r="759" spans="1:12" x14ac:dyDescent="0.35">
      <c r="A759" t="s">
        <v>781</v>
      </c>
      <c r="B759" t="s">
        <v>11</v>
      </c>
      <c r="C759">
        <v>34</v>
      </c>
      <c r="D759">
        <v>26</v>
      </c>
      <c r="E759" t="s">
        <v>21</v>
      </c>
      <c r="F759" t="s">
        <v>29</v>
      </c>
      <c r="G759" t="s">
        <v>14</v>
      </c>
      <c r="H759">
        <v>116.72</v>
      </c>
      <c r="I759">
        <v>2835.76</v>
      </c>
      <c r="J759" t="s">
        <v>15</v>
      </c>
      <c r="K759" t="str">
        <f>IF(D759&lt;=12,"0-12 Months",IF(D759&lt;=24,"13-24 Months",IF(D759&lt;=48,"25-48 Months","49+ Months")))</f>
        <v>25-48 Months</v>
      </c>
      <c r="L759">
        <f>IF(Table134[[#This Row],[Churn]]="Yes",1,0)</f>
        <v>0</v>
      </c>
    </row>
    <row r="760" spans="1:12" x14ac:dyDescent="0.35">
      <c r="A760" t="s">
        <v>782</v>
      </c>
      <c r="B760" t="s">
        <v>11</v>
      </c>
      <c r="C760">
        <v>43</v>
      </c>
      <c r="D760">
        <v>68</v>
      </c>
      <c r="E760" t="s">
        <v>21</v>
      </c>
      <c r="F760" t="s">
        <v>29</v>
      </c>
      <c r="G760" t="s">
        <v>14</v>
      </c>
      <c r="H760">
        <v>112.43</v>
      </c>
      <c r="I760">
        <v>7539.71</v>
      </c>
      <c r="J760" t="s">
        <v>27</v>
      </c>
      <c r="K760" t="str">
        <f>IF(D760&lt;=12,"0-12 Months",IF(D760&lt;=24,"13-24 Months",IF(D760&lt;=48,"25-48 Months","49+ Months")))</f>
        <v>49+ Months</v>
      </c>
      <c r="L760">
        <f>IF(Table134[[#This Row],[Churn]]="Yes",1,0)</f>
        <v>1</v>
      </c>
    </row>
    <row r="761" spans="1:12" x14ac:dyDescent="0.35">
      <c r="A761" t="s">
        <v>783</v>
      </c>
      <c r="B761" t="s">
        <v>11</v>
      </c>
      <c r="C761">
        <v>38</v>
      </c>
      <c r="D761">
        <v>34</v>
      </c>
      <c r="E761" t="s">
        <v>12</v>
      </c>
      <c r="F761" t="s">
        <v>29</v>
      </c>
      <c r="G761" t="s">
        <v>14</v>
      </c>
      <c r="H761">
        <v>50.48</v>
      </c>
      <c r="I761">
        <v>1719.93</v>
      </c>
      <c r="J761" t="s">
        <v>15</v>
      </c>
      <c r="K761" t="str">
        <f>IF(D761&lt;=12,"0-12 Months",IF(D761&lt;=24,"13-24 Months",IF(D761&lt;=48,"25-48 Months","49+ Months")))</f>
        <v>25-48 Months</v>
      </c>
      <c r="L761">
        <f>IF(Table134[[#This Row],[Churn]]="Yes",1,0)</f>
        <v>0</v>
      </c>
    </row>
    <row r="762" spans="1:12" x14ac:dyDescent="0.35">
      <c r="A762" t="s">
        <v>784</v>
      </c>
      <c r="B762" t="s">
        <v>17</v>
      </c>
      <c r="C762">
        <v>45</v>
      </c>
      <c r="D762">
        <v>52</v>
      </c>
      <c r="E762" t="s">
        <v>21</v>
      </c>
      <c r="F762" t="s">
        <v>29</v>
      </c>
      <c r="G762" t="s">
        <v>14</v>
      </c>
      <c r="H762">
        <v>117.42</v>
      </c>
      <c r="I762">
        <v>5666.94</v>
      </c>
      <c r="J762" t="s">
        <v>15</v>
      </c>
      <c r="K762" t="str">
        <f>IF(D762&lt;=12,"0-12 Months",IF(D762&lt;=24,"13-24 Months",IF(D762&lt;=48,"25-48 Months","49+ Months")))</f>
        <v>49+ Months</v>
      </c>
      <c r="L762">
        <f>IF(Table134[[#This Row],[Churn]]="Yes",1,0)</f>
        <v>0</v>
      </c>
    </row>
    <row r="763" spans="1:12" x14ac:dyDescent="0.35">
      <c r="A763" t="s">
        <v>785</v>
      </c>
      <c r="B763" t="s">
        <v>17</v>
      </c>
      <c r="C763">
        <v>63</v>
      </c>
      <c r="D763">
        <v>52</v>
      </c>
      <c r="E763" t="s">
        <v>21</v>
      </c>
      <c r="F763" t="s">
        <v>33</v>
      </c>
      <c r="G763" t="s">
        <v>23</v>
      </c>
      <c r="H763">
        <v>139.32</v>
      </c>
      <c r="I763">
        <v>7135.66</v>
      </c>
      <c r="J763" t="s">
        <v>15</v>
      </c>
      <c r="K763" t="str">
        <f>IF(D763&lt;=12,"0-12 Months",IF(D763&lt;=24,"13-24 Months",IF(D763&lt;=48,"25-48 Months","49+ Months")))</f>
        <v>49+ Months</v>
      </c>
      <c r="L763">
        <f>IF(Table134[[#This Row],[Churn]]="Yes",1,0)</f>
        <v>0</v>
      </c>
    </row>
    <row r="764" spans="1:12" x14ac:dyDescent="0.35">
      <c r="A764" t="s">
        <v>786</v>
      </c>
      <c r="B764" t="s">
        <v>11</v>
      </c>
      <c r="C764">
        <v>19</v>
      </c>
      <c r="D764">
        <v>29</v>
      </c>
      <c r="E764" t="s">
        <v>18</v>
      </c>
      <c r="F764" t="s">
        <v>22</v>
      </c>
      <c r="G764" t="s">
        <v>19</v>
      </c>
      <c r="H764">
        <v>34.04</v>
      </c>
      <c r="I764">
        <v>955.92</v>
      </c>
      <c r="J764" t="s">
        <v>15</v>
      </c>
      <c r="K764" t="str">
        <f>IF(D764&lt;=12,"0-12 Months",IF(D764&lt;=24,"13-24 Months",IF(D764&lt;=48,"25-48 Months","49+ Months")))</f>
        <v>25-48 Months</v>
      </c>
      <c r="L764">
        <f>IF(Table134[[#This Row],[Churn]]="Yes",1,0)</f>
        <v>0</v>
      </c>
    </row>
    <row r="765" spans="1:12" x14ac:dyDescent="0.35">
      <c r="A765" t="s">
        <v>787</v>
      </c>
      <c r="B765" t="s">
        <v>17</v>
      </c>
      <c r="C765">
        <v>60</v>
      </c>
      <c r="D765">
        <v>38</v>
      </c>
      <c r="E765" t="s">
        <v>18</v>
      </c>
      <c r="F765" t="s">
        <v>13</v>
      </c>
      <c r="G765" t="s">
        <v>23</v>
      </c>
      <c r="H765">
        <v>50.24</v>
      </c>
      <c r="I765">
        <v>1788.24</v>
      </c>
      <c r="J765" t="s">
        <v>15</v>
      </c>
      <c r="K765" t="str">
        <f>IF(D765&lt;=12,"0-12 Months",IF(D765&lt;=24,"13-24 Months",IF(D765&lt;=48,"25-48 Months","49+ Months")))</f>
        <v>25-48 Months</v>
      </c>
      <c r="L765">
        <f>IF(Table134[[#This Row],[Churn]]="Yes",1,0)</f>
        <v>0</v>
      </c>
    </row>
    <row r="766" spans="1:12" x14ac:dyDescent="0.35">
      <c r="A766" t="s">
        <v>788</v>
      </c>
      <c r="B766" t="s">
        <v>11</v>
      </c>
      <c r="C766">
        <v>18</v>
      </c>
      <c r="D766">
        <v>42</v>
      </c>
      <c r="E766" t="s">
        <v>12</v>
      </c>
      <c r="F766" t="s">
        <v>33</v>
      </c>
      <c r="G766" t="s">
        <v>19</v>
      </c>
      <c r="H766">
        <v>117.53</v>
      </c>
      <c r="I766">
        <v>4449.3900000000003</v>
      </c>
      <c r="J766" t="s">
        <v>15</v>
      </c>
      <c r="K766" t="str">
        <f>IF(D766&lt;=12,"0-12 Months",IF(D766&lt;=24,"13-24 Months",IF(D766&lt;=48,"25-48 Months","49+ Months")))</f>
        <v>25-48 Months</v>
      </c>
      <c r="L766">
        <f>IF(Table134[[#This Row],[Churn]]="Yes",1,0)</f>
        <v>0</v>
      </c>
    </row>
    <row r="767" spans="1:12" x14ac:dyDescent="0.35">
      <c r="A767" t="s">
        <v>789</v>
      </c>
      <c r="B767" t="s">
        <v>11</v>
      </c>
      <c r="C767">
        <v>68</v>
      </c>
      <c r="D767">
        <v>21</v>
      </c>
      <c r="E767" t="s">
        <v>12</v>
      </c>
      <c r="F767" t="s">
        <v>29</v>
      </c>
      <c r="G767" t="s">
        <v>23</v>
      </c>
      <c r="H767">
        <v>55.69</v>
      </c>
      <c r="I767">
        <v>1161.78</v>
      </c>
      <c r="J767" t="s">
        <v>15</v>
      </c>
      <c r="K767" t="str">
        <f>IF(D767&lt;=12,"0-12 Months",IF(D767&lt;=24,"13-24 Months",IF(D767&lt;=48,"25-48 Months","49+ Months")))</f>
        <v>13-24 Months</v>
      </c>
      <c r="L767">
        <f>IF(Table134[[#This Row],[Churn]]="Yes",1,0)</f>
        <v>0</v>
      </c>
    </row>
    <row r="768" spans="1:12" x14ac:dyDescent="0.35">
      <c r="A768" t="s">
        <v>790</v>
      </c>
      <c r="B768" t="s">
        <v>11</v>
      </c>
      <c r="C768">
        <v>70</v>
      </c>
      <c r="D768">
        <v>42</v>
      </c>
      <c r="E768" t="s">
        <v>18</v>
      </c>
      <c r="F768" t="s">
        <v>22</v>
      </c>
      <c r="G768" t="s">
        <v>23</v>
      </c>
      <c r="H768">
        <v>101.21</v>
      </c>
      <c r="I768">
        <v>4408.6499999999996</v>
      </c>
      <c r="J768" t="s">
        <v>15</v>
      </c>
      <c r="K768" t="str">
        <f>IF(D768&lt;=12,"0-12 Months",IF(D768&lt;=24,"13-24 Months",IF(D768&lt;=48,"25-48 Months","49+ Months")))</f>
        <v>25-48 Months</v>
      </c>
      <c r="L768">
        <f>IF(Table134[[#This Row],[Churn]]="Yes",1,0)</f>
        <v>0</v>
      </c>
    </row>
    <row r="769" spans="1:12" x14ac:dyDescent="0.35">
      <c r="A769" t="s">
        <v>791</v>
      </c>
      <c r="B769" t="s">
        <v>17</v>
      </c>
      <c r="C769">
        <v>53</v>
      </c>
      <c r="D769">
        <v>13</v>
      </c>
      <c r="E769" t="s">
        <v>12</v>
      </c>
      <c r="F769" t="s">
        <v>33</v>
      </c>
      <c r="G769" t="s">
        <v>23</v>
      </c>
      <c r="H769">
        <v>30.55</v>
      </c>
      <c r="I769">
        <v>375.41</v>
      </c>
      <c r="J769" t="s">
        <v>15</v>
      </c>
      <c r="K769" t="str">
        <f>IF(D769&lt;=12,"0-12 Months",IF(D769&lt;=24,"13-24 Months",IF(D769&lt;=48,"25-48 Months","49+ Months")))</f>
        <v>13-24 Months</v>
      </c>
      <c r="L769">
        <f>IF(Table134[[#This Row],[Churn]]="Yes",1,0)</f>
        <v>0</v>
      </c>
    </row>
    <row r="770" spans="1:12" x14ac:dyDescent="0.35">
      <c r="A770" t="s">
        <v>792</v>
      </c>
      <c r="B770" t="s">
        <v>17</v>
      </c>
      <c r="C770">
        <v>68</v>
      </c>
      <c r="D770">
        <v>64</v>
      </c>
      <c r="E770" t="s">
        <v>18</v>
      </c>
      <c r="F770" t="s">
        <v>13</v>
      </c>
      <c r="G770" t="s">
        <v>23</v>
      </c>
      <c r="H770">
        <v>78.790000000000006</v>
      </c>
      <c r="I770">
        <v>4671.2299999999996</v>
      </c>
      <c r="J770" t="s">
        <v>15</v>
      </c>
      <c r="K770" t="str">
        <f>IF(D770&lt;=12,"0-12 Months",IF(D770&lt;=24,"13-24 Months",IF(D770&lt;=48,"25-48 Months","49+ Months")))</f>
        <v>49+ Months</v>
      </c>
      <c r="L770">
        <f>IF(Table134[[#This Row],[Churn]]="Yes",1,0)</f>
        <v>0</v>
      </c>
    </row>
    <row r="771" spans="1:12" x14ac:dyDescent="0.35">
      <c r="A771" t="s">
        <v>793</v>
      </c>
      <c r="B771" t="s">
        <v>11</v>
      </c>
      <c r="C771">
        <v>43</v>
      </c>
      <c r="D771">
        <v>17</v>
      </c>
      <c r="E771" t="s">
        <v>12</v>
      </c>
      <c r="F771" t="s">
        <v>22</v>
      </c>
      <c r="G771" t="s">
        <v>14</v>
      </c>
      <c r="H771">
        <v>116.08</v>
      </c>
      <c r="I771">
        <v>2126.11</v>
      </c>
      <c r="J771" t="s">
        <v>27</v>
      </c>
      <c r="K771" t="str">
        <f>IF(D771&lt;=12,"0-12 Months",IF(D771&lt;=24,"13-24 Months",IF(D771&lt;=48,"25-48 Months","49+ Months")))</f>
        <v>13-24 Months</v>
      </c>
      <c r="L771">
        <f>IF(Table134[[#This Row],[Churn]]="Yes",1,0)</f>
        <v>1</v>
      </c>
    </row>
    <row r="772" spans="1:12" x14ac:dyDescent="0.35">
      <c r="A772" t="s">
        <v>794</v>
      </c>
      <c r="B772" t="s">
        <v>11</v>
      </c>
      <c r="C772">
        <v>46</v>
      </c>
      <c r="D772">
        <v>9</v>
      </c>
      <c r="E772" t="s">
        <v>21</v>
      </c>
      <c r="F772" t="s">
        <v>29</v>
      </c>
      <c r="G772" t="s">
        <v>14</v>
      </c>
      <c r="H772">
        <v>109.25</v>
      </c>
      <c r="I772">
        <v>939.01</v>
      </c>
      <c r="J772" t="s">
        <v>15</v>
      </c>
      <c r="K772" t="str">
        <f>IF(D772&lt;=12,"0-12 Months",IF(D772&lt;=24,"13-24 Months",IF(D772&lt;=48,"25-48 Months","49+ Months")))</f>
        <v>0-12 Months</v>
      </c>
      <c r="L772">
        <f>IF(Table134[[#This Row],[Churn]]="Yes",1,0)</f>
        <v>0</v>
      </c>
    </row>
    <row r="773" spans="1:12" x14ac:dyDescent="0.35">
      <c r="A773" t="s">
        <v>795</v>
      </c>
      <c r="B773" t="s">
        <v>11</v>
      </c>
      <c r="C773">
        <v>38</v>
      </c>
      <c r="D773">
        <v>41</v>
      </c>
      <c r="E773" t="s">
        <v>18</v>
      </c>
      <c r="F773" t="s">
        <v>29</v>
      </c>
      <c r="G773" t="s">
        <v>14</v>
      </c>
      <c r="H773">
        <v>125.96</v>
      </c>
      <c r="I773">
        <v>4878.8900000000003</v>
      </c>
      <c r="J773" t="s">
        <v>15</v>
      </c>
      <c r="K773" t="str">
        <f>IF(D773&lt;=12,"0-12 Months",IF(D773&lt;=24,"13-24 Months",IF(D773&lt;=48,"25-48 Months","49+ Months")))</f>
        <v>25-48 Months</v>
      </c>
      <c r="L773">
        <f>IF(Table134[[#This Row],[Churn]]="Yes",1,0)</f>
        <v>0</v>
      </c>
    </row>
    <row r="774" spans="1:12" x14ac:dyDescent="0.35">
      <c r="A774" t="s">
        <v>796</v>
      </c>
      <c r="B774" t="s">
        <v>11</v>
      </c>
      <c r="C774">
        <v>28</v>
      </c>
      <c r="D774">
        <v>1</v>
      </c>
      <c r="E774" t="s">
        <v>18</v>
      </c>
      <c r="F774" t="s">
        <v>29</v>
      </c>
      <c r="G774" t="s">
        <v>19</v>
      </c>
      <c r="H774">
        <v>134.07</v>
      </c>
      <c r="I774">
        <v>143.65</v>
      </c>
      <c r="J774" t="s">
        <v>27</v>
      </c>
      <c r="K774" t="str">
        <f>IF(D774&lt;=12,"0-12 Months",IF(D774&lt;=24,"13-24 Months",IF(D774&lt;=48,"25-48 Months","49+ Months")))</f>
        <v>0-12 Months</v>
      </c>
      <c r="L774">
        <f>IF(Table134[[#This Row],[Churn]]="Yes",1,0)</f>
        <v>1</v>
      </c>
    </row>
    <row r="775" spans="1:12" x14ac:dyDescent="0.35">
      <c r="A775" t="s">
        <v>797</v>
      </c>
      <c r="B775" t="s">
        <v>17</v>
      </c>
      <c r="C775">
        <v>57</v>
      </c>
      <c r="D775">
        <v>2</v>
      </c>
      <c r="E775" t="s">
        <v>12</v>
      </c>
      <c r="F775" t="s">
        <v>13</v>
      </c>
      <c r="G775" t="s">
        <v>23</v>
      </c>
      <c r="H775">
        <v>120.51</v>
      </c>
      <c r="I775">
        <v>256.31</v>
      </c>
      <c r="J775" t="s">
        <v>15</v>
      </c>
      <c r="K775" t="str">
        <f>IF(D775&lt;=12,"0-12 Months",IF(D775&lt;=24,"13-24 Months",IF(D775&lt;=48,"25-48 Months","49+ Months")))</f>
        <v>0-12 Months</v>
      </c>
      <c r="L775">
        <f>IF(Table134[[#This Row],[Churn]]="Yes",1,0)</f>
        <v>0</v>
      </c>
    </row>
    <row r="776" spans="1:12" x14ac:dyDescent="0.35">
      <c r="A776" t="s">
        <v>798</v>
      </c>
      <c r="B776" t="s">
        <v>17</v>
      </c>
      <c r="C776">
        <v>28</v>
      </c>
      <c r="D776">
        <v>60</v>
      </c>
      <c r="E776" t="s">
        <v>21</v>
      </c>
      <c r="F776" t="s">
        <v>22</v>
      </c>
      <c r="G776" t="s">
        <v>19</v>
      </c>
      <c r="H776">
        <v>107.31</v>
      </c>
      <c r="I776">
        <v>6372.08</v>
      </c>
      <c r="J776" t="s">
        <v>15</v>
      </c>
      <c r="K776" t="str">
        <f>IF(D776&lt;=12,"0-12 Months",IF(D776&lt;=24,"13-24 Months",IF(D776&lt;=48,"25-48 Months","49+ Months")))</f>
        <v>49+ Months</v>
      </c>
      <c r="L776">
        <f>IF(Table134[[#This Row],[Churn]]="Yes",1,0)</f>
        <v>0</v>
      </c>
    </row>
    <row r="777" spans="1:12" x14ac:dyDescent="0.35">
      <c r="A777" t="s">
        <v>799</v>
      </c>
      <c r="B777" t="s">
        <v>11</v>
      </c>
      <c r="C777">
        <v>53</v>
      </c>
      <c r="D777">
        <v>48</v>
      </c>
      <c r="E777" t="s">
        <v>12</v>
      </c>
      <c r="F777" t="s">
        <v>33</v>
      </c>
      <c r="G777" t="s">
        <v>23</v>
      </c>
      <c r="H777">
        <v>24.12</v>
      </c>
      <c r="I777">
        <v>1155.27</v>
      </c>
      <c r="J777" t="s">
        <v>27</v>
      </c>
      <c r="K777" t="str">
        <f>IF(D777&lt;=12,"0-12 Months",IF(D777&lt;=24,"13-24 Months",IF(D777&lt;=48,"25-48 Months","49+ Months")))</f>
        <v>25-48 Months</v>
      </c>
      <c r="L777">
        <f>IF(Table134[[#This Row],[Churn]]="Yes",1,0)</f>
        <v>1</v>
      </c>
    </row>
    <row r="778" spans="1:12" x14ac:dyDescent="0.35">
      <c r="A778" t="s">
        <v>800</v>
      </c>
      <c r="B778" t="s">
        <v>11</v>
      </c>
      <c r="C778">
        <v>66</v>
      </c>
      <c r="D778">
        <v>29</v>
      </c>
      <c r="E778" t="s">
        <v>12</v>
      </c>
      <c r="F778" t="s">
        <v>22</v>
      </c>
      <c r="G778" t="s">
        <v>23</v>
      </c>
      <c r="H778">
        <v>89.55</v>
      </c>
      <c r="I778">
        <v>2450.35</v>
      </c>
      <c r="J778" t="s">
        <v>15</v>
      </c>
      <c r="K778" t="str">
        <f>IF(D778&lt;=12,"0-12 Months",IF(D778&lt;=24,"13-24 Months",IF(D778&lt;=48,"25-48 Months","49+ Months")))</f>
        <v>25-48 Months</v>
      </c>
      <c r="L778">
        <f>IF(Table134[[#This Row],[Churn]]="Yes",1,0)</f>
        <v>0</v>
      </c>
    </row>
    <row r="779" spans="1:12" x14ac:dyDescent="0.35">
      <c r="A779" t="s">
        <v>801</v>
      </c>
      <c r="B779" t="s">
        <v>17</v>
      </c>
      <c r="C779">
        <v>56</v>
      </c>
      <c r="D779">
        <v>10</v>
      </c>
      <c r="E779" t="s">
        <v>21</v>
      </c>
      <c r="F779" t="s">
        <v>33</v>
      </c>
      <c r="G779" t="s">
        <v>23</v>
      </c>
      <c r="H779">
        <v>24.9</v>
      </c>
      <c r="I779">
        <v>228</v>
      </c>
      <c r="J779" t="s">
        <v>15</v>
      </c>
      <c r="K779" t="str">
        <f>IF(D779&lt;=12,"0-12 Months",IF(D779&lt;=24,"13-24 Months",IF(D779&lt;=48,"25-48 Months","49+ Months")))</f>
        <v>0-12 Months</v>
      </c>
      <c r="L779">
        <f>IF(Table134[[#This Row],[Churn]]="Yes",1,0)</f>
        <v>0</v>
      </c>
    </row>
    <row r="780" spans="1:12" x14ac:dyDescent="0.35">
      <c r="A780" t="s">
        <v>802</v>
      </c>
      <c r="B780" t="s">
        <v>17</v>
      </c>
      <c r="C780">
        <v>57</v>
      </c>
      <c r="D780">
        <v>58</v>
      </c>
      <c r="E780" t="s">
        <v>21</v>
      </c>
      <c r="F780" t="s">
        <v>33</v>
      </c>
      <c r="G780" t="s">
        <v>23</v>
      </c>
      <c r="H780">
        <v>125.05</v>
      </c>
      <c r="I780">
        <v>7359.42</v>
      </c>
      <c r="J780" t="s">
        <v>27</v>
      </c>
      <c r="K780" t="str">
        <f>IF(D780&lt;=12,"0-12 Months",IF(D780&lt;=24,"13-24 Months",IF(D780&lt;=48,"25-48 Months","49+ Months")))</f>
        <v>49+ Months</v>
      </c>
      <c r="L780">
        <f>IF(Table134[[#This Row],[Churn]]="Yes",1,0)</f>
        <v>1</v>
      </c>
    </row>
    <row r="781" spans="1:12" x14ac:dyDescent="0.35">
      <c r="A781" t="s">
        <v>803</v>
      </c>
      <c r="B781" t="s">
        <v>11</v>
      </c>
      <c r="C781">
        <v>52</v>
      </c>
      <c r="D781">
        <v>60</v>
      </c>
      <c r="E781" t="s">
        <v>18</v>
      </c>
      <c r="F781" t="s">
        <v>29</v>
      </c>
      <c r="G781" t="s">
        <v>23</v>
      </c>
      <c r="H781">
        <v>61.69</v>
      </c>
      <c r="I781">
        <v>3404.06</v>
      </c>
      <c r="J781" t="s">
        <v>15</v>
      </c>
      <c r="K781" t="str">
        <f>IF(D781&lt;=12,"0-12 Months",IF(D781&lt;=24,"13-24 Months",IF(D781&lt;=48,"25-48 Months","49+ Months")))</f>
        <v>49+ Months</v>
      </c>
      <c r="L781">
        <f>IF(Table134[[#This Row],[Churn]]="Yes",1,0)</f>
        <v>0</v>
      </c>
    </row>
    <row r="782" spans="1:12" x14ac:dyDescent="0.35">
      <c r="A782" t="s">
        <v>804</v>
      </c>
      <c r="B782" t="s">
        <v>11</v>
      </c>
      <c r="C782">
        <v>51</v>
      </c>
      <c r="D782">
        <v>21</v>
      </c>
      <c r="E782" t="s">
        <v>12</v>
      </c>
      <c r="F782" t="s">
        <v>13</v>
      </c>
      <c r="G782" t="s">
        <v>23</v>
      </c>
      <c r="H782">
        <v>93.12</v>
      </c>
      <c r="I782">
        <v>1935.68</v>
      </c>
      <c r="J782" t="s">
        <v>15</v>
      </c>
      <c r="K782" t="str">
        <f>IF(D782&lt;=12,"0-12 Months",IF(D782&lt;=24,"13-24 Months",IF(D782&lt;=48,"25-48 Months","49+ Months")))</f>
        <v>13-24 Months</v>
      </c>
      <c r="L782">
        <f>IF(Table134[[#This Row],[Churn]]="Yes",1,0)</f>
        <v>0</v>
      </c>
    </row>
    <row r="783" spans="1:12" x14ac:dyDescent="0.35">
      <c r="A783" t="s">
        <v>805</v>
      </c>
      <c r="B783" t="s">
        <v>11</v>
      </c>
      <c r="C783">
        <v>64</v>
      </c>
      <c r="D783">
        <v>28</v>
      </c>
      <c r="E783" t="s">
        <v>12</v>
      </c>
      <c r="F783" t="s">
        <v>29</v>
      </c>
      <c r="G783" t="s">
        <v>23</v>
      </c>
      <c r="H783">
        <v>56.33</v>
      </c>
      <c r="I783">
        <v>1716.19</v>
      </c>
      <c r="J783" t="s">
        <v>27</v>
      </c>
      <c r="K783" t="str">
        <f>IF(D783&lt;=12,"0-12 Months",IF(D783&lt;=24,"13-24 Months",IF(D783&lt;=48,"25-48 Months","49+ Months")))</f>
        <v>25-48 Months</v>
      </c>
      <c r="L783">
        <f>IF(Table134[[#This Row],[Churn]]="Yes",1,0)</f>
        <v>1</v>
      </c>
    </row>
    <row r="784" spans="1:12" x14ac:dyDescent="0.35">
      <c r="A784" t="s">
        <v>806</v>
      </c>
      <c r="B784" t="s">
        <v>17</v>
      </c>
      <c r="C784">
        <v>41</v>
      </c>
      <c r="D784">
        <v>34</v>
      </c>
      <c r="E784" t="s">
        <v>12</v>
      </c>
      <c r="F784" t="s">
        <v>22</v>
      </c>
      <c r="G784" t="s">
        <v>14</v>
      </c>
      <c r="H784">
        <v>121.73</v>
      </c>
      <c r="I784">
        <v>4513.66</v>
      </c>
      <c r="J784" t="s">
        <v>15</v>
      </c>
      <c r="K784" t="str">
        <f>IF(D784&lt;=12,"0-12 Months",IF(D784&lt;=24,"13-24 Months",IF(D784&lt;=48,"25-48 Months","49+ Months")))</f>
        <v>25-48 Months</v>
      </c>
      <c r="L784">
        <f>IF(Table134[[#This Row],[Churn]]="Yes",1,0)</f>
        <v>0</v>
      </c>
    </row>
    <row r="785" spans="1:12" x14ac:dyDescent="0.35">
      <c r="A785" t="s">
        <v>807</v>
      </c>
      <c r="B785" t="s">
        <v>17</v>
      </c>
      <c r="C785">
        <v>39</v>
      </c>
      <c r="D785">
        <v>8</v>
      </c>
      <c r="E785" t="s">
        <v>12</v>
      </c>
      <c r="F785" t="s">
        <v>33</v>
      </c>
      <c r="G785" t="s">
        <v>14</v>
      </c>
      <c r="H785">
        <v>135.25</v>
      </c>
      <c r="I785">
        <v>1025.5899999999999</v>
      </c>
      <c r="J785" t="s">
        <v>15</v>
      </c>
      <c r="K785" t="str">
        <f>IF(D785&lt;=12,"0-12 Months",IF(D785&lt;=24,"13-24 Months",IF(D785&lt;=48,"25-48 Months","49+ Months")))</f>
        <v>0-12 Months</v>
      </c>
      <c r="L785">
        <f>IF(Table134[[#This Row],[Churn]]="Yes",1,0)</f>
        <v>0</v>
      </c>
    </row>
    <row r="786" spans="1:12" x14ac:dyDescent="0.35">
      <c r="A786" t="s">
        <v>808</v>
      </c>
      <c r="B786" t="s">
        <v>17</v>
      </c>
      <c r="C786">
        <v>22</v>
      </c>
      <c r="D786">
        <v>59</v>
      </c>
      <c r="E786" t="s">
        <v>12</v>
      </c>
      <c r="F786" t="s">
        <v>29</v>
      </c>
      <c r="G786" t="s">
        <v>19</v>
      </c>
      <c r="H786">
        <v>71.819999999999993</v>
      </c>
      <c r="I786">
        <v>4342.5600000000004</v>
      </c>
      <c r="J786" t="s">
        <v>15</v>
      </c>
      <c r="K786" t="str">
        <f>IF(D786&lt;=12,"0-12 Months",IF(D786&lt;=24,"13-24 Months",IF(D786&lt;=48,"25-48 Months","49+ Months")))</f>
        <v>49+ Months</v>
      </c>
      <c r="L786">
        <f>IF(Table134[[#This Row],[Churn]]="Yes",1,0)</f>
        <v>0</v>
      </c>
    </row>
    <row r="787" spans="1:12" x14ac:dyDescent="0.35">
      <c r="A787" t="s">
        <v>809</v>
      </c>
      <c r="B787" t="s">
        <v>11</v>
      </c>
      <c r="C787">
        <v>50</v>
      </c>
      <c r="D787">
        <v>72</v>
      </c>
      <c r="E787" t="s">
        <v>21</v>
      </c>
      <c r="F787" t="s">
        <v>22</v>
      </c>
      <c r="G787" t="s">
        <v>23</v>
      </c>
      <c r="H787">
        <v>132.18</v>
      </c>
      <c r="I787">
        <v>9467.6200000000008</v>
      </c>
      <c r="J787" t="s">
        <v>15</v>
      </c>
      <c r="K787" t="str">
        <f>IF(D787&lt;=12,"0-12 Months",IF(D787&lt;=24,"13-24 Months",IF(D787&lt;=48,"25-48 Months","49+ Months")))</f>
        <v>49+ Months</v>
      </c>
      <c r="L787">
        <f>IF(Table134[[#This Row],[Churn]]="Yes",1,0)</f>
        <v>0</v>
      </c>
    </row>
    <row r="788" spans="1:12" x14ac:dyDescent="0.35">
      <c r="A788" t="s">
        <v>810</v>
      </c>
      <c r="B788" t="s">
        <v>11</v>
      </c>
      <c r="C788">
        <v>53</v>
      </c>
      <c r="D788">
        <v>49</v>
      </c>
      <c r="E788" t="s">
        <v>12</v>
      </c>
      <c r="F788" t="s">
        <v>22</v>
      </c>
      <c r="G788" t="s">
        <v>23</v>
      </c>
      <c r="H788">
        <v>54.72</v>
      </c>
      <c r="I788">
        <v>2882.74</v>
      </c>
      <c r="J788" t="s">
        <v>15</v>
      </c>
      <c r="K788" t="str">
        <f>IF(D788&lt;=12,"0-12 Months",IF(D788&lt;=24,"13-24 Months",IF(D788&lt;=48,"25-48 Months","49+ Months")))</f>
        <v>49+ Months</v>
      </c>
      <c r="L788">
        <f>IF(Table134[[#This Row],[Churn]]="Yes",1,0)</f>
        <v>0</v>
      </c>
    </row>
    <row r="789" spans="1:12" x14ac:dyDescent="0.35">
      <c r="A789" t="s">
        <v>811</v>
      </c>
      <c r="B789" t="s">
        <v>17</v>
      </c>
      <c r="C789">
        <v>64</v>
      </c>
      <c r="D789">
        <v>17</v>
      </c>
      <c r="E789" t="s">
        <v>18</v>
      </c>
      <c r="F789" t="s">
        <v>13</v>
      </c>
      <c r="G789" t="s">
        <v>23</v>
      </c>
      <c r="H789">
        <v>89.51</v>
      </c>
      <c r="I789">
        <v>1452.11</v>
      </c>
      <c r="J789" t="s">
        <v>15</v>
      </c>
      <c r="K789" t="str">
        <f>IF(D789&lt;=12,"0-12 Months",IF(D789&lt;=24,"13-24 Months",IF(D789&lt;=48,"25-48 Months","49+ Months")))</f>
        <v>13-24 Months</v>
      </c>
      <c r="L789">
        <f>IF(Table134[[#This Row],[Churn]]="Yes",1,0)</f>
        <v>0</v>
      </c>
    </row>
    <row r="790" spans="1:12" x14ac:dyDescent="0.35">
      <c r="A790" t="s">
        <v>812</v>
      </c>
      <c r="B790" t="s">
        <v>17</v>
      </c>
      <c r="C790">
        <v>37</v>
      </c>
      <c r="D790">
        <v>60</v>
      </c>
      <c r="E790" t="s">
        <v>18</v>
      </c>
      <c r="F790" t="s">
        <v>13</v>
      </c>
      <c r="G790" t="s">
        <v>14</v>
      </c>
      <c r="H790">
        <v>131.63999999999999</v>
      </c>
      <c r="I790">
        <v>7114.41</v>
      </c>
      <c r="J790" t="s">
        <v>15</v>
      </c>
      <c r="K790" t="str">
        <f>IF(D790&lt;=12,"0-12 Months",IF(D790&lt;=24,"13-24 Months",IF(D790&lt;=48,"25-48 Months","49+ Months")))</f>
        <v>49+ Months</v>
      </c>
      <c r="L790">
        <f>IF(Table134[[#This Row],[Churn]]="Yes",1,0)</f>
        <v>0</v>
      </c>
    </row>
    <row r="791" spans="1:12" x14ac:dyDescent="0.35">
      <c r="A791" t="s">
        <v>813</v>
      </c>
      <c r="B791" t="s">
        <v>11</v>
      </c>
      <c r="C791">
        <v>36</v>
      </c>
      <c r="D791">
        <v>45</v>
      </c>
      <c r="E791" t="s">
        <v>21</v>
      </c>
      <c r="F791" t="s">
        <v>13</v>
      </c>
      <c r="G791" t="s">
        <v>14</v>
      </c>
      <c r="H791">
        <v>62.36</v>
      </c>
      <c r="I791">
        <v>2616.8200000000002</v>
      </c>
      <c r="J791" t="s">
        <v>15</v>
      </c>
      <c r="K791" t="str">
        <f>IF(D791&lt;=12,"0-12 Months",IF(D791&lt;=24,"13-24 Months",IF(D791&lt;=48,"25-48 Months","49+ Months")))</f>
        <v>25-48 Months</v>
      </c>
      <c r="L791">
        <f>IF(Table134[[#This Row],[Churn]]="Yes",1,0)</f>
        <v>0</v>
      </c>
    </row>
    <row r="792" spans="1:12" x14ac:dyDescent="0.35">
      <c r="A792" t="s">
        <v>814</v>
      </c>
      <c r="B792" t="s">
        <v>17</v>
      </c>
      <c r="C792">
        <v>52</v>
      </c>
      <c r="D792">
        <v>69</v>
      </c>
      <c r="E792" t="s">
        <v>18</v>
      </c>
      <c r="F792" t="s">
        <v>29</v>
      </c>
      <c r="G792" t="s">
        <v>23</v>
      </c>
      <c r="H792">
        <v>144.03</v>
      </c>
      <c r="I792">
        <v>9638.98</v>
      </c>
      <c r="J792" t="s">
        <v>15</v>
      </c>
      <c r="K792" t="str">
        <f>IF(D792&lt;=12,"0-12 Months",IF(D792&lt;=24,"13-24 Months",IF(D792&lt;=48,"25-48 Months","49+ Months")))</f>
        <v>49+ Months</v>
      </c>
      <c r="L792">
        <f>IF(Table134[[#This Row],[Churn]]="Yes",1,0)</f>
        <v>0</v>
      </c>
    </row>
    <row r="793" spans="1:12" x14ac:dyDescent="0.35">
      <c r="A793" t="s">
        <v>815</v>
      </c>
      <c r="B793" t="s">
        <v>17</v>
      </c>
      <c r="C793">
        <v>69</v>
      </c>
      <c r="D793">
        <v>32</v>
      </c>
      <c r="E793" t="s">
        <v>21</v>
      </c>
      <c r="F793" t="s">
        <v>29</v>
      </c>
      <c r="G793" t="s">
        <v>23</v>
      </c>
      <c r="H793">
        <v>35.840000000000003</v>
      </c>
      <c r="I793">
        <v>1104.6099999999999</v>
      </c>
      <c r="J793" t="s">
        <v>27</v>
      </c>
      <c r="K793" t="str">
        <f>IF(D793&lt;=12,"0-12 Months",IF(D793&lt;=24,"13-24 Months",IF(D793&lt;=48,"25-48 Months","49+ Months")))</f>
        <v>25-48 Months</v>
      </c>
      <c r="L793">
        <f>IF(Table134[[#This Row],[Churn]]="Yes",1,0)</f>
        <v>1</v>
      </c>
    </row>
    <row r="794" spans="1:12" x14ac:dyDescent="0.35">
      <c r="A794" t="s">
        <v>816</v>
      </c>
      <c r="B794" t="s">
        <v>11</v>
      </c>
      <c r="C794">
        <v>60</v>
      </c>
      <c r="D794">
        <v>44</v>
      </c>
      <c r="E794" t="s">
        <v>12</v>
      </c>
      <c r="F794" t="s">
        <v>29</v>
      </c>
      <c r="G794" t="s">
        <v>23</v>
      </c>
      <c r="H794">
        <v>22.38</v>
      </c>
      <c r="I794">
        <v>1042.0999999999999</v>
      </c>
      <c r="J794" t="s">
        <v>15</v>
      </c>
      <c r="K794" t="str">
        <f>IF(D794&lt;=12,"0-12 Months",IF(D794&lt;=24,"13-24 Months",IF(D794&lt;=48,"25-48 Months","49+ Months")))</f>
        <v>25-48 Months</v>
      </c>
      <c r="L794">
        <f>IF(Table134[[#This Row],[Churn]]="Yes",1,0)</f>
        <v>0</v>
      </c>
    </row>
    <row r="795" spans="1:12" x14ac:dyDescent="0.35">
      <c r="A795" t="s">
        <v>817</v>
      </c>
      <c r="B795" t="s">
        <v>17</v>
      </c>
      <c r="C795">
        <v>34</v>
      </c>
      <c r="D795">
        <v>65</v>
      </c>
      <c r="E795" t="s">
        <v>12</v>
      </c>
      <c r="F795" t="s">
        <v>13</v>
      </c>
      <c r="G795" t="s">
        <v>14</v>
      </c>
      <c r="H795">
        <v>137.54</v>
      </c>
      <c r="I795">
        <v>9262.9500000000007</v>
      </c>
      <c r="J795" t="s">
        <v>15</v>
      </c>
      <c r="K795" t="str">
        <f>IF(D795&lt;=12,"0-12 Months",IF(D795&lt;=24,"13-24 Months",IF(D795&lt;=48,"25-48 Months","49+ Months")))</f>
        <v>49+ Months</v>
      </c>
      <c r="L795">
        <f>IF(Table134[[#This Row],[Churn]]="Yes",1,0)</f>
        <v>0</v>
      </c>
    </row>
    <row r="796" spans="1:12" x14ac:dyDescent="0.35">
      <c r="A796" t="s">
        <v>818</v>
      </c>
      <c r="B796" t="s">
        <v>11</v>
      </c>
      <c r="C796">
        <v>62</v>
      </c>
      <c r="D796">
        <v>8</v>
      </c>
      <c r="E796" t="s">
        <v>12</v>
      </c>
      <c r="F796" t="s">
        <v>29</v>
      </c>
      <c r="G796" t="s">
        <v>23</v>
      </c>
      <c r="H796">
        <v>28.92</v>
      </c>
      <c r="I796">
        <v>222.09</v>
      </c>
      <c r="J796" t="s">
        <v>27</v>
      </c>
      <c r="K796" t="str">
        <f>IF(D796&lt;=12,"0-12 Months",IF(D796&lt;=24,"13-24 Months",IF(D796&lt;=48,"25-48 Months","49+ Months")))</f>
        <v>0-12 Months</v>
      </c>
      <c r="L796">
        <f>IF(Table134[[#This Row],[Churn]]="Yes",1,0)</f>
        <v>1</v>
      </c>
    </row>
    <row r="797" spans="1:12" x14ac:dyDescent="0.35">
      <c r="A797" t="s">
        <v>819</v>
      </c>
      <c r="B797" t="s">
        <v>11</v>
      </c>
      <c r="C797">
        <v>60</v>
      </c>
      <c r="D797">
        <v>72</v>
      </c>
      <c r="E797" t="s">
        <v>21</v>
      </c>
      <c r="F797" t="s">
        <v>33</v>
      </c>
      <c r="G797" t="s">
        <v>23</v>
      </c>
      <c r="H797">
        <v>148.94999999999999</v>
      </c>
      <c r="I797">
        <v>10633.77</v>
      </c>
      <c r="J797" t="s">
        <v>27</v>
      </c>
      <c r="K797" t="str">
        <f>IF(D797&lt;=12,"0-12 Months",IF(D797&lt;=24,"13-24 Months",IF(D797&lt;=48,"25-48 Months","49+ Months")))</f>
        <v>49+ Months</v>
      </c>
      <c r="L797">
        <f>IF(Table134[[#This Row],[Churn]]="Yes",1,0)</f>
        <v>1</v>
      </c>
    </row>
    <row r="798" spans="1:12" x14ac:dyDescent="0.35">
      <c r="A798" t="s">
        <v>820</v>
      </c>
      <c r="B798" t="s">
        <v>11</v>
      </c>
      <c r="C798">
        <v>51</v>
      </c>
      <c r="D798">
        <v>43</v>
      </c>
      <c r="E798" t="s">
        <v>18</v>
      </c>
      <c r="F798" t="s">
        <v>13</v>
      </c>
      <c r="G798" t="s">
        <v>23</v>
      </c>
      <c r="H798">
        <v>143.68</v>
      </c>
      <c r="I798">
        <v>5678.49</v>
      </c>
      <c r="J798" t="s">
        <v>15</v>
      </c>
      <c r="K798" t="str">
        <f>IF(D798&lt;=12,"0-12 Months",IF(D798&lt;=24,"13-24 Months",IF(D798&lt;=48,"25-48 Months","49+ Months")))</f>
        <v>25-48 Months</v>
      </c>
      <c r="L798">
        <f>IF(Table134[[#This Row],[Churn]]="Yes",1,0)</f>
        <v>0</v>
      </c>
    </row>
    <row r="799" spans="1:12" x14ac:dyDescent="0.35">
      <c r="A799" t="s">
        <v>821</v>
      </c>
      <c r="B799" t="s">
        <v>11</v>
      </c>
      <c r="C799">
        <v>26</v>
      </c>
      <c r="D799">
        <v>1</v>
      </c>
      <c r="E799" t="s">
        <v>12</v>
      </c>
      <c r="F799" t="s">
        <v>22</v>
      </c>
      <c r="G799" t="s">
        <v>19</v>
      </c>
      <c r="H799">
        <v>37.81</v>
      </c>
      <c r="I799">
        <v>40.82</v>
      </c>
      <c r="J799" t="s">
        <v>15</v>
      </c>
      <c r="K799" t="str">
        <f>IF(D799&lt;=12,"0-12 Months",IF(D799&lt;=24,"13-24 Months",IF(D799&lt;=48,"25-48 Months","49+ Months")))</f>
        <v>0-12 Months</v>
      </c>
      <c r="L799">
        <f>IF(Table134[[#This Row],[Churn]]="Yes",1,0)</f>
        <v>0</v>
      </c>
    </row>
    <row r="800" spans="1:12" x14ac:dyDescent="0.35">
      <c r="A800" t="s">
        <v>822</v>
      </c>
      <c r="B800" t="s">
        <v>11</v>
      </c>
      <c r="C800">
        <v>43</v>
      </c>
      <c r="D800">
        <v>51</v>
      </c>
      <c r="E800" t="s">
        <v>18</v>
      </c>
      <c r="F800" t="s">
        <v>13</v>
      </c>
      <c r="G800" t="s">
        <v>14</v>
      </c>
      <c r="H800">
        <v>89.89</v>
      </c>
      <c r="I800">
        <v>4983.62</v>
      </c>
      <c r="J800" t="s">
        <v>15</v>
      </c>
      <c r="K800" t="str">
        <f>IF(D800&lt;=12,"0-12 Months",IF(D800&lt;=24,"13-24 Months",IF(D800&lt;=48,"25-48 Months","49+ Months")))</f>
        <v>49+ Months</v>
      </c>
      <c r="L800">
        <f>IF(Table134[[#This Row],[Churn]]="Yes",1,0)</f>
        <v>0</v>
      </c>
    </row>
    <row r="801" spans="1:12" x14ac:dyDescent="0.35">
      <c r="A801" t="s">
        <v>823</v>
      </c>
      <c r="B801" t="s">
        <v>11</v>
      </c>
      <c r="C801">
        <v>19</v>
      </c>
      <c r="D801">
        <v>24</v>
      </c>
      <c r="E801" t="s">
        <v>21</v>
      </c>
      <c r="F801" t="s">
        <v>13</v>
      </c>
      <c r="G801" t="s">
        <v>19</v>
      </c>
      <c r="H801">
        <v>44.04</v>
      </c>
      <c r="I801">
        <v>1158.3900000000001</v>
      </c>
      <c r="J801" t="s">
        <v>15</v>
      </c>
      <c r="K801" t="str">
        <f>IF(D801&lt;=12,"0-12 Months",IF(D801&lt;=24,"13-24 Months",IF(D801&lt;=48,"25-48 Months","49+ Months")))</f>
        <v>13-24 Months</v>
      </c>
      <c r="L801">
        <f>IF(Table134[[#This Row],[Churn]]="Yes",1,0)</f>
        <v>0</v>
      </c>
    </row>
    <row r="802" spans="1:12" x14ac:dyDescent="0.35">
      <c r="A802" t="s">
        <v>824</v>
      </c>
      <c r="B802" t="s">
        <v>11</v>
      </c>
      <c r="C802">
        <v>70</v>
      </c>
      <c r="D802">
        <v>24</v>
      </c>
      <c r="E802" t="s">
        <v>12</v>
      </c>
      <c r="F802" t="s">
        <v>33</v>
      </c>
      <c r="G802" t="s">
        <v>23</v>
      </c>
      <c r="H802">
        <v>75.66</v>
      </c>
      <c r="I802">
        <v>1949.69</v>
      </c>
      <c r="J802" t="s">
        <v>15</v>
      </c>
      <c r="K802" t="str">
        <f>IF(D802&lt;=12,"0-12 Months",IF(D802&lt;=24,"13-24 Months",IF(D802&lt;=48,"25-48 Months","49+ Months")))</f>
        <v>13-24 Months</v>
      </c>
      <c r="L802">
        <f>IF(Table134[[#This Row],[Churn]]="Yes",1,0)</f>
        <v>0</v>
      </c>
    </row>
    <row r="803" spans="1:12" x14ac:dyDescent="0.35">
      <c r="A803" t="s">
        <v>825</v>
      </c>
      <c r="B803" t="s">
        <v>17</v>
      </c>
      <c r="C803">
        <v>26</v>
      </c>
      <c r="D803">
        <v>17</v>
      </c>
      <c r="E803" t="s">
        <v>18</v>
      </c>
      <c r="F803" t="s">
        <v>29</v>
      </c>
      <c r="G803" t="s">
        <v>19</v>
      </c>
      <c r="H803">
        <v>27.99</v>
      </c>
      <c r="I803">
        <v>444.8</v>
      </c>
      <c r="J803" t="s">
        <v>15</v>
      </c>
      <c r="K803" t="str">
        <f>IF(D803&lt;=12,"0-12 Months",IF(D803&lt;=24,"13-24 Months",IF(D803&lt;=48,"25-48 Months","49+ Months")))</f>
        <v>13-24 Months</v>
      </c>
      <c r="L803">
        <f>IF(Table134[[#This Row],[Churn]]="Yes",1,0)</f>
        <v>0</v>
      </c>
    </row>
    <row r="804" spans="1:12" x14ac:dyDescent="0.35">
      <c r="A804" t="s">
        <v>826</v>
      </c>
      <c r="B804" t="s">
        <v>11</v>
      </c>
      <c r="C804">
        <v>26</v>
      </c>
      <c r="D804">
        <v>5</v>
      </c>
      <c r="E804" t="s">
        <v>12</v>
      </c>
      <c r="F804" t="s">
        <v>29</v>
      </c>
      <c r="G804" t="s">
        <v>19</v>
      </c>
      <c r="H804">
        <v>49.11</v>
      </c>
      <c r="I804">
        <v>223.26</v>
      </c>
      <c r="J804" t="s">
        <v>27</v>
      </c>
      <c r="K804" t="str">
        <f>IF(D804&lt;=12,"0-12 Months",IF(D804&lt;=24,"13-24 Months",IF(D804&lt;=48,"25-48 Months","49+ Months")))</f>
        <v>0-12 Months</v>
      </c>
      <c r="L804">
        <f>IF(Table134[[#This Row],[Churn]]="Yes",1,0)</f>
        <v>1</v>
      </c>
    </row>
    <row r="805" spans="1:12" x14ac:dyDescent="0.35">
      <c r="A805" t="s">
        <v>827</v>
      </c>
      <c r="B805" t="s">
        <v>11</v>
      </c>
      <c r="C805">
        <v>57</v>
      </c>
      <c r="D805">
        <v>20</v>
      </c>
      <c r="E805" t="s">
        <v>12</v>
      </c>
      <c r="F805" t="s">
        <v>22</v>
      </c>
      <c r="G805" t="s">
        <v>23</v>
      </c>
      <c r="H805">
        <v>67.23</v>
      </c>
      <c r="I805">
        <v>1366.01</v>
      </c>
      <c r="J805" t="s">
        <v>15</v>
      </c>
      <c r="K805" t="str">
        <f>IF(D805&lt;=12,"0-12 Months",IF(D805&lt;=24,"13-24 Months",IF(D805&lt;=48,"25-48 Months","49+ Months")))</f>
        <v>13-24 Months</v>
      </c>
      <c r="L805">
        <f>IF(Table134[[#This Row],[Churn]]="Yes",1,0)</f>
        <v>0</v>
      </c>
    </row>
    <row r="806" spans="1:12" x14ac:dyDescent="0.35">
      <c r="A806" t="s">
        <v>828</v>
      </c>
      <c r="B806" t="s">
        <v>17</v>
      </c>
      <c r="C806">
        <v>34</v>
      </c>
      <c r="D806">
        <v>21</v>
      </c>
      <c r="E806" t="s">
        <v>21</v>
      </c>
      <c r="F806" t="s">
        <v>29</v>
      </c>
      <c r="G806" t="s">
        <v>14</v>
      </c>
      <c r="H806">
        <v>77.02</v>
      </c>
      <c r="I806">
        <v>1750.89</v>
      </c>
      <c r="J806" t="s">
        <v>15</v>
      </c>
      <c r="K806" t="str">
        <f>IF(D806&lt;=12,"0-12 Months",IF(D806&lt;=24,"13-24 Months",IF(D806&lt;=48,"25-48 Months","49+ Months")))</f>
        <v>13-24 Months</v>
      </c>
      <c r="L806">
        <f>IF(Table134[[#This Row],[Churn]]="Yes",1,0)</f>
        <v>0</v>
      </c>
    </row>
    <row r="807" spans="1:12" x14ac:dyDescent="0.35">
      <c r="A807" t="s">
        <v>829</v>
      </c>
      <c r="B807" t="s">
        <v>17</v>
      </c>
      <c r="C807">
        <v>18</v>
      </c>
      <c r="D807">
        <v>58</v>
      </c>
      <c r="E807" t="s">
        <v>12</v>
      </c>
      <c r="F807" t="s">
        <v>29</v>
      </c>
      <c r="G807" t="s">
        <v>19</v>
      </c>
      <c r="H807">
        <v>147.07</v>
      </c>
      <c r="I807">
        <v>7979.62</v>
      </c>
      <c r="J807" t="s">
        <v>15</v>
      </c>
      <c r="K807" t="str">
        <f>IF(D807&lt;=12,"0-12 Months",IF(D807&lt;=24,"13-24 Months",IF(D807&lt;=48,"25-48 Months","49+ Months")))</f>
        <v>49+ Months</v>
      </c>
      <c r="L807">
        <f>IF(Table134[[#This Row],[Churn]]="Yes",1,0)</f>
        <v>0</v>
      </c>
    </row>
    <row r="808" spans="1:12" x14ac:dyDescent="0.35">
      <c r="A808" t="s">
        <v>830</v>
      </c>
      <c r="B808" t="s">
        <v>17</v>
      </c>
      <c r="C808">
        <v>42</v>
      </c>
      <c r="D808">
        <v>31</v>
      </c>
      <c r="E808" t="s">
        <v>21</v>
      </c>
      <c r="F808" t="s">
        <v>13</v>
      </c>
      <c r="G808" t="s">
        <v>14</v>
      </c>
      <c r="H808">
        <v>125.02</v>
      </c>
      <c r="I808">
        <v>3493.52</v>
      </c>
      <c r="J808" t="s">
        <v>15</v>
      </c>
      <c r="K808" t="str">
        <f>IF(D808&lt;=12,"0-12 Months",IF(D808&lt;=24,"13-24 Months",IF(D808&lt;=48,"25-48 Months","49+ Months")))</f>
        <v>25-48 Months</v>
      </c>
      <c r="L808">
        <f>IF(Table134[[#This Row],[Churn]]="Yes",1,0)</f>
        <v>0</v>
      </c>
    </row>
    <row r="809" spans="1:12" x14ac:dyDescent="0.35">
      <c r="A809" t="s">
        <v>831</v>
      </c>
      <c r="B809" t="s">
        <v>11</v>
      </c>
      <c r="C809">
        <v>60</v>
      </c>
      <c r="D809">
        <v>11</v>
      </c>
      <c r="E809" t="s">
        <v>12</v>
      </c>
      <c r="F809" t="s">
        <v>29</v>
      </c>
      <c r="G809" t="s">
        <v>23</v>
      </c>
      <c r="H809">
        <v>115.86</v>
      </c>
      <c r="I809">
        <v>1352.33</v>
      </c>
      <c r="J809" t="s">
        <v>27</v>
      </c>
      <c r="K809" t="str">
        <f>IF(D809&lt;=12,"0-12 Months",IF(D809&lt;=24,"13-24 Months",IF(D809&lt;=48,"25-48 Months","49+ Months")))</f>
        <v>0-12 Months</v>
      </c>
      <c r="L809">
        <f>IF(Table134[[#This Row],[Churn]]="Yes",1,0)</f>
        <v>1</v>
      </c>
    </row>
    <row r="810" spans="1:12" x14ac:dyDescent="0.35">
      <c r="A810" t="s">
        <v>832</v>
      </c>
      <c r="B810" t="s">
        <v>17</v>
      </c>
      <c r="C810">
        <v>57</v>
      </c>
      <c r="D810">
        <v>52</v>
      </c>
      <c r="E810" t="s">
        <v>12</v>
      </c>
      <c r="F810" t="s">
        <v>1024</v>
      </c>
      <c r="G810" t="s">
        <v>23</v>
      </c>
      <c r="H810">
        <v>89.82</v>
      </c>
      <c r="I810">
        <v>4275.3100000000004</v>
      </c>
      <c r="J810" t="s">
        <v>15</v>
      </c>
      <c r="K810" t="str">
        <f>IF(D810&lt;=12,"0-12 Months",IF(D810&lt;=24,"13-24 Months",IF(D810&lt;=48,"25-48 Months","49+ Months")))</f>
        <v>49+ Months</v>
      </c>
      <c r="L810">
        <f>IF(Table134[[#This Row],[Churn]]="Yes",1,0)</f>
        <v>0</v>
      </c>
    </row>
    <row r="811" spans="1:12" x14ac:dyDescent="0.35">
      <c r="A811" t="s">
        <v>833</v>
      </c>
      <c r="B811" t="s">
        <v>11</v>
      </c>
      <c r="C811">
        <v>59</v>
      </c>
      <c r="D811">
        <v>15</v>
      </c>
      <c r="E811" t="s">
        <v>18</v>
      </c>
      <c r="F811" t="s">
        <v>29</v>
      </c>
      <c r="G811" t="s">
        <v>23</v>
      </c>
      <c r="H811">
        <v>129.19999999999999</v>
      </c>
      <c r="I811">
        <v>1904.55</v>
      </c>
      <c r="J811" t="s">
        <v>15</v>
      </c>
      <c r="K811" t="str">
        <f>IF(D811&lt;=12,"0-12 Months",IF(D811&lt;=24,"13-24 Months",IF(D811&lt;=48,"25-48 Months","49+ Months")))</f>
        <v>13-24 Months</v>
      </c>
      <c r="L811">
        <f>IF(Table134[[#This Row],[Churn]]="Yes",1,0)</f>
        <v>0</v>
      </c>
    </row>
    <row r="812" spans="1:12" x14ac:dyDescent="0.35">
      <c r="A812" t="s">
        <v>834</v>
      </c>
      <c r="B812" t="s">
        <v>11</v>
      </c>
      <c r="C812">
        <v>42</v>
      </c>
      <c r="D812">
        <v>7</v>
      </c>
      <c r="E812" t="s">
        <v>12</v>
      </c>
      <c r="F812" t="s">
        <v>33</v>
      </c>
      <c r="G812" t="s">
        <v>14</v>
      </c>
      <c r="H812">
        <v>64.11</v>
      </c>
      <c r="I812">
        <v>464.83</v>
      </c>
      <c r="J812" t="s">
        <v>27</v>
      </c>
      <c r="K812" t="str">
        <f>IF(D812&lt;=12,"0-12 Months",IF(D812&lt;=24,"13-24 Months",IF(D812&lt;=48,"25-48 Months","49+ Months")))</f>
        <v>0-12 Months</v>
      </c>
      <c r="L812">
        <f>IF(Table134[[#This Row],[Churn]]="Yes",1,0)</f>
        <v>1</v>
      </c>
    </row>
    <row r="813" spans="1:12" x14ac:dyDescent="0.35">
      <c r="A813" t="s">
        <v>835</v>
      </c>
      <c r="B813" t="s">
        <v>11</v>
      </c>
      <c r="C813">
        <v>56</v>
      </c>
      <c r="D813">
        <v>28</v>
      </c>
      <c r="E813" t="s">
        <v>12</v>
      </c>
      <c r="F813" t="s">
        <v>22</v>
      </c>
      <c r="G813" t="s">
        <v>23</v>
      </c>
      <c r="H813">
        <v>112.16</v>
      </c>
      <c r="I813">
        <v>2975.16</v>
      </c>
      <c r="J813" t="s">
        <v>27</v>
      </c>
      <c r="K813" t="str">
        <f>IF(D813&lt;=12,"0-12 Months",IF(D813&lt;=24,"13-24 Months",IF(D813&lt;=48,"25-48 Months","49+ Months")))</f>
        <v>25-48 Months</v>
      </c>
      <c r="L813">
        <f>IF(Table134[[#This Row],[Churn]]="Yes",1,0)</f>
        <v>1</v>
      </c>
    </row>
    <row r="814" spans="1:12" x14ac:dyDescent="0.35">
      <c r="A814" t="s">
        <v>836</v>
      </c>
      <c r="B814" t="s">
        <v>11</v>
      </c>
      <c r="C814">
        <v>52</v>
      </c>
      <c r="D814">
        <v>51</v>
      </c>
      <c r="E814" t="s">
        <v>12</v>
      </c>
      <c r="F814" t="s">
        <v>22</v>
      </c>
      <c r="G814" t="s">
        <v>23</v>
      </c>
      <c r="H814">
        <v>149.19</v>
      </c>
      <c r="I814">
        <v>6975.59</v>
      </c>
      <c r="J814" t="s">
        <v>15</v>
      </c>
      <c r="K814" t="str">
        <f>IF(D814&lt;=12,"0-12 Months",IF(D814&lt;=24,"13-24 Months",IF(D814&lt;=48,"25-48 Months","49+ Months")))</f>
        <v>49+ Months</v>
      </c>
      <c r="L814">
        <f>IF(Table134[[#This Row],[Churn]]="Yes",1,0)</f>
        <v>0</v>
      </c>
    </row>
    <row r="815" spans="1:12" x14ac:dyDescent="0.35">
      <c r="A815" t="s">
        <v>837</v>
      </c>
      <c r="B815" t="s">
        <v>17</v>
      </c>
      <c r="C815">
        <v>20</v>
      </c>
      <c r="D815">
        <v>58</v>
      </c>
      <c r="E815" t="s">
        <v>18</v>
      </c>
      <c r="F815" t="s">
        <v>22</v>
      </c>
      <c r="G815" t="s">
        <v>19</v>
      </c>
      <c r="H815">
        <v>60.9</v>
      </c>
      <c r="I815">
        <v>3722.95</v>
      </c>
      <c r="J815" t="s">
        <v>15</v>
      </c>
      <c r="K815" t="str">
        <f>IF(D815&lt;=12,"0-12 Months",IF(D815&lt;=24,"13-24 Months",IF(D815&lt;=48,"25-48 Months","49+ Months")))</f>
        <v>49+ Months</v>
      </c>
      <c r="L815">
        <f>IF(Table134[[#This Row],[Churn]]="Yes",1,0)</f>
        <v>0</v>
      </c>
    </row>
    <row r="816" spans="1:12" x14ac:dyDescent="0.35">
      <c r="A816" t="s">
        <v>838</v>
      </c>
      <c r="B816" t="s">
        <v>17</v>
      </c>
      <c r="C816">
        <v>67</v>
      </c>
      <c r="D816">
        <v>5</v>
      </c>
      <c r="E816" t="s">
        <v>12</v>
      </c>
      <c r="F816" t="s">
        <v>33</v>
      </c>
      <c r="G816" t="s">
        <v>23</v>
      </c>
      <c r="H816">
        <v>107.62</v>
      </c>
      <c r="I816">
        <v>552.11</v>
      </c>
      <c r="J816" t="s">
        <v>27</v>
      </c>
      <c r="K816" t="str">
        <f>IF(D816&lt;=12,"0-12 Months",IF(D816&lt;=24,"13-24 Months",IF(D816&lt;=48,"25-48 Months","49+ Months")))</f>
        <v>0-12 Months</v>
      </c>
      <c r="L816">
        <f>IF(Table134[[#This Row],[Churn]]="Yes",1,0)</f>
        <v>1</v>
      </c>
    </row>
    <row r="817" spans="1:12" x14ac:dyDescent="0.35">
      <c r="A817" t="s">
        <v>839</v>
      </c>
      <c r="B817" t="s">
        <v>11</v>
      </c>
      <c r="C817">
        <v>54</v>
      </c>
      <c r="D817">
        <v>5</v>
      </c>
      <c r="E817" t="s">
        <v>12</v>
      </c>
      <c r="F817" t="s">
        <v>29</v>
      </c>
      <c r="G817" t="s">
        <v>23</v>
      </c>
      <c r="H817">
        <v>129.76</v>
      </c>
      <c r="I817">
        <v>712.19</v>
      </c>
      <c r="J817" t="s">
        <v>15</v>
      </c>
      <c r="K817" t="str">
        <f>IF(D817&lt;=12,"0-12 Months",IF(D817&lt;=24,"13-24 Months",IF(D817&lt;=48,"25-48 Months","49+ Months")))</f>
        <v>0-12 Months</v>
      </c>
      <c r="L817">
        <f>IF(Table134[[#This Row],[Churn]]="Yes",1,0)</f>
        <v>0</v>
      </c>
    </row>
    <row r="818" spans="1:12" x14ac:dyDescent="0.35">
      <c r="A818" t="s">
        <v>840</v>
      </c>
      <c r="B818" t="s">
        <v>11</v>
      </c>
      <c r="C818">
        <v>61</v>
      </c>
      <c r="D818">
        <v>8</v>
      </c>
      <c r="E818" t="s">
        <v>12</v>
      </c>
      <c r="F818" t="s">
        <v>33</v>
      </c>
      <c r="G818" t="s">
        <v>23</v>
      </c>
      <c r="H818">
        <v>139.05000000000001</v>
      </c>
      <c r="I818">
        <v>1077.76</v>
      </c>
      <c r="J818" t="s">
        <v>27</v>
      </c>
      <c r="K818" t="str">
        <f>IF(D818&lt;=12,"0-12 Months",IF(D818&lt;=24,"13-24 Months",IF(D818&lt;=48,"25-48 Months","49+ Months")))</f>
        <v>0-12 Months</v>
      </c>
      <c r="L818">
        <f>IF(Table134[[#This Row],[Churn]]="Yes",1,0)</f>
        <v>1</v>
      </c>
    </row>
    <row r="819" spans="1:12" x14ac:dyDescent="0.35">
      <c r="A819" t="s">
        <v>841</v>
      </c>
      <c r="B819" t="s">
        <v>11</v>
      </c>
      <c r="C819">
        <v>61</v>
      </c>
      <c r="D819">
        <v>64</v>
      </c>
      <c r="E819" t="s">
        <v>12</v>
      </c>
      <c r="F819" t="s">
        <v>22</v>
      </c>
      <c r="G819" t="s">
        <v>23</v>
      </c>
      <c r="H819">
        <v>113.33</v>
      </c>
      <c r="I819">
        <v>6617.4</v>
      </c>
      <c r="J819" t="s">
        <v>27</v>
      </c>
      <c r="K819" t="str">
        <f>IF(D819&lt;=12,"0-12 Months",IF(D819&lt;=24,"13-24 Months",IF(D819&lt;=48,"25-48 Months","49+ Months")))</f>
        <v>49+ Months</v>
      </c>
      <c r="L819">
        <f>IF(Table134[[#This Row],[Churn]]="Yes",1,0)</f>
        <v>1</v>
      </c>
    </row>
    <row r="820" spans="1:12" x14ac:dyDescent="0.35">
      <c r="A820" t="s">
        <v>842</v>
      </c>
      <c r="B820" t="s">
        <v>17</v>
      </c>
      <c r="C820">
        <v>68</v>
      </c>
      <c r="D820">
        <v>10</v>
      </c>
      <c r="E820" t="s">
        <v>18</v>
      </c>
      <c r="F820" t="s">
        <v>22</v>
      </c>
      <c r="G820" t="s">
        <v>23</v>
      </c>
      <c r="H820">
        <v>56.87</v>
      </c>
      <c r="I820">
        <v>595.35</v>
      </c>
      <c r="J820" t="s">
        <v>27</v>
      </c>
      <c r="K820" t="str">
        <f>IF(D820&lt;=12,"0-12 Months",IF(D820&lt;=24,"13-24 Months",IF(D820&lt;=48,"25-48 Months","49+ Months")))</f>
        <v>0-12 Months</v>
      </c>
      <c r="L820">
        <f>IF(Table134[[#This Row],[Churn]]="Yes",1,0)</f>
        <v>1</v>
      </c>
    </row>
    <row r="821" spans="1:12" x14ac:dyDescent="0.35">
      <c r="A821" t="s">
        <v>843</v>
      </c>
      <c r="B821" t="s">
        <v>11</v>
      </c>
      <c r="C821">
        <v>47</v>
      </c>
      <c r="D821">
        <v>38</v>
      </c>
      <c r="E821" t="s">
        <v>21</v>
      </c>
      <c r="F821" t="s">
        <v>13</v>
      </c>
      <c r="G821" t="s">
        <v>14</v>
      </c>
      <c r="H821">
        <v>62.42</v>
      </c>
      <c r="I821">
        <v>2382.27</v>
      </c>
      <c r="J821" t="s">
        <v>15</v>
      </c>
      <c r="K821" t="str">
        <f>IF(D821&lt;=12,"0-12 Months",IF(D821&lt;=24,"13-24 Months",IF(D821&lt;=48,"25-48 Months","49+ Months")))</f>
        <v>25-48 Months</v>
      </c>
      <c r="L821">
        <f>IF(Table134[[#This Row],[Churn]]="Yes",1,0)</f>
        <v>0</v>
      </c>
    </row>
    <row r="822" spans="1:12" x14ac:dyDescent="0.35">
      <c r="A822" t="s">
        <v>844</v>
      </c>
      <c r="B822" t="s">
        <v>11</v>
      </c>
      <c r="C822">
        <v>55</v>
      </c>
      <c r="D822">
        <v>8</v>
      </c>
      <c r="E822" t="s">
        <v>12</v>
      </c>
      <c r="F822" t="s">
        <v>29</v>
      </c>
      <c r="G822" t="s">
        <v>23</v>
      </c>
      <c r="H822">
        <v>22.7</v>
      </c>
      <c r="I822">
        <v>171.18</v>
      </c>
      <c r="J822" t="s">
        <v>15</v>
      </c>
      <c r="K822" t="str">
        <f>IF(D822&lt;=12,"0-12 Months",IF(D822&lt;=24,"13-24 Months",IF(D822&lt;=48,"25-48 Months","49+ Months")))</f>
        <v>0-12 Months</v>
      </c>
      <c r="L822">
        <f>IF(Table134[[#This Row],[Churn]]="Yes",1,0)</f>
        <v>0</v>
      </c>
    </row>
    <row r="823" spans="1:12" x14ac:dyDescent="0.35">
      <c r="A823" t="s">
        <v>845</v>
      </c>
      <c r="B823" t="s">
        <v>17</v>
      </c>
      <c r="C823">
        <v>51</v>
      </c>
      <c r="D823">
        <v>25</v>
      </c>
      <c r="E823" t="s">
        <v>21</v>
      </c>
      <c r="F823" t="s">
        <v>13</v>
      </c>
      <c r="G823" t="s">
        <v>23</v>
      </c>
      <c r="H823">
        <v>118.92</v>
      </c>
      <c r="I823">
        <v>3140.52</v>
      </c>
      <c r="J823" t="s">
        <v>15</v>
      </c>
      <c r="K823" t="str">
        <f>IF(D823&lt;=12,"0-12 Months",IF(D823&lt;=24,"13-24 Months",IF(D823&lt;=48,"25-48 Months","49+ Months")))</f>
        <v>25-48 Months</v>
      </c>
      <c r="L823">
        <f>IF(Table134[[#This Row],[Churn]]="Yes",1,0)</f>
        <v>0</v>
      </c>
    </row>
    <row r="824" spans="1:12" x14ac:dyDescent="0.35">
      <c r="A824" t="s">
        <v>846</v>
      </c>
      <c r="B824" t="s">
        <v>17</v>
      </c>
      <c r="C824">
        <v>29</v>
      </c>
      <c r="D824">
        <v>66</v>
      </c>
      <c r="E824" t="s">
        <v>12</v>
      </c>
      <c r="F824" t="s">
        <v>22</v>
      </c>
      <c r="G824" t="s">
        <v>19</v>
      </c>
      <c r="H824">
        <v>25.56</v>
      </c>
      <c r="I824">
        <v>1587.01</v>
      </c>
      <c r="J824" t="s">
        <v>15</v>
      </c>
      <c r="K824" t="str">
        <f>IF(D824&lt;=12,"0-12 Months",IF(D824&lt;=24,"13-24 Months",IF(D824&lt;=48,"25-48 Months","49+ Months")))</f>
        <v>49+ Months</v>
      </c>
      <c r="L824">
        <f>IF(Table134[[#This Row],[Churn]]="Yes",1,0)</f>
        <v>0</v>
      </c>
    </row>
    <row r="825" spans="1:12" x14ac:dyDescent="0.35">
      <c r="A825" t="s">
        <v>847</v>
      </c>
      <c r="B825" t="s">
        <v>11</v>
      </c>
      <c r="C825">
        <v>36</v>
      </c>
      <c r="D825">
        <v>50</v>
      </c>
      <c r="E825" t="s">
        <v>18</v>
      </c>
      <c r="F825" t="s">
        <v>29</v>
      </c>
      <c r="G825" t="s">
        <v>14</v>
      </c>
      <c r="H825">
        <v>132.4</v>
      </c>
      <c r="I825">
        <v>6303.12</v>
      </c>
      <c r="J825" t="s">
        <v>15</v>
      </c>
      <c r="K825" t="str">
        <f>IF(D825&lt;=12,"0-12 Months",IF(D825&lt;=24,"13-24 Months",IF(D825&lt;=48,"25-48 Months","49+ Months")))</f>
        <v>49+ Months</v>
      </c>
      <c r="L825">
        <f>IF(Table134[[#This Row],[Churn]]="Yes",1,0)</f>
        <v>0</v>
      </c>
    </row>
    <row r="826" spans="1:12" x14ac:dyDescent="0.35">
      <c r="A826" t="s">
        <v>848</v>
      </c>
      <c r="B826" t="s">
        <v>17</v>
      </c>
      <c r="C826">
        <v>54</v>
      </c>
      <c r="D826">
        <v>67</v>
      </c>
      <c r="E826" t="s">
        <v>18</v>
      </c>
      <c r="F826" t="s">
        <v>22</v>
      </c>
      <c r="G826" t="s">
        <v>23</v>
      </c>
      <c r="H826">
        <v>35.43</v>
      </c>
      <c r="I826">
        <v>2180.36</v>
      </c>
      <c r="J826" t="s">
        <v>15</v>
      </c>
      <c r="K826" t="str">
        <f>IF(D826&lt;=12,"0-12 Months",IF(D826&lt;=24,"13-24 Months",IF(D826&lt;=48,"25-48 Months","49+ Months")))</f>
        <v>49+ Months</v>
      </c>
      <c r="L826">
        <f>IF(Table134[[#This Row],[Churn]]="Yes",1,0)</f>
        <v>0</v>
      </c>
    </row>
    <row r="827" spans="1:12" x14ac:dyDescent="0.35">
      <c r="A827" t="s">
        <v>849</v>
      </c>
      <c r="B827" t="s">
        <v>17</v>
      </c>
      <c r="C827">
        <v>61</v>
      </c>
      <c r="D827">
        <v>49</v>
      </c>
      <c r="E827" t="s">
        <v>12</v>
      </c>
      <c r="F827" t="s">
        <v>29</v>
      </c>
      <c r="G827" t="s">
        <v>23</v>
      </c>
      <c r="H827">
        <v>42.34</v>
      </c>
      <c r="I827">
        <v>2032.93</v>
      </c>
      <c r="J827" t="s">
        <v>15</v>
      </c>
      <c r="K827" t="str">
        <f>IF(D827&lt;=12,"0-12 Months",IF(D827&lt;=24,"13-24 Months",IF(D827&lt;=48,"25-48 Months","49+ Months")))</f>
        <v>49+ Months</v>
      </c>
      <c r="L827">
        <f>IF(Table134[[#This Row],[Churn]]="Yes",1,0)</f>
        <v>0</v>
      </c>
    </row>
    <row r="828" spans="1:12" x14ac:dyDescent="0.35">
      <c r="A828" t="s">
        <v>850</v>
      </c>
      <c r="B828" t="s">
        <v>11</v>
      </c>
      <c r="C828">
        <v>66</v>
      </c>
      <c r="D828">
        <v>36</v>
      </c>
      <c r="E828" t="s">
        <v>18</v>
      </c>
      <c r="F828" t="s">
        <v>29</v>
      </c>
      <c r="G828" t="s">
        <v>23</v>
      </c>
      <c r="H828">
        <v>81.95</v>
      </c>
      <c r="I828">
        <v>2902.36</v>
      </c>
      <c r="J828" t="s">
        <v>15</v>
      </c>
      <c r="K828" t="str">
        <f>IF(D828&lt;=12,"0-12 Months",IF(D828&lt;=24,"13-24 Months",IF(D828&lt;=48,"25-48 Months","49+ Months")))</f>
        <v>25-48 Months</v>
      </c>
      <c r="L828">
        <f>IF(Table134[[#This Row],[Churn]]="Yes",1,0)</f>
        <v>0</v>
      </c>
    </row>
    <row r="829" spans="1:12" x14ac:dyDescent="0.35">
      <c r="A829" t="s">
        <v>851</v>
      </c>
      <c r="B829" t="s">
        <v>17</v>
      </c>
      <c r="C829">
        <v>34</v>
      </c>
      <c r="D829">
        <v>68</v>
      </c>
      <c r="E829" t="s">
        <v>21</v>
      </c>
      <c r="F829" t="s">
        <v>29</v>
      </c>
      <c r="G829" t="s">
        <v>14</v>
      </c>
      <c r="H829">
        <v>115.92</v>
      </c>
      <c r="I829">
        <v>7905.52</v>
      </c>
      <c r="J829" t="s">
        <v>15</v>
      </c>
      <c r="K829" t="str">
        <f>IF(D829&lt;=12,"0-12 Months",IF(D829&lt;=24,"13-24 Months",IF(D829&lt;=48,"25-48 Months","49+ Months")))</f>
        <v>49+ Months</v>
      </c>
      <c r="L829">
        <f>IF(Table134[[#This Row],[Churn]]="Yes",1,0)</f>
        <v>0</v>
      </c>
    </row>
    <row r="830" spans="1:12" x14ac:dyDescent="0.35">
      <c r="A830" t="s">
        <v>852</v>
      </c>
      <c r="B830" t="s">
        <v>11</v>
      </c>
      <c r="C830">
        <v>27</v>
      </c>
      <c r="D830">
        <v>41</v>
      </c>
      <c r="E830" t="s">
        <v>12</v>
      </c>
      <c r="F830" t="s">
        <v>29</v>
      </c>
      <c r="G830" t="s">
        <v>19</v>
      </c>
      <c r="H830">
        <v>38.07</v>
      </c>
      <c r="I830">
        <v>1626.1</v>
      </c>
      <c r="J830" t="s">
        <v>27</v>
      </c>
      <c r="K830" t="str">
        <f>IF(D830&lt;=12,"0-12 Months",IF(D830&lt;=24,"13-24 Months",IF(D830&lt;=48,"25-48 Months","49+ Months")))</f>
        <v>25-48 Months</v>
      </c>
      <c r="L830">
        <f>IF(Table134[[#This Row],[Churn]]="Yes",1,0)</f>
        <v>1</v>
      </c>
    </row>
    <row r="831" spans="1:12" x14ac:dyDescent="0.35">
      <c r="A831" t="s">
        <v>853</v>
      </c>
      <c r="B831" t="s">
        <v>17</v>
      </c>
      <c r="C831">
        <v>66</v>
      </c>
      <c r="D831">
        <v>62</v>
      </c>
      <c r="E831" t="s">
        <v>12</v>
      </c>
      <c r="F831" t="s">
        <v>13</v>
      </c>
      <c r="G831" t="s">
        <v>23</v>
      </c>
      <c r="H831">
        <v>77.209999999999994</v>
      </c>
      <c r="I831">
        <v>5175.82</v>
      </c>
      <c r="J831" t="s">
        <v>27</v>
      </c>
      <c r="K831" t="str">
        <f>IF(D831&lt;=12,"0-12 Months",IF(D831&lt;=24,"13-24 Months",IF(D831&lt;=48,"25-48 Months","49+ Months")))</f>
        <v>49+ Months</v>
      </c>
      <c r="L831">
        <f>IF(Table134[[#This Row],[Churn]]="Yes",1,0)</f>
        <v>1</v>
      </c>
    </row>
    <row r="832" spans="1:12" x14ac:dyDescent="0.35">
      <c r="A832" t="s">
        <v>854</v>
      </c>
      <c r="B832" t="s">
        <v>11</v>
      </c>
      <c r="C832">
        <v>64</v>
      </c>
      <c r="D832">
        <v>10</v>
      </c>
      <c r="E832" t="s">
        <v>12</v>
      </c>
      <c r="F832" t="s">
        <v>29</v>
      </c>
      <c r="G832" t="s">
        <v>23</v>
      </c>
      <c r="H832">
        <v>82.77</v>
      </c>
      <c r="I832">
        <v>767.73</v>
      </c>
      <c r="J832" t="s">
        <v>27</v>
      </c>
      <c r="K832" t="str">
        <f>IF(D832&lt;=12,"0-12 Months",IF(D832&lt;=24,"13-24 Months",IF(D832&lt;=48,"25-48 Months","49+ Months")))</f>
        <v>0-12 Months</v>
      </c>
      <c r="L832">
        <f>IF(Table134[[#This Row],[Churn]]="Yes",1,0)</f>
        <v>1</v>
      </c>
    </row>
    <row r="833" spans="1:12" x14ac:dyDescent="0.35">
      <c r="A833" t="s">
        <v>855</v>
      </c>
      <c r="B833" t="s">
        <v>11</v>
      </c>
      <c r="C833">
        <v>29</v>
      </c>
      <c r="D833">
        <v>21</v>
      </c>
      <c r="E833" t="s">
        <v>21</v>
      </c>
      <c r="F833" t="s">
        <v>33</v>
      </c>
      <c r="G833" t="s">
        <v>19</v>
      </c>
      <c r="H833">
        <v>47.6</v>
      </c>
      <c r="I833">
        <v>910.51</v>
      </c>
      <c r="J833" t="s">
        <v>15</v>
      </c>
      <c r="K833" t="str">
        <f>IF(D833&lt;=12,"0-12 Months",IF(D833&lt;=24,"13-24 Months",IF(D833&lt;=48,"25-48 Months","49+ Months")))</f>
        <v>13-24 Months</v>
      </c>
      <c r="L833">
        <f>IF(Table134[[#This Row],[Churn]]="Yes",1,0)</f>
        <v>0</v>
      </c>
    </row>
    <row r="834" spans="1:12" x14ac:dyDescent="0.35">
      <c r="A834" t="s">
        <v>856</v>
      </c>
      <c r="B834" t="s">
        <v>11</v>
      </c>
      <c r="C834">
        <v>33</v>
      </c>
      <c r="D834">
        <v>36</v>
      </c>
      <c r="E834" t="s">
        <v>18</v>
      </c>
      <c r="F834" t="s">
        <v>13</v>
      </c>
      <c r="G834" t="s">
        <v>14</v>
      </c>
      <c r="H834">
        <v>35.020000000000003</v>
      </c>
      <c r="I834">
        <v>1139.32</v>
      </c>
      <c r="J834" t="s">
        <v>15</v>
      </c>
      <c r="K834" t="str">
        <f>IF(D834&lt;=12,"0-12 Months",IF(D834&lt;=24,"13-24 Months",IF(D834&lt;=48,"25-48 Months","49+ Months")))</f>
        <v>25-48 Months</v>
      </c>
      <c r="L834">
        <f>IF(Table134[[#This Row],[Churn]]="Yes",1,0)</f>
        <v>0</v>
      </c>
    </row>
    <row r="835" spans="1:12" x14ac:dyDescent="0.35">
      <c r="A835" t="s">
        <v>857</v>
      </c>
      <c r="B835" t="s">
        <v>17</v>
      </c>
      <c r="C835">
        <v>41</v>
      </c>
      <c r="D835">
        <v>12</v>
      </c>
      <c r="E835" t="s">
        <v>21</v>
      </c>
      <c r="F835" t="s">
        <v>29</v>
      </c>
      <c r="G835" t="s">
        <v>14</v>
      </c>
      <c r="H835">
        <v>128.72999999999999</v>
      </c>
      <c r="I835">
        <v>1434.66</v>
      </c>
      <c r="J835" t="s">
        <v>15</v>
      </c>
      <c r="K835" t="str">
        <f>IF(D835&lt;=12,"0-12 Months",IF(D835&lt;=24,"13-24 Months",IF(D835&lt;=48,"25-48 Months","49+ Months")))</f>
        <v>0-12 Months</v>
      </c>
      <c r="L835">
        <f>IF(Table134[[#This Row],[Churn]]="Yes",1,0)</f>
        <v>0</v>
      </c>
    </row>
    <row r="836" spans="1:12" x14ac:dyDescent="0.35">
      <c r="A836" t="s">
        <v>858</v>
      </c>
      <c r="B836" t="s">
        <v>11</v>
      </c>
      <c r="C836">
        <v>36</v>
      </c>
      <c r="D836">
        <v>2</v>
      </c>
      <c r="E836" t="s">
        <v>18</v>
      </c>
      <c r="F836" t="s">
        <v>22</v>
      </c>
      <c r="G836" t="s">
        <v>14</v>
      </c>
      <c r="H836">
        <v>85.32</v>
      </c>
      <c r="I836">
        <v>176.03</v>
      </c>
      <c r="J836" t="s">
        <v>27</v>
      </c>
      <c r="K836" t="str">
        <f>IF(D836&lt;=12,"0-12 Months",IF(D836&lt;=24,"13-24 Months",IF(D836&lt;=48,"25-48 Months","49+ Months")))</f>
        <v>0-12 Months</v>
      </c>
      <c r="L836">
        <f>IF(Table134[[#This Row],[Churn]]="Yes",1,0)</f>
        <v>1</v>
      </c>
    </row>
    <row r="837" spans="1:12" x14ac:dyDescent="0.35">
      <c r="A837" t="s">
        <v>859</v>
      </c>
      <c r="B837" t="s">
        <v>17</v>
      </c>
      <c r="C837">
        <v>25</v>
      </c>
      <c r="D837">
        <v>13</v>
      </c>
      <c r="E837" t="s">
        <v>21</v>
      </c>
      <c r="F837" t="s">
        <v>33</v>
      </c>
      <c r="G837" t="s">
        <v>19</v>
      </c>
      <c r="H837">
        <v>21.87</v>
      </c>
      <c r="I837">
        <v>297.24</v>
      </c>
      <c r="J837" t="s">
        <v>15</v>
      </c>
      <c r="K837" t="str">
        <f>IF(D837&lt;=12,"0-12 Months",IF(D837&lt;=24,"13-24 Months",IF(D837&lt;=48,"25-48 Months","49+ Months")))</f>
        <v>13-24 Months</v>
      </c>
      <c r="L837">
        <f>IF(Table134[[#This Row],[Churn]]="Yes",1,0)</f>
        <v>0</v>
      </c>
    </row>
    <row r="838" spans="1:12" x14ac:dyDescent="0.35">
      <c r="A838" t="s">
        <v>860</v>
      </c>
      <c r="B838" t="s">
        <v>11</v>
      </c>
      <c r="C838">
        <v>48</v>
      </c>
      <c r="D838">
        <v>53</v>
      </c>
      <c r="E838" t="s">
        <v>18</v>
      </c>
      <c r="F838" t="s">
        <v>22</v>
      </c>
      <c r="G838" t="s">
        <v>14</v>
      </c>
      <c r="H838">
        <v>124.39</v>
      </c>
      <c r="I838">
        <v>6970.44</v>
      </c>
      <c r="J838" t="s">
        <v>15</v>
      </c>
      <c r="K838" t="str">
        <f>IF(D838&lt;=12,"0-12 Months",IF(D838&lt;=24,"13-24 Months",IF(D838&lt;=48,"25-48 Months","49+ Months")))</f>
        <v>49+ Months</v>
      </c>
      <c r="L838">
        <f>IF(Table134[[#This Row],[Churn]]="Yes",1,0)</f>
        <v>0</v>
      </c>
    </row>
    <row r="839" spans="1:12" x14ac:dyDescent="0.35">
      <c r="A839" t="s">
        <v>861</v>
      </c>
      <c r="B839" t="s">
        <v>11</v>
      </c>
      <c r="C839">
        <v>38</v>
      </c>
      <c r="D839">
        <v>32</v>
      </c>
      <c r="E839" t="s">
        <v>21</v>
      </c>
      <c r="F839" t="s">
        <v>29</v>
      </c>
      <c r="G839" t="s">
        <v>14</v>
      </c>
      <c r="H839">
        <v>147.5</v>
      </c>
      <c r="I839">
        <v>4478.0600000000004</v>
      </c>
      <c r="J839" t="s">
        <v>15</v>
      </c>
      <c r="K839" t="str">
        <f>IF(D839&lt;=12,"0-12 Months",IF(D839&lt;=24,"13-24 Months",IF(D839&lt;=48,"25-48 Months","49+ Months")))</f>
        <v>25-48 Months</v>
      </c>
      <c r="L839">
        <f>IF(Table134[[#This Row],[Churn]]="Yes",1,0)</f>
        <v>0</v>
      </c>
    </row>
    <row r="840" spans="1:12" x14ac:dyDescent="0.35">
      <c r="A840" t="s">
        <v>862</v>
      </c>
      <c r="B840" t="s">
        <v>17</v>
      </c>
      <c r="C840">
        <v>34</v>
      </c>
      <c r="D840">
        <v>16</v>
      </c>
      <c r="E840" t="s">
        <v>12</v>
      </c>
      <c r="F840" t="s">
        <v>33</v>
      </c>
      <c r="G840" t="s">
        <v>14</v>
      </c>
      <c r="H840">
        <v>98.77</v>
      </c>
      <c r="I840">
        <v>1518.97</v>
      </c>
      <c r="J840" t="s">
        <v>15</v>
      </c>
      <c r="K840" t="str">
        <f>IF(D840&lt;=12,"0-12 Months",IF(D840&lt;=24,"13-24 Months",IF(D840&lt;=48,"25-48 Months","49+ Months")))</f>
        <v>13-24 Months</v>
      </c>
      <c r="L840">
        <f>IF(Table134[[#This Row],[Churn]]="Yes",1,0)</f>
        <v>0</v>
      </c>
    </row>
    <row r="841" spans="1:12" x14ac:dyDescent="0.35">
      <c r="A841" t="s">
        <v>863</v>
      </c>
      <c r="B841" t="s">
        <v>11</v>
      </c>
      <c r="C841">
        <v>40</v>
      </c>
      <c r="D841">
        <v>32</v>
      </c>
      <c r="E841" t="s">
        <v>21</v>
      </c>
      <c r="F841" t="s">
        <v>22</v>
      </c>
      <c r="G841" t="s">
        <v>14</v>
      </c>
      <c r="H841">
        <v>85.48</v>
      </c>
      <c r="I841">
        <v>2726.13</v>
      </c>
      <c r="J841" t="s">
        <v>15</v>
      </c>
      <c r="K841" t="str">
        <f>IF(D841&lt;=12,"0-12 Months",IF(D841&lt;=24,"13-24 Months",IF(D841&lt;=48,"25-48 Months","49+ Months")))</f>
        <v>25-48 Months</v>
      </c>
      <c r="L841">
        <f>IF(Table134[[#This Row],[Churn]]="Yes",1,0)</f>
        <v>0</v>
      </c>
    </row>
    <row r="842" spans="1:12" x14ac:dyDescent="0.35">
      <c r="A842" t="s">
        <v>864</v>
      </c>
      <c r="B842" t="s">
        <v>11</v>
      </c>
      <c r="C842">
        <v>54</v>
      </c>
      <c r="D842">
        <v>32</v>
      </c>
      <c r="E842" t="s">
        <v>18</v>
      </c>
      <c r="F842" t="s">
        <v>29</v>
      </c>
      <c r="G842" t="s">
        <v>23</v>
      </c>
      <c r="H842">
        <v>134.19</v>
      </c>
      <c r="I842">
        <v>3918.93</v>
      </c>
      <c r="J842" t="s">
        <v>15</v>
      </c>
      <c r="K842" t="str">
        <f>IF(D842&lt;=12,"0-12 Months",IF(D842&lt;=24,"13-24 Months",IF(D842&lt;=48,"25-48 Months","49+ Months")))</f>
        <v>25-48 Months</v>
      </c>
      <c r="L842">
        <f>IF(Table134[[#This Row],[Churn]]="Yes",1,0)</f>
        <v>0</v>
      </c>
    </row>
    <row r="843" spans="1:12" x14ac:dyDescent="0.35">
      <c r="A843" t="s">
        <v>865</v>
      </c>
      <c r="B843" t="s">
        <v>17</v>
      </c>
      <c r="C843">
        <v>33</v>
      </c>
      <c r="D843">
        <v>11</v>
      </c>
      <c r="E843" t="s">
        <v>12</v>
      </c>
      <c r="F843" t="s">
        <v>29</v>
      </c>
      <c r="G843" t="s">
        <v>14</v>
      </c>
      <c r="H843">
        <v>143.83000000000001</v>
      </c>
      <c r="I843">
        <v>1617.3</v>
      </c>
      <c r="J843" t="s">
        <v>15</v>
      </c>
      <c r="K843" t="str">
        <f>IF(D843&lt;=12,"0-12 Months",IF(D843&lt;=24,"13-24 Months",IF(D843&lt;=48,"25-48 Months","49+ Months")))</f>
        <v>0-12 Months</v>
      </c>
      <c r="L843">
        <f>IF(Table134[[#This Row],[Churn]]="Yes",1,0)</f>
        <v>0</v>
      </c>
    </row>
    <row r="844" spans="1:12" x14ac:dyDescent="0.35">
      <c r="A844" t="s">
        <v>866</v>
      </c>
      <c r="B844" t="s">
        <v>11</v>
      </c>
      <c r="C844">
        <v>23</v>
      </c>
      <c r="D844">
        <v>10</v>
      </c>
      <c r="E844" t="s">
        <v>18</v>
      </c>
      <c r="F844" t="s">
        <v>13</v>
      </c>
      <c r="G844" t="s">
        <v>19</v>
      </c>
      <c r="H844">
        <v>118.09</v>
      </c>
      <c r="I844">
        <v>1295.1500000000001</v>
      </c>
      <c r="J844" t="s">
        <v>15</v>
      </c>
      <c r="K844" t="str">
        <f>IF(D844&lt;=12,"0-12 Months",IF(D844&lt;=24,"13-24 Months",IF(D844&lt;=48,"25-48 Months","49+ Months")))</f>
        <v>0-12 Months</v>
      </c>
      <c r="L844">
        <f>IF(Table134[[#This Row],[Churn]]="Yes",1,0)</f>
        <v>0</v>
      </c>
    </row>
    <row r="845" spans="1:12" x14ac:dyDescent="0.35">
      <c r="A845" t="s">
        <v>867</v>
      </c>
      <c r="B845" t="s">
        <v>11</v>
      </c>
      <c r="C845">
        <v>25</v>
      </c>
      <c r="D845">
        <v>15</v>
      </c>
      <c r="E845" t="s">
        <v>12</v>
      </c>
      <c r="F845" t="s">
        <v>29</v>
      </c>
      <c r="G845" t="s">
        <v>19</v>
      </c>
      <c r="H845">
        <v>77.91</v>
      </c>
      <c r="I845">
        <v>1136.1199999999999</v>
      </c>
      <c r="J845" t="s">
        <v>27</v>
      </c>
      <c r="K845" t="str">
        <f>IF(D845&lt;=12,"0-12 Months",IF(D845&lt;=24,"13-24 Months",IF(D845&lt;=48,"25-48 Months","49+ Months")))</f>
        <v>13-24 Months</v>
      </c>
      <c r="L845">
        <f>IF(Table134[[#This Row],[Churn]]="Yes",1,0)</f>
        <v>1</v>
      </c>
    </row>
    <row r="846" spans="1:12" x14ac:dyDescent="0.35">
      <c r="A846" t="s">
        <v>868</v>
      </c>
      <c r="B846" t="s">
        <v>11</v>
      </c>
      <c r="C846">
        <v>42</v>
      </c>
      <c r="D846">
        <v>17</v>
      </c>
      <c r="E846" t="s">
        <v>12</v>
      </c>
      <c r="F846" t="s">
        <v>33</v>
      </c>
      <c r="G846" t="s">
        <v>14</v>
      </c>
      <c r="H846">
        <v>96.99</v>
      </c>
      <c r="I846">
        <v>1732.21</v>
      </c>
      <c r="J846" t="s">
        <v>27</v>
      </c>
      <c r="K846" t="str">
        <f>IF(D846&lt;=12,"0-12 Months",IF(D846&lt;=24,"13-24 Months",IF(D846&lt;=48,"25-48 Months","49+ Months")))</f>
        <v>13-24 Months</v>
      </c>
      <c r="L846">
        <f>IF(Table134[[#This Row],[Churn]]="Yes",1,0)</f>
        <v>1</v>
      </c>
    </row>
    <row r="847" spans="1:12" x14ac:dyDescent="0.35">
      <c r="A847" t="s">
        <v>869</v>
      </c>
      <c r="B847" t="s">
        <v>11</v>
      </c>
      <c r="C847">
        <v>35</v>
      </c>
      <c r="D847">
        <v>40</v>
      </c>
      <c r="E847" t="s">
        <v>18</v>
      </c>
      <c r="F847" t="s">
        <v>13</v>
      </c>
      <c r="G847" t="s">
        <v>14</v>
      </c>
      <c r="H847">
        <v>111.12</v>
      </c>
      <c r="I847">
        <v>4444.83</v>
      </c>
      <c r="J847" t="s">
        <v>15</v>
      </c>
      <c r="K847" t="str">
        <f>IF(D847&lt;=12,"0-12 Months",IF(D847&lt;=24,"13-24 Months",IF(D847&lt;=48,"25-48 Months","49+ Months")))</f>
        <v>25-48 Months</v>
      </c>
      <c r="L847">
        <f>IF(Table134[[#This Row],[Churn]]="Yes",1,0)</f>
        <v>0</v>
      </c>
    </row>
    <row r="848" spans="1:12" x14ac:dyDescent="0.35">
      <c r="A848" t="s">
        <v>870</v>
      </c>
      <c r="B848" t="s">
        <v>17</v>
      </c>
      <c r="C848">
        <v>42</v>
      </c>
      <c r="D848">
        <v>18</v>
      </c>
      <c r="E848" t="s">
        <v>12</v>
      </c>
      <c r="F848" t="s">
        <v>33</v>
      </c>
      <c r="G848" t="s">
        <v>14</v>
      </c>
      <c r="H848">
        <v>45.26</v>
      </c>
      <c r="I848">
        <v>754.04</v>
      </c>
      <c r="J848" t="s">
        <v>27</v>
      </c>
      <c r="K848" t="str">
        <f>IF(D848&lt;=12,"0-12 Months",IF(D848&lt;=24,"13-24 Months",IF(D848&lt;=48,"25-48 Months","49+ Months")))</f>
        <v>13-24 Months</v>
      </c>
      <c r="L848">
        <f>IF(Table134[[#This Row],[Churn]]="Yes",1,0)</f>
        <v>1</v>
      </c>
    </row>
    <row r="849" spans="1:12" x14ac:dyDescent="0.35">
      <c r="A849" t="s">
        <v>871</v>
      </c>
      <c r="B849" t="s">
        <v>17</v>
      </c>
      <c r="C849">
        <v>29</v>
      </c>
      <c r="D849">
        <v>55</v>
      </c>
      <c r="E849" t="s">
        <v>12</v>
      </c>
      <c r="F849" t="s">
        <v>13</v>
      </c>
      <c r="G849" t="s">
        <v>19</v>
      </c>
      <c r="H849">
        <v>83.07</v>
      </c>
      <c r="I849">
        <v>4368.3900000000003</v>
      </c>
      <c r="J849" t="s">
        <v>15</v>
      </c>
      <c r="K849" t="str">
        <f>IF(D849&lt;=12,"0-12 Months",IF(D849&lt;=24,"13-24 Months",IF(D849&lt;=48,"25-48 Months","49+ Months")))</f>
        <v>49+ Months</v>
      </c>
      <c r="L849">
        <f>IF(Table134[[#This Row],[Churn]]="Yes",1,0)</f>
        <v>0</v>
      </c>
    </row>
    <row r="850" spans="1:12" x14ac:dyDescent="0.35">
      <c r="A850" t="s">
        <v>872</v>
      </c>
      <c r="B850" t="s">
        <v>11</v>
      </c>
      <c r="C850">
        <v>32</v>
      </c>
      <c r="D850">
        <v>25</v>
      </c>
      <c r="E850" t="s">
        <v>12</v>
      </c>
      <c r="F850" t="s">
        <v>29</v>
      </c>
      <c r="G850" t="s">
        <v>14</v>
      </c>
      <c r="H850">
        <v>127.88</v>
      </c>
      <c r="I850">
        <v>3069.04</v>
      </c>
      <c r="J850" t="s">
        <v>27</v>
      </c>
      <c r="K850" t="str">
        <f>IF(D850&lt;=12,"0-12 Months",IF(D850&lt;=24,"13-24 Months",IF(D850&lt;=48,"25-48 Months","49+ Months")))</f>
        <v>25-48 Months</v>
      </c>
      <c r="L850">
        <f>IF(Table134[[#This Row],[Churn]]="Yes",1,0)</f>
        <v>1</v>
      </c>
    </row>
    <row r="851" spans="1:12" x14ac:dyDescent="0.35">
      <c r="A851" t="s">
        <v>873</v>
      </c>
      <c r="B851" t="s">
        <v>17</v>
      </c>
      <c r="C851">
        <v>43</v>
      </c>
      <c r="D851">
        <v>59</v>
      </c>
      <c r="E851" t="s">
        <v>18</v>
      </c>
      <c r="F851" t="s">
        <v>29</v>
      </c>
      <c r="G851" t="s">
        <v>14</v>
      </c>
      <c r="H851">
        <v>105.11</v>
      </c>
      <c r="I851">
        <v>5624.01</v>
      </c>
      <c r="J851" t="s">
        <v>15</v>
      </c>
      <c r="K851" t="str">
        <f>IF(D851&lt;=12,"0-12 Months",IF(D851&lt;=24,"13-24 Months",IF(D851&lt;=48,"25-48 Months","49+ Months")))</f>
        <v>49+ Months</v>
      </c>
      <c r="L851">
        <f>IF(Table134[[#This Row],[Churn]]="Yes",1,0)</f>
        <v>0</v>
      </c>
    </row>
    <row r="852" spans="1:12" x14ac:dyDescent="0.35">
      <c r="A852" t="s">
        <v>874</v>
      </c>
      <c r="B852" t="s">
        <v>11</v>
      </c>
      <c r="C852">
        <v>58</v>
      </c>
      <c r="D852">
        <v>22</v>
      </c>
      <c r="E852" t="s">
        <v>12</v>
      </c>
      <c r="F852" t="s">
        <v>13</v>
      </c>
      <c r="G852" t="s">
        <v>23</v>
      </c>
      <c r="H852">
        <v>73.459999999999994</v>
      </c>
      <c r="I852">
        <v>1659.73</v>
      </c>
      <c r="J852" t="s">
        <v>15</v>
      </c>
      <c r="K852" t="str">
        <f>IF(D852&lt;=12,"0-12 Months",IF(D852&lt;=24,"13-24 Months",IF(D852&lt;=48,"25-48 Months","49+ Months")))</f>
        <v>13-24 Months</v>
      </c>
      <c r="L852">
        <f>IF(Table134[[#This Row],[Churn]]="Yes",1,0)</f>
        <v>0</v>
      </c>
    </row>
    <row r="853" spans="1:12" x14ac:dyDescent="0.35">
      <c r="A853" t="s">
        <v>875</v>
      </c>
      <c r="B853" t="s">
        <v>17</v>
      </c>
      <c r="C853">
        <v>62</v>
      </c>
      <c r="D853">
        <v>30</v>
      </c>
      <c r="E853" t="s">
        <v>18</v>
      </c>
      <c r="F853" t="s">
        <v>22</v>
      </c>
      <c r="G853" t="s">
        <v>23</v>
      </c>
      <c r="H853">
        <v>106.24</v>
      </c>
      <c r="I853">
        <v>3416</v>
      </c>
      <c r="J853" t="s">
        <v>15</v>
      </c>
      <c r="K853" t="str">
        <f>IF(D853&lt;=12,"0-12 Months",IF(D853&lt;=24,"13-24 Months",IF(D853&lt;=48,"25-48 Months","49+ Months")))</f>
        <v>25-48 Months</v>
      </c>
      <c r="L853">
        <f>IF(Table134[[#This Row],[Churn]]="Yes",1,0)</f>
        <v>0</v>
      </c>
    </row>
    <row r="854" spans="1:12" x14ac:dyDescent="0.35">
      <c r="A854" t="s">
        <v>876</v>
      </c>
      <c r="B854" t="s">
        <v>11</v>
      </c>
      <c r="C854">
        <v>43</v>
      </c>
      <c r="D854">
        <v>44</v>
      </c>
      <c r="E854" t="s">
        <v>12</v>
      </c>
      <c r="F854" t="s">
        <v>22</v>
      </c>
      <c r="G854" t="s">
        <v>14</v>
      </c>
      <c r="H854">
        <v>35.369999999999997</v>
      </c>
      <c r="I854">
        <v>1507.96</v>
      </c>
      <c r="J854" t="s">
        <v>15</v>
      </c>
      <c r="K854" t="str">
        <f>IF(D854&lt;=12,"0-12 Months",IF(D854&lt;=24,"13-24 Months",IF(D854&lt;=48,"25-48 Months","49+ Months")))</f>
        <v>25-48 Months</v>
      </c>
      <c r="L854">
        <f>IF(Table134[[#This Row],[Churn]]="Yes",1,0)</f>
        <v>0</v>
      </c>
    </row>
    <row r="855" spans="1:12" x14ac:dyDescent="0.35">
      <c r="A855" t="s">
        <v>877</v>
      </c>
      <c r="B855" t="s">
        <v>11</v>
      </c>
      <c r="C855">
        <v>64</v>
      </c>
      <c r="D855">
        <v>32</v>
      </c>
      <c r="E855" t="s">
        <v>18</v>
      </c>
      <c r="F855" t="s">
        <v>29</v>
      </c>
      <c r="G855" t="s">
        <v>23</v>
      </c>
      <c r="H855">
        <v>72.19</v>
      </c>
      <c r="I855">
        <v>2259.39</v>
      </c>
      <c r="J855" t="s">
        <v>15</v>
      </c>
      <c r="K855" t="str">
        <f>IF(D855&lt;=12,"0-12 Months",IF(D855&lt;=24,"13-24 Months",IF(D855&lt;=48,"25-48 Months","49+ Months")))</f>
        <v>25-48 Months</v>
      </c>
      <c r="L855">
        <f>IF(Table134[[#This Row],[Churn]]="Yes",1,0)</f>
        <v>0</v>
      </c>
    </row>
    <row r="856" spans="1:12" x14ac:dyDescent="0.35">
      <c r="A856" t="s">
        <v>878</v>
      </c>
      <c r="B856" t="s">
        <v>11</v>
      </c>
      <c r="C856">
        <v>49</v>
      </c>
      <c r="D856">
        <v>51</v>
      </c>
      <c r="E856" t="s">
        <v>18</v>
      </c>
      <c r="F856" t="s">
        <v>29</v>
      </c>
      <c r="G856" t="s">
        <v>14</v>
      </c>
      <c r="H856">
        <v>123.11</v>
      </c>
      <c r="I856">
        <v>6769.62</v>
      </c>
      <c r="J856" t="s">
        <v>15</v>
      </c>
      <c r="K856" t="str">
        <f>IF(D856&lt;=12,"0-12 Months",IF(D856&lt;=24,"13-24 Months",IF(D856&lt;=48,"25-48 Months","49+ Months")))</f>
        <v>49+ Months</v>
      </c>
      <c r="L856">
        <f>IF(Table134[[#This Row],[Churn]]="Yes",1,0)</f>
        <v>0</v>
      </c>
    </row>
    <row r="857" spans="1:12" x14ac:dyDescent="0.35">
      <c r="A857" t="s">
        <v>879</v>
      </c>
      <c r="B857" t="s">
        <v>11</v>
      </c>
      <c r="C857">
        <v>27</v>
      </c>
      <c r="D857">
        <v>46</v>
      </c>
      <c r="E857" t="s">
        <v>12</v>
      </c>
      <c r="F857" t="s">
        <v>29</v>
      </c>
      <c r="G857" t="s">
        <v>19</v>
      </c>
      <c r="H857">
        <v>48.67</v>
      </c>
      <c r="I857">
        <v>2379.2399999999998</v>
      </c>
      <c r="J857" t="s">
        <v>27</v>
      </c>
      <c r="K857" t="str">
        <f>IF(D857&lt;=12,"0-12 Months",IF(D857&lt;=24,"13-24 Months",IF(D857&lt;=48,"25-48 Months","49+ Months")))</f>
        <v>25-48 Months</v>
      </c>
      <c r="L857">
        <f>IF(Table134[[#This Row],[Churn]]="Yes",1,0)</f>
        <v>1</v>
      </c>
    </row>
    <row r="858" spans="1:12" x14ac:dyDescent="0.35">
      <c r="A858" t="s">
        <v>880</v>
      </c>
      <c r="B858" t="s">
        <v>11</v>
      </c>
      <c r="C858">
        <v>33</v>
      </c>
      <c r="D858">
        <v>21</v>
      </c>
      <c r="E858" t="s">
        <v>12</v>
      </c>
      <c r="F858" t="s">
        <v>22</v>
      </c>
      <c r="G858" t="s">
        <v>14</v>
      </c>
      <c r="H858">
        <v>44.17</v>
      </c>
      <c r="I858">
        <v>967.45</v>
      </c>
      <c r="J858" t="s">
        <v>15</v>
      </c>
      <c r="K858" t="str">
        <f>IF(D858&lt;=12,"0-12 Months",IF(D858&lt;=24,"13-24 Months",IF(D858&lt;=48,"25-48 Months","49+ Months")))</f>
        <v>13-24 Months</v>
      </c>
      <c r="L858">
        <f>IF(Table134[[#This Row],[Churn]]="Yes",1,0)</f>
        <v>0</v>
      </c>
    </row>
    <row r="859" spans="1:12" x14ac:dyDescent="0.35">
      <c r="A859" t="s">
        <v>881</v>
      </c>
      <c r="B859" t="s">
        <v>11</v>
      </c>
      <c r="C859">
        <v>24</v>
      </c>
      <c r="D859">
        <v>32</v>
      </c>
      <c r="E859" t="s">
        <v>12</v>
      </c>
      <c r="F859" t="s">
        <v>29</v>
      </c>
      <c r="G859" t="s">
        <v>19</v>
      </c>
      <c r="H859">
        <v>143.61000000000001</v>
      </c>
      <c r="I859">
        <v>4364.6400000000003</v>
      </c>
      <c r="J859" t="s">
        <v>27</v>
      </c>
      <c r="K859" t="str">
        <f>IF(D859&lt;=12,"0-12 Months",IF(D859&lt;=24,"13-24 Months",IF(D859&lt;=48,"25-48 Months","49+ Months")))</f>
        <v>25-48 Months</v>
      </c>
      <c r="L859">
        <f>IF(Table134[[#This Row],[Churn]]="Yes",1,0)</f>
        <v>1</v>
      </c>
    </row>
    <row r="860" spans="1:12" x14ac:dyDescent="0.35">
      <c r="A860" t="s">
        <v>882</v>
      </c>
      <c r="B860" t="s">
        <v>17</v>
      </c>
      <c r="C860">
        <v>34</v>
      </c>
      <c r="D860">
        <v>39</v>
      </c>
      <c r="E860" t="s">
        <v>21</v>
      </c>
      <c r="F860" t="s">
        <v>13</v>
      </c>
      <c r="G860" t="s">
        <v>14</v>
      </c>
      <c r="H860">
        <v>47.29</v>
      </c>
      <c r="I860">
        <v>1995.62</v>
      </c>
      <c r="J860" t="s">
        <v>15</v>
      </c>
      <c r="K860" t="str">
        <f>IF(D860&lt;=12,"0-12 Months",IF(D860&lt;=24,"13-24 Months",IF(D860&lt;=48,"25-48 Months","49+ Months")))</f>
        <v>25-48 Months</v>
      </c>
      <c r="L860">
        <f>IF(Table134[[#This Row],[Churn]]="Yes",1,0)</f>
        <v>0</v>
      </c>
    </row>
    <row r="861" spans="1:12" x14ac:dyDescent="0.35">
      <c r="A861" t="s">
        <v>883</v>
      </c>
      <c r="B861" t="s">
        <v>11</v>
      </c>
      <c r="C861">
        <v>40</v>
      </c>
      <c r="D861">
        <v>12</v>
      </c>
      <c r="E861" t="s">
        <v>12</v>
      </c>
      <c r="F861" t="s">
        <v>22</v>
      </c>
      <c r="G861" t="s">
        <v>14</v>
      </c>
      <c r="H861">
        <v>53.92</v>
      </c>
      <c r="I861">
        <v>602.32000000000005</v>
      </c>
      <c r="J861" t="s">
        <v>15</v>
      </c>
      <c r="K861" t="str">
        <f>IF(D861&lt;=12,"0-12 Months",IF(D861&lt;=24,"13-24 Months",IF(D861&lt;=48,"25-48 Months","49+ Months")))</f>
        <v>0-12 Months</v>
      </c>
      <c r="L861">
        <f>IF(Table134[[#This Row],[Churn]]="Yes",1,0)</f>
        <v>0</v>
      </c>
    </row>
    <row r="862" spans="1:12" x14ac:dyDescent="0.35">
      <c r="A862" t="s">
        <v>884</v>
      </c>
      <c r="B862" t="s">
        <v>17</v>
      </c>
      <c r="C862">
        <v>43</v>
      </c>
      <c r="D862">
        <v>47</v>
      </c>
      <c r="E862" t="s">
        <v>12</v>
      </c>
      <c r="F862" t="s">
        <v>33</v>
      </c>
      <c r="G862" t="s">
        <v>14</v>
      </c>
      <c r="H862">
        <v>146.05000000000001</v>
      </c>
      <c r="I862">
        <v>7038.39</v>
      </c>
      <c r="J862" t="s">
        <v>15</v>
      </c>
      <c r="K862" t="str">
        <f>IF(D862&lt;=12,"0-12 Months",IF(D862&lt;=24,"13-24 Months",IF(D862&lt;=48,"25-48 Months","49+ Months")))</f>
        <v>25-48 Months</v>
      </c>
      <c r="L862">
        <f>IF(Table134[[#This Row],[Churn]]="Yes",1,0)</f>
        <v>0</v>
      </c>
    </row>
    <row r="863" spans="1:12" x14ac:dyDescent="0.35">
      <c r="A863" t="s">
        <v>885</v>
      </c>
      <c r="B863" t="s">
        <v>11</v>
      </c>
      <c r="C863">
        <v>38</v>
      </c>
      <c r="D863">
        <v>18</v>
      </c>
      <c r="E863" t="s">
        <v>12</v>
      </c>
      <c r="F863" t="s">
        <v>29</v>
      </c>
      <c r="G863" t="s">
        <v>14</v>
      </c>
      <c r="H863">
        <v>115.51</v>
      </c>
      <c r="I863">
        <v>1883.24</v>
      </c>
      <c r="J863" t="s">
        <v>15</v>
      </c>
      <c r="K863" t="str">
        <f>IF(D863&lt;=12,"0-12 Months",IF(D863&lt;=24,"13-24 Months",IF(D863&lt;=48,"25-48 Months","49+ Months")))</f>
        <v>13-24 Months</v>
      </c>
      <c r="L863">
        <f>IF(Table134[[#This Row],[Churn]]="Yes",1,0)</f>
        <v>0</v>
      </c>
    </row>
    <row r="864" spans="1:12" x14ac:dyDescent="0.35">
      <c r="A864" t="s">
        <v>886</v>
      </c>
      <c r="B864" t="s">
        <v>17</v>
      </c>
      <c r="C864">
        <v>39</v>
      </c>
      <c r="D864">
        <v>21</v>
      </c>
      <c r="E864" t="s">
        <v>12</v>
      </c>
      <c r="F864" t="s">
        <v>29</v>
      </c>
      <c r="G864" t="s">
        <v>14</v>
      </c>
      <c r="H864">
        <v>110.95</v>
      </c>
      <c r="I864">
        <v>2396.92</v>
      </c>
      <c r="J864" t="s">
        <v>15</v>
      </c>
      <c r="K864" t="str">
        <f>IF(D864&lt;=12,"0-12 Months",IF(D864&lt;=24,"13-24 Months",IF(D864&lt;=48,"25-48 Months","49+ Months")))</f>
        <v>13-24 Months</v>
      </c>
      <c r="L864">
        <f>IF(Table134[[#This Row],[Churn]]="Yes",1,0)</f>
        <v>0</v>
      </c>
    </row>
    <row r="865" spans="1:12" x14ac:dyDescent="0.35">
      <c r="A865" t="s">
        <v>887</v>
      </c>
      <c r="B865" t="s">
        <v>17</v>
      </c>
      <c r="C865">
        <v>24</v>
      </c>
      <c r="D865">
        <v>13</v>
      </c>
      <c r="E865" t="s">
        <v>12</v>
      </c>
      <c r="F865" t="s">
        <v>22</v>
      </c>
      <c r="G865" t="s">
        <v>19</v>
      </c>
      <c r="H865">
        <v>130.88</v>
      </c>
      <c r="I865">
        <v>1625.6</v>
      </c>
      <c r="J865" t="s">
        <v>15</v>
      </c>
      <c r="K865" t="str">
        <f>IF(D865&lt;=12,"0-12 Months",IF(D865&lt;=24,"13-24 Months",IF(D865&lt;=48,"25-48 Months","49+ Months")))</f>
        <v>13-24 Months</v>
      </c>
      <c r="L865">
        <f>IF(Table134[[#This Row],[Churn]]="Yes",1,0)</f>
        <v>0</v>
      </c>
    </row>
    <row r="866" spans="1:12" x14ac:dyDescent="0.35">
      <c r="A866" t="s">
        <v>888</v>
      </c>
      <c r="B866" t="s">
        <v>17</v>
      </c>
      <c r="C866">
        <v>31</v>
      </c>
      <c r="D866">
        <v>21</v>
      </c>
      <c r="E866" t="s">
        <v>21</v>
      </c>
      <c r="F866" t="s">
        <v>22</v>
      </c>
      <c r="G866" t="s">
        <v>14</v>
      </c>
      <c r="H866">
        <v>35.06</v>
      </c>
      <c r="I866">
        <v>728.85</v>
      </c>
      <c r="J866" t="s">
        <v>15</v>
      </c>
      <c r="K866" t="str">
        <f>IF(D866&lt;=12,"0-12 Months",IF(D866&lt;=24,"13-24 Months",IF(D866&lt;=48,"25-48 Months","49+ Months")))</f>
        <v>13-24 Months</v>
      </c>
      <c r="L866">
        <f>IF(Table134[[#This Row],[Churn]]="Yes",1,0)</f>
        <v>0</v>
      </c>
    </row>
    <row r="867" spans="1:12" x14ac:dyDescent="0.35">
      <c r="A867" t="s">
        <v>889</v>
      </c>
      <c r="B867" t="s">
        <v>11</v>
      </c>
      <c r="C867">
        <v>32</v>
      </c>
      <c r="D867">
        <v>8</v>
      </c>
      <c r="E867" t="s">
        <v>18</v>
      </c>
      <c r="F867" t="s">
        <v>29</v>
      </c>
      <c r="G867" t="s">
        <v>14</v>
      </c>
      <c r="H867">
        <v>111.77</v>
      </c>
      <c r="I867">
        <v>866.49</v>
      </c>
      <c r="J867" t="s">
        <v>27</v>
      </c>
      <c r="K867" t="str">
        <f>IF(D867&lt;=12,"0-12 Months",IF(D867&lt;=24,"13-24 Months",IF(D867&lt;=48,"25-48 Months","49+ Months")))</f>
        <v>0-12 Months</v>
      </c>
      <c r="L867">
        <f>IF(Table134[[#This Row],[Churn]]="Yes",1,0)</f>
        <v>1</v>
      </c>
    </row>
    <row r="868" spans="1:12" x14ac:dyDescent="0.35">
      <c r="A868" t="s">
        <v>890</v>
      </c>
      <c r="B868" t="s">
        <v>11</v>
      </c>
      <c r="C868">
        <v>70</v>
      </c>
      <c r="D868">
        <v>46</v>
      </c>
      <c r="E868" t="s">
        <v>12</v>
      </c>
      <c r="F868" t="s">
        <v>33</v>
      </c>
      <c r="G868" t="s">
        <v>23</v>
      </c>
      <c r="H868">
        <v>85.48</v>
      </c>
      <c r="I868">
        <v>3674.73</v>
      </c>
      <c r="J868" t="s">
        <v>15</v>
      </c>
      <c r="K868" t="str">
        <f>IF(D868&lt;=12,"0-12 Months",IF(D868&lt;=24,"13-24 Months",IF(D868&lt;=48,"25-48 Months","49+ Months")))</f>
        <v>25-48 Months</v>
      </c>
      <c r="L868">
        <f>IF(Table134[[#This Row],[Churn]]="Yes",1,0)</f>
        <v>0</v>
      </c>
    </row>
    <row r="869" spans="1:12" x14ac:dyDescent="0.35">
      <c r="A869" t="s">
        <v>891</v>
      </c>
      <c r="B869" t="s">
        <v>17</v>
      </c>
      <c r="C869">
        <v>24</v>
      </c>
      <c r="D869">
        <v>7</v>
      </c>
      <c r="E869" t="s">
        <v>21</v>
      </c>
      <c r="F869" t="s">
        <v>33</v>
      </c>
      <c r="G869" t="s">
        <v>19</v>
      </c>
      <c r="H869">
        <v>127.79</v>
      </c>
      <c r="I869">
        <v>916.35</v>
      </c>
      <c r="J869" t="s">
        <v>15</v>
      </c>
      <c r="K869" t="str">
        <f>IF(D869&lt;=12,"0-12 Months",IF(D869&lt;=24,"13-24 Months",IF(D869&lt;=48,"25-48 Months","49+ Months")))</f>
        <v>0-12 Months</v>
      </c>
      <c r="L869">
        <f>IF(Table134[[#This Row],[Churn]]="Yes",1,0)</f>
        <v>0</v>
      </c>
    </row>
    <row r="870" spans="1:12" x14ac:dyDescent="0.35">
      <c r="A870" t="s">
        <v>892</v>
      </c>
      <c r="B870" t="s">
        <v>11</v>
      </c>
      <c r="C870">
        <v>26</v>
      </c>
      <c r="D870">
        <v>23</v>
      </c>
      <c r="E870" t="s">
        <v>12</v>
      </c>
      <c r="F870" t="s">
        <v>29</v>
      </c>
      <c r="G870" t="s">
        <v>19</v>
      </c>
      <c r="H870">
        <v>86.06</v>
      </c>
      <c r="I870">
        <v>2130.59</v>
      </c>
      <c r="J870" t="s">
        <v>15</v>
      </c>
      <c r="K870" t="str">
        <f>IF(D870&lt;=12,"0-12 Months",IF(D870&lt;=24,"13-24 Months",IF(D870&lt;=48,"25-48 Months","49+ Months")))</f>
        <v>13-24 Months</v>
      </c>
      <c r="L870">
        <f>IF(Table134[[#This Row],[Churn]]="Yes",1,0)</f>
        <v>0</v>
      </c>
    </row>
    <row r="871" spans="1:12" x14ac:dyDescent="0.35">
      <c r="A871" t="s">
        <v>893</v>
      </c>
      <c r="B871" t="s">
        <v>17</v>
      </c>
      <c r="C871">
        <v>68</v>
      </c>
      <c r="D871">
        <v>22</v>
      </c>
      <c r="E871" t="s">
        <v>18</v>
      </c>
      <c r="F871" t="s">
        <v>29</v>
      </c>
      <c r="G871" t="s">
        <v>23</v>
      </c>
      <c r="H871">
        <v>100.63</v>
      </c>
      <c r="I871">
        <v>2417.13</v>
      </c>
      <c r="J871" t="s">
        <v>15</v>
      </c>
      <c r="K871" t="str">
        <f>IF(D871&lt;=12,"0-12 Months",IF(D871&lt;=24,"13-24 Months",IF(D871&lt;=48,"25-48 Months","49+ Months")))</f>
        <v>13-24 Months</v>
      </c>
      <c r="L871">
        <f>IF(Table134[[#This Row],[Churn]]="Yes",1,0)</f>
        <v>0</v>
      </c>
    </row>
    <row r="872" spans="1:12" x14ac:dyDescent="0.35">
      <c r="A872" t="s">
        <v>894</v>
      </c>
      <c r="B872" t="s">
        <v>11</v>
      </c>
      <c r="C872">
        <v>65</v>
      </c>
      <c r="D872">
        <v>22</v>
      </c>
      <c r="E872" t="s">
        <v>18</v>
      </c>
      <c r="F872" t="s">
        <v>13</v>
      </c>
      <c r="G872" t="s">
        <v>23</v>
      </c>
      <c r="H872">
        <v>82.11</v>
      </c>
      <c r="I872">
        <v>1695.27</v>
      </c>
      <c r="J872" t="s">
        <v>15</v>
      </c>
      <c r="K872" t="str">
        <f>IF(D872&lt;=12,"0-12 Months",IF(D872&lt;=24,"13-24 Months",IF(D872&lt;=48,"25-48 Months","49+ Months")))</f>
        <v>13-24 Months</v>
      </c>
      <c r="L872">
        <f>IF(Table134[[#This Row],[Churn]]="Yes",1,0)</f>
        <v>0</v>
      </c>
    </row>
    <row r="873" spans="1:12" x14ac:dyDescent="0.35">
      <c r="A873" t="s">
        <v>895</v>
      </c>
      <c r="B873" t="s">
        <v>17</v>
      </c>
      <c r="C873">
        <v>25</v>
      </c>
      <c r="D873">
        <v>29</v>
      </c>
      <c r="E873" t="s">
        <v>18</v>
      </c>
      <c r="F873" t="s">
        <v>22</v>
      </c>
      <c r="G873" t="s">
        <v>19</v>
      </c>
      <c r="H873">
        <v>82.16</v>
      </c>
      <c r="I873">
        <v>2486.2199999999998</v>
      </c>
      <c r="J873" t="s">
        <v>15</v>
      </c>
      <c r="K873" t="str">
        <f>IF(D873&lt;=12,"0-12 Months",IF(D873&lt;=24,"13-24 Months",IF(D873&lt;=48,"25-48 Months","49+ Months")))</f>
        <v>25-48 Months</v>
      </c>
      <c r="L873">
        <f>IF(Table134[[#This Row],[Churn]]="Yes",1,0)</f>
        <v>0</v>
      </c>
    </row>
    <row r="874" spans="1:12" x14ac:dyDescent="0.35">
      <c r="A874" t="s">
        <v>896</v>
      </c>
      <c r="B874" t="s">
        <v>17</v>
      </c>
      <c r="C874">
        <v>67</v>
      </c>
      <c r="D874">
        <v>13</v>
      </c>
      <c r="E874" t="s">
        <v>18</v>
      </c>
      <c r="F874" t="s">
        <v>29</v>
      </c>
      <c r="G874" t="s">
        <v>23</v>
      </c>
      <c r="H874">
        <v>119.84</v>
      </c>
      <c r="I874">
        <v>1609.13</v>
      </c>
      <c r="J874" t="s">
        <v>15</v>
      </c>
      <c r="K874" t="str">
        <f>IF(D874&lt;=12,"0-12 Months",IF(D874&lt;=24,"13-24 Months",IF(D874&lt;=48,"25-48 Months","49+ Months")))</f>
        <v>13-24 Months</v>
      </c>
      <c r="L874">
        <f>IF(Table134[[#This Row],[Churn]]="Yes",1,0)</f>
        <v>0</v>
      </c>
    </row>
    <row r="875" spans="1:12" x14ac:dyDescent="0.35">
      <c r="A875" t="s">
        <v>897</v>
      </c>
      <c r="B875" t="s">
        <v>11</v>
      </c>
      <c r="C875">
        <v>40</v>
      </c>
      <c r="D875">
        <v>2</v>
      </c>
      <c r="E875" t="s">
        <v>12</v>
      </c>
      <c r="F875" t="s">
        <v>22</v>
      </c>
      <c r="G875" t="s">
        <v>14</v>
      </c>
      <c r="H875">
        <v>101.71</v>
      </c>
      <c r="I875">
        <v>197.05</v>
      </c>
      <c r="J875" t="s">
        <v>27</v>
      </c>
      <c r="K875" t="str">
        <f>IF(D875&lt;=12,"0-12 Months",IF(D875&lt;=24,"13-24 Months",IF(D875&lt;=48,"25-48 Months","49+ Months")))</f>
        <v>0-12 Months</v>
      </c>
      <c r="L875">
        <f>IF(Table134[[#This Row],[Churn]]="Yes",1,0)</f>
        <v>1</v>
      </c>
    </row>
    <row r="876" spans="1:12" x14ac:dyDescent="0.35">
      <c r="A876" t="s">
        <v>898</v>
      </c>
      <c r="B876" t="s">
        <v>17</v>
      </c>
      <c r="C876">
        <v>46</v>
      </c>
      <c r="D876">
        <v>29</v>
      </c>
      <c r="E876" t="s">
        <v>18</v>
      </c>
      <c r="F876" t="s">
        <v>22</v>
      </c>
      <c r="G876" t="s">
        <v>14</v>
      </c>
      <c r="H876">
        <v>102.32</v>
      </c>
      <c r="I876">
        <v>2681.89</v>
      </c>
      <c r="J876" t="s">
        <v>15</v>
      </c>
      <c r="K876" t="str">
        <f>IF(D876&lt;=12,"0-12 Months",IF(D876&lt;=24,"13-24 Months",IF(D876&lt;=48,"25-48 Months","49+ Months")))</f>
        <v>25-48 Months</v>
      </c>
      <c r="L876">
        <f>IF(Table134[[#This Row],[Churn]]="Yes",1,0)</f>
        <v>0</v>
      </c>
    </row>
    <row r="877" spans="1:12" x14ac:dyDescent="0.35">
      <c r="A877" t="s">
        <v>899</v>
      </c>
      <c r="B877" t="s">
        <v>11</v>
      </c>
      <c r="C877">
        <v>35</v>
      </c>
      <c r="D877">
        <v>52</v>
      </c>
      <c r="E877" t="s">
        <v>21</v>
      </c>
      <c r="F877" t="s">
        <v>29</v>
      </c>
      <c r="G877" t="s">
        <v>14</v>
      </c>
      <c r="H877">
        <v>78.540000000000006</v>
      </c>
      <c r="I877">
        <v>4239.1000000000004</v>
      </c>
      <c r="J877" t="s">
        <v>15</v>
      </c>
      <c r="K877" t="str">
        <f>IF(D877&lt;=12,"0-12 Months",IF(D877&lt;=24,"13-24 Months",IF(D877&lt;=48,"25-48 Months","49+ Months")))</f>
        <v>49+ Months</v>
      </c>
      <c r="L877">
        <f>IF(Table134[[#This Row],[Churn]]="Yes",1,0)</f>
        <v>0</v>
      </c>
    </row>
    <row r="878" spans="1:12" x14ac:dyDescent="0.35">
      <c r="A878" t="s">
        <v>900</v>
      </c>
      <c r="B878" t="s">
        <v>17</v>
      </c>
      <c r="C878">
        <v>48</v>
      </c>
      <c r="D878">
        <v>27</v>
      </c>
      <c r="E878" t="s">
        <v>12</v>
      </c>
      <c r="F878" t="s">
        <v>22</v>
      </c>
      <c r="G878" t="s">
        <v>14</v>
      </c>
      <c r="H878">
        <v>89.04</v>
      </c>
      <c r="I878">
        <v>2618.2800000000002</v>
      </c>
      <c r="J878" t="s">
        <v>15</v>
      </c>
      <c r="K878" t="str">
        <f>IF(D878&lt;=12,"0-12 Months",IF(D878&lt;=24,"13-24 Months",IF(D878&lt;=48,"25-48 Months","49+ Months")))</f>
        <v>25-48 Months</v>
      </c>
      <c r="L878">
        <f>IF(Table134[[#This Row],[Churn]]="Yes",1,0)</f>
        <v>0</v>
      </c>
    </row>
    <row r="879" spans="1:12" x14ac:dyDescent="0.35">
      <c r="A879" t="s">
        <v>901</v>
      </c>
      <c r="B879" t="s">
        <v>17</v>
      </c>
      <c r="C879">
        <v>47</v>
      </c>
      <c r="D879">
        <v>50</v>
      </c>
      <c r="E879" t="s">
        <v>18</v>
      </c>
      <c r="F879" t="s">
        <v>33</v>
      </c>
      <c r="G879" t="s">
        <v>14</v>
      </c>
      <c r="H879">
        <v>116.94</v>
      </c>
      <c r="I879">
        <v>6001.5</v>
      </c>
      <c r="J879" t="s">
        <v>15</v>
      </c>
      <c r="K879" t="str">
        <f>IF(D879&lt;=12,"0-12 Months",IF(D879&lt;=24,"13-24 Months",IF(D879&lt;=48,"25-48 Months","49+ Months")))</f>
        <v>49+ Months</v>
      </c>
      <c r="L879">
        <f>IF(Table134[[#This Row],[Churn]]="Yes",1,0)</f>
        <v>0</v>
      </c>
    </row>
    <row r="880" spans="1:12" x14ac:dyDescent="0.35">
      <c r="A880" t="s">
        <v>902</v>
      </c>
      <c r="B880" t="s">
        <v>11</v>
      </c>
      <c r="C880">
        <v>69</v>
      </c>
      <c r="D880">
        <v>23</v>
      </c>
      <c r="E880" t="s">
        <v>12</v>
      </c>
      <c r="F880" t="s">
        <v>29</v>
      </c>
      <c r="G880" t="s">
        <v>23</v>
      </c>
      <c r="H880">
        <v>127.37</v>
      </c>
      <c r="I880">
        <v>2891.6</v>
      </c>
      <c r="J880" t="s">
        <v>27</v>
      </c>
      <c r="K880" t="str">
        <f>IF(D880&lt;=12,"0-12 Months",IF(D880&lt;=24,"13-24 Months",IF(D880&lt;=48,"25-48 Months","49+ Months")))</f>
        <v>13-24 Months</v>
      </c>
      <c r="L880">
        <f>IF(Table134[[#This Row],[Churn]]="Yes",1,0)</f>
        <v>1</v>
      </c>
    </row>
    <row r="881" spans="1:12" x14ac:dyDescent="0.35">
      <c r="A881" t="s">
        <v>903</v>
      </c>
      <c r="B881" t="s">
        <v>11</v>
      </c>
      <c r="C881">
        <v>56</v>
      </c>
      <c r="D881">
        <v>44</v>
      </c>
      <c r="E881" t="s">
        <v>21</v>
      </c>
      <c r="F881" t="s">
        <v>29</v>
      </c>
      <c r="G881" t="s">
        <v>23</v>
      </c>
      <c r="H881">
        <v>110.55</v>
      </c>
      <c r="I881">
        <v>4888.67</v>
      </c>
      <c r="J881" t="s">
        <v>27</v>
      </c>
      <c r="K881" t="str">
        <f>IF(D881&lt;=12,"0-12 Months",IF(D881&lt;=24,"13-24 Months",IF(D881&lt;=48,"25-48 Months","49+ Months")))</f>
        <v>25-48 Months</v>
      </c>
      <c r="L881">
        <f>IF(Table134[[#This Row],[Churn]]="Yes",1,0)</f>
        <v>1</v>
      </c>
    </row>
    <row r="882" spans="1:12" x14ac:dyDescent="0.35">
      <c r="A882" t="s">
        <v>904</v>
      </c>
      <c r="B882" t="s">
        <v>11</v>
      </c>
      <c r="C882">
        <v>52</v>
      </c>
      <c r="D882">
        <v>22</v>
      </c>
      <c r="E882" t="s">
        <v>12</v>
      </c>
      <c r="F882" t="s">
        <v>13</v>
      </c>
      <c r="G882" t="s">
        <v>23</v>
      </c>
      <c r="H882">
        <v>140.13</v>
      </c>
      <c r="I882">
        <v>2897.66</v>
      </c>
      <c r="J882" t="s">
        <v>15</v>
      </c>
      <c r="K882" t="str">
        <f>IF(D882&lt;=12,"0-12 Months",IF(D882&lt;=24,"13-24 Months",IF(D882&lt;=48,"25-48 Months","49+ Months")))</f>
        <v>13-24 Months</v>
      </c>
      <c r="L882">
        <f>IF(Table134[[#This Row],[Churn]]="Yes",1,0)</f>
        <v>0</v>
      </c>
    </row>
    <row r="883" spans="1:12" x14ac:dyDescent="0.35">
      <c r="A883" t="s">
        <v>905</v>
      </c>
      <c r="B883" t="s">
        <v>17</v>
      </c>
      <c r="C883">
        <v>35</v>
      </c>
      <c r="D883">
        <v>43</v>
      </c>
      <c r="E883" t="s">
        <v>12</v>
      </c>
      <c r="F883" t="s">
        <v>33</v>
      </c>
      <c r="G883" t="s">
        <v>14</v>
      </c>
      <c r="H883">
        <v>126.64</v>
      </c>
      <c r="I883">
        <v>5718.39</v>
      </c>
      <c r="J883" t="s">
        <v>15</v>
      </c>
      <c r="K883" t="str">
        <f>IF(D883&lt;=12,"0-12 Months",IF(D883&lt;=24,"13-24 Months",IF(D883&lt;=48,"25-48 Months","49+ Months")))</f>
        <v>25-48 Months</v>
      </c>
      <c r="L883">
        <f>IF(Table134[[#This Row],[Churn]]="Yes",1,0)</f>
        <v>0</v>
      </c>
    </row>
    <row r="884" spans="1:12" x14ac:dyDescent="0.35">
      <c r="A884" t="s">
        <v>906</v>
      </c>
      <c r="B884" t="s">
        <v>11</v>
      </c>
      <c r="C884">
        <v>59</v>
      </c>
      <c r="D884">
        <v>37</v>
      </c>
      <c r="E884" t="s">
        <v>21</v>
      </c>
      <c r="F884" t="s">
        <v>33</v>
      </c>
      <c r="G884" t="s">
        <v>23</v>
      </c>
      <c r="H884">
        <v>93.04</v>
      </c>
      <c r="I884">
        <v>3612.14</v>
      </c>
      <c r="J884" t="s">
        <v>15</v>
      </c>
      <c r="K884" t="str">
        <f>IF(D884&lt;=12,"0-12 Months",IF(D884&lt;=24,"13-24 Months",IF(D884&lt;=48,"25-48 Months","49+ Months")))</f>
        <v>25-48 Months</v>
      </c>
      <c r="L884">
        <f>IF(Table134[[#This Row],[Churn]]="Yes",1,0)</f>
        <v>0</v>
      </c>
    </row>
    <row r="885" spans="1:12" x14ac:dyDescent="0.35">
      <c r="A885" t="s">
        <v>907</v>
      </c>
      <c r="B885" t="s">
        <v>17</v>
      </c>
      <c r="C885">
        <v>56</v>
      </c>
      <c r="D885">
        <v>61</v>
      </c>
      <c r="E885" t="s">
        <v>21</v>
      </c>
      <c r="F885" t="s">
        <v>13</v>
      </c>
      <c r="G885" t="s">
        <v>23</v>
      </c>
      <c r="H885">
        <v>107.28</v>
      </c>
      <c r="I885">
        <v>6080.13</v>
      </c>
      <c r="J885" t="s">
        <v>15</v>
      </c>
      <c r="K885" t="str">
        <f>IF(D885&lt;=12,"0-12 Months",IF(D885&lt;=24,"13-24 Months",IF(D885&lt;=48,"25-48 Months","49+ Months")))</f>
        <v>49+ Months</v>
      </c>
      <c r="L885">
        <f>IF(Table134[[#This Row],[Churn]]="Yes",1,0)</f>
        <v>0</v>
      </c>
    </row>
    <row r="886" spans="1:12" x14ac:dyDescent="0.35">
      <c r="A886" t="s">
        <v>908</v>
      </c>
      <c r="B886" t="s">
        <v>17</v>
      </c>
      <c r="C886">
        <v>34</v>
      </c>
      <c r="D886">
        <v>56</v>
      </c>
      <c r="E886" t="s">
        <v>12</v>
      </c>
      <c r="F886" t="s">
        <v>22</v>
      </c>
      <c r="G886" t="s">
        <v>14</v>
      </c>
      <c r="H886">
        <v>140.41999999999999</v>
      </c>
      <c r="I886">
        <v>8457.9699999999993</v>
      </c>
      <c r="J886" t="s">
        <v>15</v>
      </c>
      <c r="K886" t="str">
        <f>IF(D886&lt;=12,"0-12 Months",IF(D886&lt;=24,"13-24 Months",IF(D886&lt;=48,"25-48 Months","49+ Months")))</f>
        <v>49+ Months</v>
      </c>
      <c r="L886">
        <f>IF(Table134[[#This Row],[Churn]]="Yes",1,0)</f>
        <v>0</v>
      </c>
    </row>
    <row r="887" spans="1:12" x14ac:dyDescent="0.35">
      <c r="A887" t="s">
        <v>909</v>
      </c>
      <c r="B887" t="s">
        <v>11</v>
      </c>
      <c r="C887">
        <v>31</v>
      </c>
      <c r="D887">
        <v>3</v>
      </c>
      <c r="E887" t="s">
        <v>12</v>
      </c>
      <c r="F887" t="s">
        <v>13</v>
      </c>
      <c r="G887" t="s">
        <v>14</v>
      </c>
      <c r="H887">
        <v>100.49</v>
      </c>
      <c r="I887">
        <v>287.55</v>
      </c>
      <c r="J887" t="s">
        <v>27</v>
      </c>
      <c r="K887" t="str">
        <f>IF(D887&lt;=12,"0-12 Months",IF(D887&lt;=24,"13-24 Months",IF(D887&lt;=48,"25-48 Months","49+ Months")))</f>
        <v>0-12 Months</v>
      </c>
      <c r="L887">
        <f>IF(Table134[[#This Row],[Churn]]="Yes",1,0)</f>
        <v>1</v>
      </c>
    </row>
    <row r="888" spans="1:12" x14ac:dyDescent="0.35">
      <c r="A888" t="s">
        <v>910</v>
      </c>
      <c r="B888" t="s">
        <v>11</v>
      </c>
      <c r="C888">
        <v>48</v>
      </c>
      <c r="D888">
        <v>63</v>
      </c>
      <c r="E888" t="s">
        <v>18</v>
      </c>
      <c r="F888" t="s">
        <v>13</v>
      </c>
      <c r="G888" t="s">
        <v>14</v>
      </c>
      <c r="H888">
        <v>127.22</v>
      </c>
      <c r="I888">
        <v>8787.9</v>
      </c>
      <c r="J888" t="s">
        <v>15</v>
      </c>
      <c r="K888" t="str">
        <f>IF(D888&lt;=12,"0-12 Months",IF(D888&lt;=24,"13-24 Months",IF(D888&lt;=48,"25-48 Months","49+ Months")))</f>
        <v>49+ Months</v>
      </c>
      <c r="L888">
        <f>IF(Table134[[#This Row],[Churn]]="Yes",1,0)</f>
        <v>0</v>
      </c>
    </row>
    <row r="889" spans="1:12" x14ac:dyDescent="0.35">
      <c r="A889" t="s">
        <v>911</v>
      </c>
      <c r="B889" t="s">
        <v>17</v>
      </c>
      <c r="C889">
        <v>41</v>
      </c>
      <c r="D889">
        <v>19</v>
      </c>
      <c r="E889" t="s">
        <v>12</v>
      </c>
      <c r="F889" t="s">
        <v>29</v>
      </c>
      <c r="G889" t="s">
        <v>14</v>
      </c>
      <c r="H889">
        <v>109.55</v>
      </c>
      <c r="I889">
        <v>2032.7</v>
      </c>
      <c r="J889" t="s">
        <v>27</v>
      </c>
      <c r="K889" t="str">
        <f>IF(D889&lt;=12,"0-12 Months",IF(D889&lt;=24,"13-24 Months",IF(D889&lt;=48,"25-48 Months","49+ Months")))</f>
        <v>13-24 Months</v>
      </c>
      <c r="L889">
        <f>IF(Table134[[#This Row],[Churn]]="Yes",1,0)</f>
        <v>1</v>
      </c>
    </row>
    <row r="890" spans="1:12" x14ac:dyDescent="0.35">
      <c r="A890" t="s">
        <v>912</v>
      </c>
      <c r="B890" t="s">
        <v>17</v>
      </c>
      <c r="C890">
        <v>52</v>
      </c>
      <c r="D890">
        <v>23</v>
      </c>
      <c r="E890" t="s">
        <v>12</v>
      </c>
      <c r="F890" t="s">
        <v>29</v>
      </c>
      <c r="G890" t="s">
        <v>23</v>
      </c>
      <c r="H890">
        <v>91.75</v>
      </c>
      <c r="I890">
        <v>1974.3</v>
      </c>
      <c r="J890" t="s">
        <v>27</v>
      </c>
      <c r="K890" t="str">
        <f>IF(D890&lt;=12,"0-12 Months",IF(D890&lt;=24,"13-24 Months",IF(D890&lt;=48,"25-48 Months","49+ Months")))</f>
        <v>13-24 Months</v>
      </c>
      <c r="L890">
        <f>IF(Table134[[#This Row],[Churn]]="Yes",1,0)</f>
        <v>1</v>
      </c>
    </row>
    <row r="891" spans="1:12" x14ac:dyDescent="0.35">
      <c r="A891" t="s">
        <v>913</v>
      </c>
      <c r="B891" t="s">
        <v>11</v>
      </c>
      <c r="C891">
        <v>61</v>
      </c>
      <c r="D891">
        <v>29</v>
      </c>
      <c r="E891" t="s">
        <v>18</v>
      </c>
      <c r="F891" t="s">
        <v>29</v>
      </c>
      <c r="G891" t="s">
        <v>23</v>
      </c>
      <c r="H891">
        <v>51.44</v>
      </c>
      <c r="I891">
        <v>1447.52</v>
      </c>
      <c r="J891" t="s">
        <v>15</v>
      </c>
      <c r="K891" t="str">
        <f>IF(D891&lt;=12,"0-12 Months",IF(D891&lt;=24,"13-24 Months",IF(D891&lt;=48,"25-48 Months","49+ Months")))</f>
        <v>25-48 Months</v>
      </c>
      <c r="L891">
        <f>IF(Table134[[#This Row],[Churn]]="Yes",1,0)</f>
        <v>0</v>
      </c>
    </row>
    <row r="892" spans="1:12" x14ac:dyDescent="0.35">
      <c r="A892" t="s">
        <v>914</v>
      </c>
      <c r="B892" t="s">
        <v>11</v>
      </c>
      <c r="C892">
        <v>62</v>
      </c>
      <c r="D892">
        <v>30</v>
      </c>
      <c r="E892" t="s">
        <v>18</v>
      </c>
      <c r="F892" t="s">
        <v>13</v>
      </c>
      <c r="G892" t="s">
        <v>23</v>
      </c>
      <c r="H892">
        <v>75.38</v>
      </c>
      <c r="I892">
        <v>2234.34</v>
      </c>
      <c r="J892" t="s">
        <v>15</v>
      </c>
      <c r="K892" t="str">
        <f>IF(D892&lt;=12,"0-12 Months",IF(D892&lt;=24,"13-24 Months",IF(D892&lt;=48,"25-48 Months","49+ Months")))</f>
        <v>25-48 Months</v>
      </c>
      <c r="L892">
        <f>IF(Table134[[#This Row],[Churn]]="Yes",1,0)</f>
        <v>0</v>
      </c>
    </row>
    <row r="893" spans="1:12" x14ac:dyDescent="0.35">
      <c r="A893" t="s">
        <v>915</v>
      </c>
      <c r="B893" t="s">
        <v>11</v>
      </c>
      <c r="C893">
        <v>51</v>
      </c>
      <c r="D893">
        <v>39</v>
      </c>
      <c r="E893" t="s">
        <v>12</v>
      </c>
      <c r="F893" t="s">
        <v>29</v>
      </c>
      <c r="G893" t="s">
        <v>23</v>
      </c>
      <c r="H893">
        <v>145.81</v>
      </c>
      <c r="I893">
        <v>5196.76</v>
      </c>
      <c r="J893" t="s">
        <v>27</v>
      </c>
      <c r="K893" t="str">
        <f>IF(D893&lt;=12,"0-12 Months",IF(D893&lt;=24,"13-24 Months",IF(D893&lt;=48,"25-48 Months","49+ Months")))</f>
        <v>25-48 Months</v>
      </c>
      <c r="L893">
        <f>IF(Table134[[#This Row],[Churn]]="Yes",1,0)</f>
        <v>1</v>
      </c>
    </row>
    <row r="894" spans="1:12" x14ac:dyDescent="0.35">
      <c r="A894" t="s">
        <v>916</v>
      </c>
      <c r="B894" t="s">
        <v>11</v>
      </c>
      <c r="C894">
        <v>20</v>
      </c>
      <c r="D894">
        <v>25</v>
      </c>
      <c r="E894" t="s">
        <v>21</v>
      </c>
      <c r="F894" t="s">
        <v>33</v>
      </c>
      <c r="G894" t="s">
        <v>19</v>
      </c>
      <c r="H894">
        <v>105.51</v>
      </c>
      <c r="I894">
        <v>2679.01</v>
      </c>
      <c r="J894" t="s">
        <v>15</v>
      </c>
      <c r="K894" t="str">
        <f>IF(D894&lt;=12,"0-12 Months",IF(D894&lt;=24,"13-24 Months",IF(D894&lt;=48,"25-48 Months","49+ Months")))</f>
        <v>25-48 Months</v>
      </c>
      <c r="L894">
        <f>IF(Table134[[#This Row],[Churn]]="Yes",1,0)</f>
        <v>0</v>
      </c>
    </row>
    <row r="895" spans="1:12" x14ac:dyDescent="0.35">
      <c r="A895" t="s">
        <v>917</v>
      </c>
      <c r="B895" t="s">
        <v>11</v>
      </c>
      <c r="C895">
        <v>54</v>
      </c>
      <c r="D895">
        <v>8</v>
      </c>
      <c r="E895" t="s">
        <v>18</v>
      </c>
      <c r="F895" t="s">
        <v>29</v>
      </c>
      <c r="G895" t="s">
        <v>23</v>
      </c>
      <c r="H895">
        <v>93.37</v>
      </c>
      <c r="I895">
        <v>761.55</v>
      </c>
      <c r="J895" t="s">
        <v>27</v>
      </c>
      <c r="K895" t="str">
        <f>IF(D895&lt;=12,"0-12 Months",IF(D895&lt;=24,"13-24 Months",IF(D895&lt;=48,"25-48 Months","49+ Months")))</f>
        <v>0-12 Months</v>
      </c>
      <c r="L895">
        <f>IF(Table134[[#This Row],[Churn]]="Yes",1,0)</f>
        <v>1</v>
      </c>
    </row>
    <row r="896" spans="1:12" x14ac:dyDescent="0.35">
      <c r="A896" t="s">
        <v>918</v>
      </c>
      <c r="B896" t="s">
        <v>17</v>
      </c>
      <c r="C896">
        <v>60</v>
      </c>
      <c r="D896">
        <v>58</v>
      </c>
      <c r="E896" t="s">
        <v>18</v>
      </c>
      <c r="F896" t="s">
        <v>29</v>
      </c>
      <c r="G896" t="s">
        <v>23</v>
      </c>
      <c r="H896">
        <v>141.28</v>
      </c>
      <c r="I896">
        <v>8585.81</v>
      </c>
      <c r="J896" t="s">
        <v>15</v>
      </c>
      <c r="K896" t="str">
        <f>IF(D896&lt;=12,"0-12 Months",IF(D896&lt;=24,"13-24 Months",IF(D896&lt;=48,"25-48 Months","49+ Months")))</f>
        <v>49+ Months</v>
      </c>
      <c r="L896">
        <f>IF(Table134[[#This Row],[Churn]]="Yes",1,0)</f>
        <v>0</v>
      </c>
    </row>
    <row r="897" spans="1:12" x14ac:dyDescent="0.35">
      <c r="A897" t="s">
        <v>919</v>
      </c>
      <c r="B897" t="s">
        <v>17</v>
      </c>
      <c r="C897">
        <v>57</v>
      </c>
      <c r="D897">
        <v>16</v>
      </c>
      <c r="E897" t="s">
        <v>12</v>
      </c>
      <c r="F897" t="s">
        <v>13</v>
      </c>
      <c r="G897" t="s">
        <v>23</v>
      </c>
      <c r="H897">
        <v>96.25</v>
      </c>
      <c r="I897">
        <v>1394.98</v>
      </c>
      <c r="J897" t="s">
        <v>27</v>
      </c>
      <c r="K897" t="str">
        <f>IF(D897&lt;=12,"0-12 Months",IF(D897&lt;=24,"13-24 Months",IF(D897&lt;=48,"25-48 Months","49+ Months")))</f>
        <v>13-24 Months</v>
      </c>
      <c r="L897">
        <f>IF(Table134[[#This Row],[Churn]]="Yes",1,0)</f>
        <v>1</v>
      </c>
    </row>
    <row r="898" spans="1:12" x14ac:dyDescent="0.35">
      <c r="A898" t="s">
        <v>920</v>
      </c>
      <c r="B898" t="s">
        <v>17</v>
      </c>
      <c r="C898">
        <v>43</v>
      </c>
      <c r="D898">
        <v>72</v>
      </c>
      <c r="E898" t="s">
        <v>12</v>
      </c>
      <c r="F898" t="s">
        <v>1024</v>
      </c>
      <c r="G898" t="s">
        <v>14</v>
      </c>
      <c r="H898">
        <v>88.39</v>
      </c>
      <c r="I898">
        <v>6416.57</v>
      </c>
      <c r="J898" t="s">
        <v>15</v>
      </c>
      <c r="K898" t="str">
        <f>IF(D898&lt;=12,"0-12 Months",IF(D898&lt;=24,"13-24 Months",IF(D898&lt;=48,"25-48 Months","49+ Months")))</f>
        <v>49+ Months</v>
      </c>
      <c r="L898">
        <f>IF(Table134[[#This Row],[Churn]]="Yes",1,0)</f>
        <v>0</v>
      </c>
    </row>
    <row r="899" spans="1:12" x14ac:dyDescent="0.35">
      <c r="A899" t="s">
        <v>921</v>
      </c>
      <c r="B899" t="s">
        <v>17</v>
      </c>
      <c r="C899">
        <v>40</v>
      </c>
      <c r="D899">
        <v>1</v>
      </c>
      <c r="E899" t="s">
        <v>12</v>
      </c>
      <c r="F899" t="s">
        <v>29</v>
      </c>
      <c r="G899" t="s">
        <v>14</v>
      </c>
      <c r="H899">
        <v>118.71</v>
      </c>
      <c r="I899">
        <v>108.1</v>
      </c>
      <c r="J899" t="s">
        <v>15</v>
      </c>
      <c r="K899" t="str">
        <f>IF(D899&lt;=12,"0-12 Months",IF(D899&lt;=24,"13-24 Months",IF(D899&lt;=48,"25-48 Months","49+ Months")))</f>
        <v>0-12 Months</v>
      </c>
      <c r="L899">
        <f>IF(Table134[[#This Row],[Churn]]="Yes",1,0)</f>
        <v>0</v>
      </c>
    </row>
    <row r="900" spans="1:12" x14ac:dyDescent="0.35">
      <c r="A900" t="s">
        <v>922</v>
      </c>
      <c r="B900" t="s">
        <v>11</v>
      </c>
      <c r="C900">
        <v>61</v>
      </c>
      <c r="D900">
        <v>5</v>
      </c>
      <c r="E900" t="s">
        <v>12</v>
      </c>
      <c r="F900" t="s">
        <v>29</v>
      </c>
      <c r="G900" t="s">
        <v>23</v>
      </c>
      <c r="H900">
        <v>112.65</v>
      </c>
      <c r="I900">
        <v>585.91</v>
      </c>
      <c r="J900" t="s">
        <v>27</v>
      </c>
      <c r="K900" t="str">
        <f>IF(D900&lt;=12,"0-12 Months",IF(D900&lt;=24,"13-24 Months",IF(D900&lt;=48,"25-48 Months","49+ Months")))</f>
        <v>0-12 Months</v>
      </c>
      <c r="L900">
        <f>IF(Table134[[#This Row],[Churn]]="Yes",1,0)</f>
        <v>1</v>
      </c>
    </row>
    <row r="901" spans="1:12" x14ac:dyDescent="0.35">
      <c r="A901" t="s">
        <v>923</v>
      </c>
      <c r="B901" t="s">
        <v>11</v>
      </c>
      <c r="C901">
        <v>56</v>
      </c>
      <c r="D901">
        <v>3</v>
      </c>
      <c r="E901" t="s">
        <v>21</v>
      </c>
      <c r="F901" t="s">
        <v>33</v>
      </c>
      <c r="G901" t="s">
        <v>23</v>
      </c>
      <c r="H901">
        <v>45.11</v>
      </c>
      <c r="I901">
        <v>123.31</v>
      </c>
      <c r="J901" t="s">
        <v>27</v>
      </c>
      <c r="K901" t="str">
        <f>IF(D901&lt;=12,"0-12 Months",IF(D901&lt;=24,"13-24 Months",IF(D901&lt;=48,"25-48 Months","49+ Months")))</f>
        <v>0-12 Months</v>
      </c>
      <c r="L901">
        <f>IF(Table134[[#This Row],[Churn]]="Yes",1,0)</f>
        <v>1</v>
      </c>
    </row>
    <row r="902" spans="1:12" x14ac:dyDescent="0.35">
      <c r="A902" t="s">
        <v>924</v>
      </c>
      <c r="B902" t="s">
        <v>11</v>
      </c>
      <c r="C902">
        <v>32</v>
      </c>
      <c r="D902">
        <v>65</v>
      </c>
      <c r="E902" t="s">
        <v>12</v>
      </c>
      <c r="F902" t="s">
        <v>29</v>
      </c>
      <c r="G902" t="s">
        <v>14</v>
      </c>
      <c r="H902">
        <v>81.27</v>
      </c>
      <c r="I902">
        <v>5717.54</v>
      </c>
      <c r="J902" t="s">
        <v>27</v>
      </c>
      <c r="K902" t="str">
        <f>IF(D902&lt;=12,"0-12 Months",IF(D902&lt;=24,"13-24 Months",IF(D902&lt;=48,"25-48 Months","49+ Months")))</f>
        <v>49+ Months</v>
      </c>
      <c r="L902">
        <f>IF(Table134[[#This Row],[Churn]]="Yes",1,0)</f>
        <v>1</v>
      </c>
    </row>
    <row r="903" spans="1:12" x14ac:dyDescent="0.35">
      <c r="A903" t="s">
        <v>925</v>
      </c>
      <c r="B903" t="s">
        <v>17</v>
      </c>
      <c r="C903">
        <v>66</v>
      </c>
      <c r="D903">
        <v>4</v>
      </c>
      <c r="E903" t="s">
        <v>21</v>
      </c>
      <c r="F903" t="s">
        <v>29</v>
      </c>
      <c r="G903" t="s">
        <v>23</v>
      </c>
      <c r="H903">
        <v>81.430000000000007</v>
      </c>
      <c r="I903">
        <v>338.88</v>
      </c>
      <c r="J903" t="s">
        <v>15</v>
      </c>
      <c r="K903" t="str">
        <f>IF(D903&lt;=12,"0-12 Months",IF(D903&lt;=24,"13-24 Months",IF(D903&lt;=48,"25-48 Months","49+ Months")))</f>
        <v>0-12 Months</v>
      </c>
      <c r="L903">
        <f>IF(Table134[[#This Row],[Churn]]="Yes",1,0)</f>
        <v>0</v>
      </c>
    </row>
    <row r="904" spans="1:12" x14ac:dyDescent="0.35">
      <c r="A904" t="s">
        <v>926</v>
      </c>
      <c r="B904" t="s">
        <v>17</v>
      </c>
      <c r="C904">
        <v>21</v>
      </c>
      <c r="D904">
        <v>64</v>
      </c>
      <c r="E904" t="s">
        <v>12</v>
      </c>
      <c r="F904" t="s">
        <v>33</v>
      </c>
      <c r="G904" t="s">
        <v>19</v>
      </c>
      <c r="H904">
        <v>69.17</v>
      </c>
      <c r="I904">
        <v>4433.42</v>
      </c>
      <c r="J904" t="s">
        <v>15</v>
      </c>
      <c r="K904" t="str">
        <f>IF(D904&lt;=12,"0-12 Months",IF(D904&lt;=24,"13-24 Months",IF(D904&lt;=48,"25-48 Months","49+ Months")))</f>
        <v>49+ Months</v>
      </c>
      <c r="L904">
        <f>IF(Table134[[#This Row],[Churn]]="Yes",1,0)</f>
        <v>0</v>
      </c>
    </row>
    <row r="905" spans="1:12" x14ac:dyDescent="0.35">
      <c r="A905" t="s">
        <v>927</v>
      </c>
      <c r="B905" t="s">
        <v>11</v>
      </c>
      <c r="C905">
        <v>46</v>
      </c>
      <c r="D905">
        <v>10</v>
      </c>
      <c r="E905" t="s">
        <v>12</v>
      </c>
      <c r="F905" t="s">
        <v>29</v>
      </c>
      <c r="G905" t="s">
        <v>14</v>
      </c>
      <c r="H905">
        <v>87.25</v>
      </c>
      <c r="I905">
        <v>862.29</v>
      </c>
      <c r="J905" t="s">
        <v>27</v>
      </c>
      <c r="K905" t="str">
        <f>IF(D905&lt;=12,"0-12 Months",IF(D905&lt;=24,"13-24 Months",IF(D905&lt;=48,"25-48 Months","49+ Months")))</f>
        <v>0-12 Months</v>
      </c>
      <c r="L905">
        <f>IF(Table134[[#This Row],[Churn]]="Yes",1,0)</f>
        <v>1</v>
      </c>
    </row>
    <row r="906" spans="1:12" x14ac:dyDescent="0.35">
      <c r="A906" t="s">
        <v>928</v>
      </c>
      <c r="B906" t="s">
        <v>11</v>
      </c>
      <c r="C906">
        <v>39</v>
      </c>
      <c r="D906">
        <v>21</v>
      </c>
      <c r="E906" t="s">
        <v>18</v>
      </c>
      <c r="F906" t="s">
        <v>13</v>
      </c>
      <c r="G906" t="s">
        <v>14</v>
      </c>
      <c r="H906">
        <v>73.7</v>
      </c>
      <c r="I906">
        <v>1433.38</v>
      </c>
      <c r="J906" t="s">
        <v>15</v>
      </c>
      <c r="K906" t="str">
        <f>IF(D906&lt;=12,"0-12 Months",IF(D906&lt;=24,"13-24 Months",IF(D906&lt;=48,"25-48 Months","49+ Months")))</f>
        <v>13-24 Months</v>
      </c>
      <c r="L906">
        <f>IF(Table134[[#This Row],[Churn]]="Yes",1,0)</f>
        <v>0</v>
      </c>
    </row>
    <row r="907" spans="1:12" x14ac:dyDescent="0.35">
      <c r="A907" t="s">
        <v>929</v>
      </c>
      <c r="B907" t="s">
        <v>17</v>
      </c>
      <c r="C907">
        <v>42</v>
      </c>
      <c r="D907">
        <v>46</v>
      </c>
      <c r="E907" t="s">
        <v>12</v>
      </c>
      <c r="F907" t="s">
        <v>13</v>
      </c>
      <c r="G907" t="s">
        <v>14</v>
      </c>
      <c r="H907">
        <v>45.91</v>
      </c>
      <c r="I907">
        <v>2023.58</v>
      </c>
      <c r="J907" t="s">
        <v>27</v>
      </c>
      <c r="K907" t="str">
        <f>IF(D907&lt;=12,"0-12 Months",IF(D907&lt;=24,"13-24 Months",IF(D907&lt;=48,"25-48 Months","49+ Months")))</f>
        <v>25-48 Months</v>
      </c>
      <c r="L907">
        <f>IF(Table134[[#This Row],[Churn]]="Yes",1,0)</f>
        <v>1</v>
      </c>
    </row>
    <row r="908" spans="1:12" x14ac:dyDescent="0.35">
      <c r="A908" t="s">
        <v>930</v>
      </c>
      <c r="B908" t="s">
        <v>17</v>
      </c>
      <c r="C908">
        <v>30</v>
      </c>
      <c r="D908">
        <v>27</v>
      </c>
      <c r="E908" t="s">
        <v>12</v>
      </c>
      <c r="F908" t="s">
        <v>29</v>
      </c>
      <c r="G908" t="s">
        <v>14</v>
      </c>
      <c r="H908">
        <v>73.61</v>
      </c>
      <c r="I908">
        <v>2134.13</v>
      </c>
      <c r="J908" t="s">
        <v>15</v>
      </c>
      <c r="K908" t="str">
        <f>IF(D908&lt;=12,"0-12 Months",IF(D908&lt;=24,"13-24 Months",IF(D908&lt;=48,"25-48 Months","49+ Months")))</f>
        <v>25-48 Months</v>
      </c>
      <c r="L908">
        <f>IF(Table134[[#This Row],[Churn]]="Yes",1,0)</f>
        <v>0</v>
      </c>
    </row>
    <row r="909" spans="1:12" x14ac:dyDescent="0.35">
      <c r="A909" t="s">
        <v>931</v>
      </c>
      <c r="B909" t="s">
        <v>11</v>
      </c>
      <c r="C909">
        <v>35</v>
      </c>
      <c r="D909">
        <v>66</v>
      </c>
      <c r="E909" t="s">
        <v>18</v>
      </c>
      <c r="F909" t="s">
        <v>29</v>
      </c>
      <c r="G909" t="s">
        <v>14</v>
      </c>
      <c r="H909">
        <v>29.4</v>
      </c>
      <c r="I909">
        <v>2097.36</v>
      </c>
      <c r="J909" t="s">
        <v>15</v>
      </c>
      <c r="K909" t="str">
        <f>IF(D909&lt;=12,"0-12 Months",IF(D909&lt;=24,"13-24 Months",IF(D909&lt;=48,"25-48 Months","49+ Months")))</f>
        <v>49+ Months</v>
      </c>
      <c r="L909">
        <f>IF(Table134[[#This Row],[Churn]]="Yes",1,0)</f>
        <v>0</v>
      </c>
    </row>
    <row r="910" spans="1:12" x14ac:dyDescent="0.35">
      <c r="A910" t="s">
        <v>932</v>
      </c>
      <c r="B910" t="s">
        <v>11</v>
      </c>
      <c r="C910">
        <v>50</v>
      </c>
      <c r="D910">
        <v>41</v>
      </c>
      <c r="E910" t="s">
        <v>12</v>
      </c>
      <c r="F910" t="s">
        <v>29</v>
      </c>
      <c r="G910" t="s">
        <v>23</v>
      </c>
      <c r="H910">
        <v>94.85</v>
      </c>
      <c r="I910">
        <v>3500.55</v>
      </c>
      <c r="J910" t="s">
        <v>15</v>
      </c>
      <c r="K910" t="str">
        <f>IF(D910&lt;=12,"0-12 Months",IF(D910&lt;=24,"13-24 Months",IF(D910&lt;=48,"25-48 Months","49+ Months")))</f>
        <v>25-48 Months</v>
      </c>
      <c r="L910">
        <f>IF(Table134[[#This Row],[Churn]]="Yes",1,0)</f>
        <v>0</v>
      </c>
    </row>
    <row r="911" spans="1:12" x14ac:dyDescent="0.35">
      <c r="A911" t="s">
        <v>933</v>
      </c>
      <c r="B911" t="s">
        <v>17</v>
      </c>
      <c r="C911">
        <v>33</v>
      </c>
      <c r="D911">
        <v>13</v>
      </c>
      <c r="E911" t="s">
        <v>21</v>
      </c>
      <c r="F911" t="s">
        <v>29</v>
      </c>
      <c r="G911" t="s">
        <v>14</v>
      </c>
      <c r="H911">
        <v>130.97999999999999</v>
      </c>
      <c r="I911">
        <v>1734.8</v>
      </c>
      <c r="J911" t="s">
        <v>15</v>
      </c>
      <c r="K911" t="str">
        <f>IF(D911&lt;=12,"0-12 Months",IF(D911&lt;=24,"13-24 Months",IF(D911&lt;=48,"25-48 Months","49+ Months")))</f>
        <v>13-24 Months</v>
      </c>
      <c r="L911">
        <f>IF(Table134[[#This Row],[Churn]]="Yes",1,0)</f>
        <v>0</v>
      </c>
    </row>
    <row r="912" spans="1:12" x14ac:dyDescent="0.35">
      <c r="A912" t="s">
        <v>934</v>
      </c>
      <c r="B912" t="s">
        <v>11</v>
      </c>
      <c r="C912">
        <v>62</v>
      </c>
      <c r="D912">
        <v>9</v>
      </c>
      <c r="E912" t="s">
        <v>21</v>
      </c>
      <c r="F912" t="s">
        <v>29</v>
      </c>
      <c r="G912" t="s">
        <v>23</v>
      </c>
      <c r="H912">
        <v>114.29</v>
      </c>
      <c r="I912">
        <v>1073.72</v>
      </c>
      <c r="J912" t="s">
        <v>15</v>
      </c>
      <c r="K912" t="str">
        <f>IF(D912&lt;=12,"0-12 Months",IF(D912&lt;=24,"13-24 Months",IF(D912&lt;=48,"25-48 Months","49+ Months")))</f>
        <v>0-12 Months</v>
      </c>
      <c r="L912">
        <f>IF(Table134[[#This Row],[Churn]]="Yes",1,0)</f>
        <v>0</v>
      </c>
    </row>
    <row r="913" spans="1:12" x14ac:dyDescent="0.35">
      <c r="A913" t="s">
        <v>935</v>
      </c>
      <c r="B913" t="s">
        <v>11</v>
      </c>
      <c r="C913">
        <v>59</v>
      </c>
      <c r="D913">
        <v>36</v>
      </c>
      <c r="E913" t="s">
        <v>12</v>
      </c>
      <c r="F913" t="s">
        <v>22</v>
      </c>
      <c r="G913" t="s">
        <v>23</v>
      </c>
      <c r="H913">
        <v>66.849999999999994</v>
      </c>
      <c r="I913">
        <v>2463.7600000000002</v>
      </c>
      <c r="J913" t="s">
        <v>15</v>
      </c>
      <c r="K913" t="str">
        <f>IF(D913&lt;=12,"0-12 Months",IF(D913&lt;=24,"13-24 Months",IF(D913&lt;=48,"25-48 Months","49+ Months")))</f>
        <v>25-48 Months</v>
      </c>
      <c r="L913">
        <f>IF(Table134[[#This Row],[Churn]]="Yes",1,0)</f>
        <v>0</v>
      </c>
    </row>
    <row r="914" spans="1:12" x14ac:dyDescent="0.35">
      <c r="A914" t="s">
        <v>936</v>
      </c>
      <c r="B914" t="s">
        <v>11</v>
      </c>
      <c r="C914">
        <v>61</v>
      </c>
      <c r="D914">
        <v>58</v>
      </c>
      <c r="E914" t="s">
        <v>18</v>
      </c>
      <c r="F914" t="s">
        <v>13</v>
      </c>
      <c r="G914" t="s">
        <v>23</v>
      </c>
      <c r="H914">
        <v>31.32</v>
      </c>
      <c r="I914">
        <v>1664.58</v>
      </c>
      <c r="J914" t="s">
        <v>15</v>
      </c>
      <c r="K914" t="str">
        <f>IF(D914&lt;=12,"0-12 Months",IF(D914&lt;=24,"13-24 Months",IF(D914&lt;=48,"25-48 Months","49+ Months")))</f>
        <v>49+ Months</v>
      </c>
      <c r="L914">
        <f>IF(Table134[[#This Row],[Churn]]="Yes",1,0)</f>
        <v>0</v>
      </c>
    </row>
    <row r="915" spans="1:12" x14ac:dyDescent="0.35">
      <c r="A915" t="s">
        <v>937</v>
      </c>
      <c r="B915" t="s">
        <v>17</v>
      </c>
      <c r="C915">
        <v>19</v>
      </c>
      <c r="D915">
        <v>54</v>
      </c>
      <c r="E915" t="s">
        <v>12</v>
      </c>
      <c r="F915" t="s">
        <v>13</v>
      </c>
      <c r="G915" t="s">
        <v>19</v>
      </c>
      <c r="H915">
        <v>46.28</v>
      </c>
      <c r="I915">
        <v>2358.0300000000002</v>
      </c>
      <c r="J915" t="s">
        <v>15</v>
      </c>
      <c r="K915" t="str">
        <f>IF(D915&lt;=12,"0-12 Months",IF(D915&lt;=24,"13-24 Months",IF(D915&lt;=48,"25-48 Months","49+ Months")))</f>
        <v>49+ Months</v>
      </c>
      <c r="L915">
        <f>IF(Table134[[#This Row],[Churn]]="Yes",1,0)</f>
        <v>0</v>
      </c>
    </row>
    <row r="916" spans="1:12" x14ac:dyDescent="0.35">
      <c r="A916" t="s">
        <v>938</v>
      </c>
      <c r="B916" t="s">
        <v>17</v>
      </c>
      <c r="C916">
        <v>52</v>
      </c>
      <c r="D916">
        <v>12</v>
      </c>
      <c r="E916" t="s">
        <v>12</v>
      </c>
      <c r="F916" t="s">
        <v>33</v>
      </c>
      <c r="G916" t="s">
        <v>23</v>
      </c>
      <c r="H916">
        <v>90.91</v>
      </c>
      <c r="I916">
        <v>1036.45</v>
      </c>
      <c r="J916" t="s">
        <v>27</v>
      </c>
      <c r="K916" t="str">
        <f>IF(D916&lt;=12,"0-12 Months",IF(D916&lt;=24,"13-24 Months",IF(D916&lt;=48,"25-48 Months","49+ Months")))</f>
        <v>0-12 Months</v>
      </c>
      <c r="L916">
        <f>IF(Table134[[#This Row],[Churn]]="Yes",1,0)</f>
        <v>1</v>
      </c>
    </row>
    <row r="917" spans="1:12" x14ac:dyDescent="0.35">
      <c r="A917" t="s">
        <v>939</v>
      </c>
      <c r="B917" t="s">
        <v>17</v>
      </c>
      <c r="C917">
        <v>59</v>
      </c>
      <c r="D917">
        <v>14</v>
      </c>
      <c r="E917" t="s">
        <v>12</v>
      </c>
      <c r="F917" t="s">
        <v>22</v>
      </c>
      <c r="G917" t="s">
        <v>23</v>
      </c>
      <c r="H917">
        <v>46.92</v>
      </c>
      <c r="I917">
        <v>700.46</v>
      </c>
      <c r="J917" t="s">
        <v>27</v>
      </c>
      <c r="K917" t="str">
        <f>IF(D917&lt;=12,"0-12 Months",IF(D917&lt;=24,"13-24 Months",IF(D917&lt;=48,"25-48 Months","49+ Months")))</f>
        <v>13-24 Months</v>
      </c>
      <c r="L917">
        <f>IF(Table134[[#This Row],[Churn]]="Yes",1,0)</f>
        <v>1</v>
      </c>
    </row>
    <row r="918" spans="1:12" x14ac:dyDescent="0.35">
      <c r="A918" t="s">
        <v>940</v>
      </c>
      <c r="B918" t="s">
        <v>17</v>
      </c>
      <c r="C918">
        <v>51</v>
      </c>
      <c r="D918">
        <v>34</v>
      </c>
      <c r="E918" t="s">
        <v>12</v>
      </c>
      <c r="F918" t="s">
        <v>29</v>
      </c>
      <c r="G918" t="s">
        <v>23</v>
      </c>
      <c r="H918">
        <v>90.72</v>
      </c>
      <c r="I918">
        <v>3061.78</v>
      </c>
      <c r="J918" t="s">
        <v>15</v>
      </c>
      <c r="K918" t="str">
        <f>IF(D918&lt;=12,"0-12 Months",IF(D918&lt;=24,"13-24 Months",IF(D918&lt;=48,"25-48 Months","49+ Months")))</f>
        <v>25-48 Months</v>
      </c>
      <c r="L918">
        <f>IF(Table134[[#This Row],[Churn]]="Yes",1,0)</f>
        <v>0</v>
      </c>
    </row>
    <row r="919" spans="1:12" x14ac:dyDescent="0.35">
      <c r="A919" t="s">
        <v>941</v>
      </c>
      <c r="B919" t="s">
        <v>17</v>
      </c>
      <c r="C919">
        <v>47</v>
      </c>
      <c r="D919">
        <v>53</v>
      </c>
      <c r="E919" t="s">
        <v>18</v>
      </c>
      <c r="F919" t="s">
        <v>33</v>
      </c>
      <c r="G919" t="s">
        <v>14</v>
      </c>
      <c r="H919">
        <v>50.11</v>
      </c>
      <c r="I919">
        <v>2648.83</v>
      </c>
      <c r="J919" t="s">
        <v>15</v>
      </c>
      <c r="K919" t="str">
        <f>IF(D919&lt;=12,"0-12 Months",IF(D919&lt;=24,"13-24 Months",IF(D919&lt;=48,"25-48 Months","49+ Months")))</f>
        <v>49+ Months</v>
      </c>
      <c r="L919">
        <f>IF(Table134[[#This Row],[Churn]]="Yes",1,0)</f>
        <v>0</v>
      </c>
    </row>
    <row r="920" spans="1:12" x14ac:dyDescent="0.35">
      <c r="A920" t="s">
        <v>942</v>
      </c>
      <c r="B920" t="s">
        <v>17</v>
      </c>
      <c r="C920">
        <v>30</v>
      </c>
      <c r="D920">
        <v>20</v>
      </c>
      <c r="E920" t="s">
        <v>12</v>
      </c>
      <c r="F920" t="s">
        <v>29</v>
      </c>
      <c r="G920" t="s">
        <v>14</v>
      </c>
      <c r="H920">
        <v>130.36000000000001</v>
      </c>
      <c r="I920">
        <v>2833.97</v>
      </c>
      <c r="J920" t="s">
        <v>15</v>
      </c>
      <c r="K920" t="str">
        <f>IF(D920&lt;=12,"0-12 Months",IF(D920&lt;=24,"13-24 Months",IF(D920&lt;=48,"25-48 Months","49+ Months")))</f>
        <v>13-24 Months</v>
      </c>
      <c r="L920">
        <f>IF(Table134[[#This Row],[Churn]]="Yes",1,0)</f>
        <v>0</v>
      </c>
    </row>
    <row r="921" spans="1:12" x14ac:dyDescent="0.35">
      <c r="A921" t="s">
        <v>943</v>
      </c>
      <c r="B921" t="s">
        <v>17</v>
      </c>
      <c r="C921">
        <v>30</v>
      </c>
      <c r="D921">
        <v>16</v>
      </c>
      <c r="E921" t="s">
        <v>12</v>
      </c>
      <c r="F921" t="s">
        <v>29</v>
      </c>
      <c r="G921" t="s">
        <v>14</v>
      </c>
      <c r="H921">
        <v>71.650000000000006</v>
      </c>
      <c r="I921">
        <v>1177.83</v>
      </c>
      <c r="J921" t="s">
        <v>15</v>
      </c>
      <c r="K921" t="str">
        <f>IF(D921&lt;=12,"0-12 Months",IF(D921&lt;=24,"13-24 Months",IF(D921&lt;=48,"25-48 Months","49+ Months")))</f>
        <v>13-24 Months</v>
      </c>
      <c r="L921">
        <f>IF(Table134[[#This Row],[Churn]]="Yes",1,0)</f>
        <v>0</v>
      </c>
    </row>
    <row r="922" spans="1:12" x14ac:dyDescent="0.35">
      <c r="A922" t="s">
        <v>944</v>
      </c>
      <c r="B922" t="s">
        <v>11</v>
      </c>
      <c r="C922">
        <v>35</v>
      </c>
      <c r="D922">
        <v>70</v>
      </c>
      <c r="E922" t="s">
        <v>12</v>
      </c>
      <c r="F922" t="s">
        <v>22</v>
      </c>
      <c r="G922" t="s">
        <v>14</v>
      </c>
      <c r="H922">
        <v>51.92</v>
      </c>
      <c r="I922">
        <v>3924.18</v>
      </c>
      <c r="J922" t="s">
        <v>15</v>
      </c>
      <c r="K922" t="str">
        <f>IF(D922&lt;=12,"0-12 Months",IF(D922&lt;=24,"13-24 Months",IF(D922&lt;=48,"25-48 Months","49+ Months")))</f>
        <v>49+ Months</v>
      </c>
      <c r="L922">
        <f>IF(Table134[[#This Row],[Churn]]="Yes",1,0)</f>
        <v>0</v>
      </c>
    </row>
    <row r="923" spans="1:12" x14ac:dyDescent="0.35">
      <c r="A923" t="s">
        <v>945</v>
      </c>
      <c r="B923" t="s">
        <v>11</v>
      </c>
      <c r="C923">
        <v>49</v>
      </c>
      <c r="D923">
        <v>56</v>
      </c>
      <c r="E923" t="s">
        <v>21</v>
      </c>
      <c r="F923" t="s">
        <v>13</v>
      </c>
      <c r="G923" t="s">
        <v>14</v>
      </c>
      <c r="H923">
        <v>125.6</v>
      </c>
      <c r="I923">
        <v>6972.42</v>
      </c>
      <c r="J923" t="s">
        <v>15</v>
      </c>
      <c r="K923" t="str">
        <f>IF(D923&lt;=12,"0-12 Months",IF(D923&lt;=24,"13-24 Months",IF(D923&lt;=48,"25-48 Months","49+ Months")))</f>
        <v>49+ Months</v>
      </c>
      <c r="L923">
        <f>IF(Table134[[#This Row],[Churn]]="Yes",1,0)</f>
        <v>0</v>
      </c>
    </row>
    <row r="924" spans="1:12" x14ac:dyDescent="0.35">
      <c r="A924" t="s">
        <v>946</v>
      </c>
      <c r="B924" t="s">
        <v>11</v>
      </c>
      <c r="C924">
        <v>49</v>
      </c>
      <c r="D924">
        <v>58</v>
      </c>
      <c r="E924" t="s">
        <v>12</v>
      </c>
      <c r="F924" t="s">
        <v>13</v>
      </c>
      <c r="G924" t="s">
        <v>14</v>
      </c>
      <c r="H924">
        <v>64.569999999999993</v>
      </c>
      <c r="I924">
        <v>3482.48</v>
      </c>
      <c r="J924" t="s">
        <v>15</v>
      </c>
      <c r="K924" t="str">
        <f>IF(D924&lt;=12,"0-12 Months",IF(D924&lt;=24,"13-24 Months",IF(D924&lt;=48,"25-48 Months","49+ Months")))</f>
        <v>49+ Months</v>
      </c>
      <c r="L924">
        <f>IF(Table134[[#This Row],[Churn]]="Yes",1,0)</f>
        <v>0</v>
      </c>
    </row>
    <row r="925" spans="1:12" x14ac:dyDescent="0.35">
      <c r="A925" t="s">
        <v>947</v>
      </c>
      <c r="B925" t="s">
        <v>11</v>
      </c>
      <c r="C925">
        <v>52</v>
      </c>
      <c r="D925">
        <v>4</v>
      </c>
      <c r="E925" t="s">
        <v>12</v>
      </c>
      <c r="F925" t="s">
        <v>29</v>
      </c>
      <c r="G925" t="s">
        <v>23</v>
      </c>
      <c r="H925">
        <v>34.49</v>
      </c>
      <c r="I925">
        <v>149.82</v>
      </c>
      <c r="J925" t="s">
        <v>15</v>
      </c>
      <c r="K925" t="str">
        <f>IF(D925&lt;=12,"0-12 Months",IF(D925&lt;=24,"13-24 Months",IF(D925&lt;=48,"25-48 Months","49+ Months")))</f>
        <v>0-12 Months</v>
      </c>
      <c r="L925">
        <f>IF(Table134[[#This Row],[Churn]]="Yes",1,0)</f>
        <v>0</v>
      </c>
    </row>
    <row r="926" spans="1:12" x14ac:dyDescent="0.35">
      <c r="A926" t="s">
        <v>948</v>
      </c>
      <c r="B926" t="s">
        <v>11</v>
      </c>
      <c r="C926">
        <v>56</v>
      </c>
      <c r="D926">
        <v>4</v>
      </c>
      <c r="E926" t="s">
        <v>21</v>
      </c>
      <c r="F926" t="s">
        <v>13</v>
      </c>
      <c r="G926" t="s">
        <v>23</v>
      </c>
      <c r="H926">
        <v>94.15</v>
      </c>
      <c r="I926">
        <v>373.49</v>
      </c>
      <c r="J926" t="s">
        <v>15</v>
      </c>
      <c r="K926" t="str">
        <f>IF(D926&lt;=12,"0-12 Months",IF(D926&lt;=24,"13-24 Months",IF(D926&lt;=48,"25-48 Months","49+ Months")))</f>
        <v>0-12 Months</v>
      </c>
      <c r="L926">
        <f>IF(Table134[[#This Row],[Churn]]="Yes",1,0)</f>
        <v>0</v>
      </c>
    </row>
    <row r="927" spans="1:12" x14ac:dyDescent="0.35">
      <c r="A927" t="s">
        <v>949</v>
      </c>
      <c r="B927" t="s">
        <v>11</v>
      </c>
      <c r="C927">
        <v>63</v>
      </c>
      <c r="D927">
        <v>20</v>
      </c>
      <c r="E927" t="s">
        <v>12</v>
      </c>
      <c r="F927" t="s">
        <v>29</v>
      </c>
      <c r="G927" t="s">
        <v>23</v>
      </c>
      <c r="H927">
        <v>95.6</v>
      </c>
      <c r="I927">
        <v>1790.26</v>
      </c>
      <c r="J927" t="s">
        <v>27</v>
      </c>
      <c r="K927" t="str">
        <f>IF(D927&lt;=12,"0-12 Months",IF(D927&lt;=24,"13-24 Months",IF(D927&lt;=48,"25-48 Months","49+ Months")))</f>
        <v>13-24 Months</v>
      </c>
      <c r="L927">
        <f>IF(Table134[[#This Row],[Churn]]="Yes",1,0)</f>
        <v>1</v>
      </c>
    </row>
    <row r="928" spans="1:12" x14ac:dyDescent="0.35">
      <c r="A928" t="s">
        <v>950</v>
      </c>
      <c r="B928" t="s">
        <v>11</v>
      </c>
      <c r="C928">
        <v>69</v>
      </c>
      <c r="D928">
        <v>10</v>
      </c>
      <c r="E928" t="s">
        <v>12</v>
      </c>
      <c r="F928" t="s">
        <v>33</v>
      </c>
      <c r="G928" t="s">
        <v>23</v>
      </c>
      <c r="H928">
        <v>112.91</v>
      </c>
      <c r="I928">
        <v>1084.48</v>
      </c>
      <c r="J928" t="s">
        <v>15</v>
      </c>
      <c r="K928" t="str">
        <f>IF(D928&lt;=12,"0-12 Months",IF(D928&lt;=24,"13-24 Months",IF(D928&lt;=48,"25-48 Months","49+ Months")))</f>
        <v>0-12 Months</v>
      </c>
      <c r="L928">
        <f>IF(Table134[[#This Row],[Churn]]="Yes",1,0)</f>
        <v>0</v>
      </c>
    </row>
    <row r="929" spans="1:12" x14ac:dyDescent="0.35">
      <c r="A929" t="s">
        <v>951</v>
      </c>
      <c r="B929" t="s">
        <v>17</v>
      </c>
      <c r="C929">
        <v>46</v>
      </c>
      <c r="D929">
        <v>24</v>
      </c>
      <c r="E929" t="s">
        <v>12</v>
      </c>
      <c r="F929" t="s">
        <v>29</v>
      </c>
      <c r="G929" t="s">
        <v>14</v>
      </c>
      <c r="H929">
        <v>51.23</v>
      </c>
      <c r="I929">
        <v>1119.06</v>
      </c>
      <c r="J929" t="s">
        <v>15</v>
      </c>
      <c r="K929" t="str">
        <f>IF(D929&lt;=12,"0-12 Months",IF(D929&lt;=24,"13-24 Months",IF(D929&lt;=48,"25-48 Months","49+ Months")))</f>
        <v>13-24 Months</v>
      </c>
      <c r="L929">
        <f>IF(Table134[[#This Row],[Churn]]="Yes",1,0)</f>
        <v>0</v>
      </c>
    </row>
    <row r="930" spans="1:12" x14ac:dyDescent="0.35">
      <c r="A930" t="s">
        <v>952</v>
      </c>
      <c r="B930" t="s">
        <v>17</v>
      </c>
      <c r="C930">
        <v>66</v>
      </c>
      <c r="D930">
        <v>26</v>
      </c>
      <c r="E930" t="s">
        <v>12</v>
      </c>
      <c r="F930" t="s">
        <v>33</v>
      </c>
      <c r="G930" t="s">
        <v>23</v>
      </c>
      <c r="H930">
        <v>77.69</v>
      </c>
      <c r="I930">
        <v>2007.13</v>
      </c>
      <c r="J930" t="s">
        <v>15</v>
      </c>
      <c r="K930" t="str">
        <f>IF(D930&lt;=12,"0-12 Months",IF(D930&lt;=24,"13-24 Months",IF(D930&lt;=48,"25-48 Months","49+ Months")))</f>
        <v>25-48 Months</v>
      </c>
      <c r="L930">
        <f>IF(Table134[[#This Row],[Churn]]="Yes",1,0)</f>
        <v>0</v>
      </c>
    </row>
    <row r="931" spans="1:12" x14ac:dyDescent="0.35">
      <c r="A931" t="s">
        <v>953</v>
      </c>
      <c r="B931" t="s">
        <v>11</v>
      </c>
      <c r="C931">
        <v>46</v>
      </c>
      <c r="D931">
        <v>37</v>
      </c>
      <c r="E931" t="s">
        <v>18</v>
      </c>
      <c r="F931" t="s">
        <v>13</v>
      </c>
      <c r="G931" t="s">
        <v>14</v>
      </c>
      <c r="H931">
        <v>56.71</v>
      </c>
      <c r="I931">
        <v>2246.46</v>
      </c>
      <c r="J931" t="s">
        <v>27</v>
      </c>
      <c r="K931" t="str">
        <f>IF(D931&lt;=12,"0-12 Months",IF(D931&lt;=24,"13-24 Months",IF(D931&lt;=48,"25-48 Months","49+ Months")))</f>
        <v>25-48 Months</v>
      </c>
      <c r="L931">
        <f>IF(Table134[[#This Row],[Churn]]="Yes",1,0)</f>
        <v>1</v>
      </c>
    </row>
    <row r="932" spans="1:12" x14ac:dyDescent="0.35">
      <c r="A932" t="s">
        <v>954</v>
      </c>
      <c r="B932" t="s">
        <v>11</v>
      </c>
      <c r="C932">
        <v>70</v>
      </c>
      <c r="D932">
        <v>54</v>
      </c>
      <c r="E932" t="s">
        <v>12</v>
      </c>
      <c r="F932" t="s">
        <v>33</v>
      </c>
      <c r="G932" t="s">
        <v>23</v>
      </c>
      <c r="H932">
        <v>30.52</v>
      </c>
      <c r="I932">
        <v>1791</v>
      </c>
      <c r="J932" t="s">
        <v>27</v>
      </c>
      <c r="K932" t="str">
        <f>IF(D932&lt;=12,"0-12 Months",IF(D932&lt;=24,"13-24 Months",IF(D932&lt;=48,"25-48 Months","49+ Months")))</f>
        <v>49+ Months</v>
      </c>
      <c r="L932">
        <f>IF(Table134[[#This Row],[Churn]]="Yes",1,0)</f>
        <v>1</v>
      </c>
    </row>
    <row r="933" spans="1:12" x14ac:dyDescent="0.35">
      <c r="A933" t="s">
        <v>955</v>
      </c>
      <c r="B933" t="s">
        <v>17</v>
      </c>
      <c r="C933">
        <v>61</v>
      </c>
      <c r="D933">
        <v>21</v>
      </c>
      <c r="E933" t="s">
        <v>12</v>
      </c>
      <c r="F933" t="s">
        <v>22</v>
      </c>
      <c r="G933" t="s">
        <v>23</v>
      </c>
      <c r="H933">
        <v>133.96</v>
      </c>
      <c r="I933">
        <v>3056.56</v>
      </c>
      <c r="J933" t="s">
        <v>15</v>
      </c>
      <c r="K933" t="str">
        <f>IF(D933&lt;=12,"0-12 Months",IF(D933&lt;=24,"13-24 Months",IF(D933&lt;=48,"25-48 Months","49+ Months")))</f>
        <v>13-24 Months</v>
      </c>
      <c r="L933">
        <f>IF(Table134[[#This Row],[Churn]]="Yes",1,0)</f>
        <v>0</v>
      </c>
    </row>
    <row r="934" spans="1:12" x14ac:dyDescent="0.35">
      <c r="A934" t="s">
        <v>956</v>
      </c>
      <c r="B934" t="s">
        <v>11</v>
      </c>
      <c r="C934">
        <v>33</v>
      </c>
      <c r="D934">
        <v>38</v>
      </c>
      <c r="E934" t="s">
        <v>12</v>
      </c>
      <c r="F934" t="s">
        <v>22</v>
      </c>
      <c r="G934" t="s">
        <v>14</v>
      </c>
      <c r="H934">
        <v>114.75</v>
      </c>
      <c r="I934">
        <v>4033.66</v>
      </c>
      <c r="J934" t="s">
        <v>15</v>
      </c>
      <c r="K934" t="str">
        <f>IF(D934&lt;=12,"0-12 Months",IF(D934&lt;=24,"13-24 Months",IF(D934&lt;=48,"25-48 Months","49+ Months")))</f>
        <v>25-48 Months</v>
      </c>
      <c r="L934">
        <f>IF(Table134[[#This Row],[Churn]]="Yes",1,0)</f>
        <v>0</v>
      </c>
    </row>
    <row r="935" spans="1:12" x14ac:dyDescent="0.35">
      <c r="A935" t="s">
        <v>957</v>
      </c>
      <c r="B935" t="s">
        <v>11</v>
      </c>
      <c r="C935">
        <v>61</v>
      </c>
      <c r="D935">
        <v>46</v>
      </c>
      <c r="E935" t="s">
        <v>21</v>
      </c>
      <c r="F935" t="s">
        <v>29</v>
      </c>
      <c r="G935" t="s">
        <v>23</v>
      </c>
      <c r="H935">
        <v>59.19</v>
      </c>
      <c r="I935">
        <v>2658.51</v>
      </c>
      <c r="J935" t="s">
        <v>15</v>
      </c>
      <c r="K935" t="str">
        <f>IF(D935&lt;=12,"0-12 Months",IF(D935&lt;=24,"13-24 Months",IF(D935&lt;=48,"25-48 Months","49+ Months")))</f>
        <v>25-48 Months</v>
      </c>
      <c r="L935">
        <f>IF(Table134[[#This Row],[Churn]]="Yes",1,0)</f>
        <v>0</v>
      </c>
    </row>
    <row r="936" spans="1:12" x14ac:dyDescent="0.35">
      <c r="A936" t="s">
        <v>958</v>
      </c>
      <c r="B936" t="s">
        <v>17</v>
      </c>
      <c r="C936">
        <v>64</v>
      </c>
      <c r="D936">
        <v>4</v>
      </c>
      <c r="E936" t="s">
        <v>21</v>
      </c>
      <c r="F936" t="s">
        <v>29</v>
      </c>
      <c r="G936" t="s">
        <v>23</v>
      </c>
      <c r="H936">
        <v>97.92</v>
      </c>
      <c r="I936">
        <v>354.72</v>
      </c>
      <c r="J936" t="s">
        <v>15</v>
      </c>
      <c r="K936" t="str">
        <f>IF(D936&lt;=12,"0-12 Months",IF(D936&lt;=24,"13-24 Months",IF(D936&lt;=48,"25-48 Months","49+ Months")))</f>
        <v>0-12 Months</v>
      </c>
      <c r="L936">
        <f>IF(Table134[[#This Row],[Churn]]="Yes",1,0)</f>
        <v>0</v>
      </c>
    </row>
    <row r="937" spans="1:12" x14ac:dyDescent="0.35">
      <c r="A937" t="s">
        <v>959</v>
      </c>
      <c r="B937" t="s">
        <v>11</v>
      </c>
      <c r="C937">
        <v>27</v>
      </c>
      <c r="D937">
        <v>60</v>
      </c>
      <c r="E937" t="s">
        <v>12</v>
      </c>
      <c r="F937" t="s">
        <v>29</v>
      </c>
      <c r="G937" t="s">
        <v>19</v>
      </c>
      <c r="H937">
        <v>46.16</v>
      </c>
      <c r="I937">
        <v>2966.33</v>
      </c>
      <c r="J937" t="s">
        <v>15</v>
      </c>
      <c r="K937" t="str">
        <f>IF(D937&lt;=12,"0-12 Months",IF(D937&lt;=24,"13-24 Months",IF(D937&lt;=48,"25-48 Months","49+ Months")))</f>
        <v>49+ Months</v>
      </c>
      <c r="L937">
        <f>IF(Table134[[#This Row],[Churn]]="Yes",1,0)</f>
        <v>0</v>
      </c>
    </row>
    <row r="938" spans="1:12" x14ac:dyDescent="0.35">
      <c r="A938" t="s">
        <v>960</v>
      </c>
      <c r="B938" t="s">
        <v>17</v>
      </c>
      <c r="C938">
        <v>47</v>
      </c>
      <c r="D938">
        <v>57</v>
      </c>
      <c r="E938" t="s">
        <v>21</v>
      </c>
      <c r="F938" t="s">
        <v>33</v>
      </c>
      <c r="G938" t="s">
        <v>14</v>
      </c>
      <c r="H938">
        <v>135.72999999999999</v>
      </c>
      <c r="I938">
        <v>7518.06</v>
      </c>
      <c r="J938" t="s">
        <v>15</v>
      </c>
      <c r="K938" t="str">
        <f>IF(D938&lt;=12,"0-12 Months",IF(D938&lt;=24,"13-24 Months",IF(D938&lt;=48,"25-48 Months","49+ Months")))</f>
        <v>49+ Months</v>
      </c>
      <c r="L938">
        <f>IF(Table134[[#This Row],[Churn]]="Yes",1,0)</f>
        <v>0</v>
      </c>
    </row>
    <row r="939" spans="1:12" x14ac:dyDescent="0.35">
      <c r="A939" t="s">
        <v>961</v>
      </c>
      <c r="B939" t="s">
        <v>11</v>
      </c>
      <c r="C939">
        <v>42</v>
      </c>
      <c r="D939">
        <v>45</v>
      </c>
      <c r="E939" t="s">
        <v>21</v>
      </c>
      <c r="F939" t="s">
        <v>33</v>
      </c>
      <c r="G939" t="s">
        <v>14</v>
      </c>
      <c r="H939">
        <v>34.94</v>
      </c>
      <c r="I939">
        <v>1613.53</v>
      </c>
      <c r="J939" t="s">
        <v>27</v>
      </c>
      <c r="K939" t="str">
        <f>IF(D939&lt;=12,"0-12 Months",IF(D939&lt;=24,"13-24 Months",IF(D939&lt;=48,"25-48 Months","49+ Months")))</f>
        <v>25-48 Months</v>
      </c>
      <c r="L939">
        <f>IF(Table134[[#This Row],[Churn]]="Yes",1,0)</f>
        <v>1</v>
      </c>
    </row>
    <row r="940" spans="1:12" x14ac:dyDescent="0.35">
      <c r="A940" t="s">
        <v>962</v>
      </c>
      <c r="B940" t="s">
        <v>17</v>
      </c>
      <c r="C940">
        <v>56</v>
      </c>
      <c r="D940">
        <v>20</v>
      </c>
      <c r="E940" t="s">
        <v>18</v>
      </c>
      <c r="F940" t="s">
        <v>13</v>
      </c>
      <c r="G940" t="s">
        <v>23</v>
      </c>
      <c r="H940">
        <v>20.5</v>
      </c>
      <c r="I940">
        <v>427.62</v>
      </c>
      <c r="J940" t="s">
        <v>15</v>
      </c>
      <c r="K940" t="str">
        <f>IF(D940&lt;=12,"0-12 Months",IF(D940&lt;=24,"13-24 Months",IF(D940&lt;=48,"25-48 Months","49+ Months")))</f>
        <v>13-24 Months</v>
      </c>
      <c r="L940">
        <f>IF(Table134[[#This Row],[Churn]]="Yes",1,0)</f>
        <v>0</v>
      </c>
    </row>
    <row r="941" spans="1:12" x14ac:dyDescent="0.35">
      <c r="A941" t="s">
        <v>963</v>
      </c>
      <c r="B941" t="s">
        <v>17</v>
      </c>
      <c r="C941">
        <v>37</v>
      </c>
      <c r="D941">
        <v>17</v>
      </c>
      <c r="E941" t="s">
        <v>18</v>
      </c>
      <c r="F941" t="s">
        <v>29</v>
      </c>
      <c r="G941" t="s">
        <v>14</v>
      </c>
      <c r="H941">
        <v>85.26</v>
      </c>
      <c r="I941">
        <v>1429.08</v>
      </c>
      <c r="J941" t="s">
        <v>15</v>
      </c>
      <c r="K941" t="str">
        <f>IF(D941&lt;=12,"0-12 Months",IF(D941&lt;=24,"13-24 Months",IF(D941&lt;=48,"25-48 Months","49+ Months")))</f>
        <v>13-24 Months</v>
      </c>
      <c r="L941">
        <f>IF(Table134[[#This Row],[Churn]]="Yes",1,0)</f>
        <v>0</v>
      </c>
    </row>
    <row r="942" spans="1:12" x14ac:dyDescent="0.35">
      <c r="A942" t="s">
        <v>964</v>
      </c>
      <c r="B942" t="s">
        <v>17</v>
      </c>
      <c r="C942">
        <v>22</v>
      </c>
      <c r="D942">
        <v>71</v>
      </c>
      <c r="E942" t="s">
        <v>12</v>
      </c>
      <c r="F942" t="s">
        <v>13</v>
      </c>
      <c r="G942" t="s">
        <v>19</v>
      </c>
      <c r="H942">
        <v>95.81</v>
      </c>
      <c r="I942">
        <v>6539.17</v>
      </c>
      <c r="J942" t="s">
        <v>27</v>
      </c>
      <c r="K942" t="str">
        <f>IF(D942&lt;=12,"0-12 Months",IF(D942&lt;=24,"13-24 Months",IF(D942&lt;=48,"25-48 Months","49+ Months")))</f>
        <v>49+ Months</v>
      </c>
      <c r="L942">
        <f>IF(Table134[[#This Row],[Churn]]="Yes",1,0)</f>
        <v>1</v>
      </c>
    </row>
    <row r="943" spans="1:12" x14ac:dyDescent="0.35">
      <c r="A943" t="s">
        <v>965</v>
      </c>
      <c r="B943" t="s">
        <v>11</v>
      </c>
      <c r="C943">
        <v>18</v>
      </c>
      <c r="D943">
        <v>4</v>
      </c>
      <c r="E943" t="s">
        <v>12</v>
      </c>
      <c r="F943" t="s">
        <v>22</v>
      </c>
      <c r="G943" t="s">
        <v>19</v>
      </c>
      <c r="H943">
        <v>95.27</v>
      </c>
      <c r="I943">
        <v>416.31</v>
      </c>
      <c r="J943" t="s">
        <v>15</v>
      </c>
      <c r="K943" t="str">
        <f>IF(D943&lt;=12,"0-12 Months",IF(D943&lt;=24,"13-24 Months",IF(D943&lt;=48,"25-48 Months","49+ Months")))</f>
        <v>0-12 Months</v>
      </c>
      <c r="L943">
        <f>IF(Table134[[#This Row],[Churn]]="Yes",1,0)</f>
        <v>0</v>
      </c>
    </row>
    <row r="944" spans="1:12" x14ac:dyDescent="0.35">
      <c r="A944" t="s">
        <v>966</v>
      </c>
      <c r="B944" t="s">
        <v>17</v>
      </c>
      <c r="C944">
        <v>47</v>
      </c>
      <c r="D944">
        <v>14</v>
      </c>
      <c r="E944" t="s">
        <v>12</v>
      </c>
      <c r="F944" t="s">
        <v>13</v>
      </c>
      <c r="G944" t="s">
        <v>14</v>
      </c>
      <c r="H944">
        <v>27.09</v>
      </c>
      <c r="I944">
        <v>414.49</v>
      </c>
      <c r="J944" t="s">
        <v>15</v>
      </c>
      <c r="K944" t="str">
        <f>IF(D944&lt;=12,"0-12 Months",IF(D944&lt;=24,"13-24 Months",IF(D944&lt;=48,"25-48 Months","49+ Months")))</f>
        <v>13-24 Months</v>
      </c>
      <c r="L944">
        <f>IF(Table134[[#This Row],[Churn]]="Yes",1,0)</f>
        <v>0</v>
      </c>
    </row>
    <row r="945" spans="1:12" x14ac:dyDescent="0.35">
      <c r="A945" t="s">
        <v>967</v>
      </c>
      <c r="B945" t="s">
        <v>11</v>
      </c>
      <c r="C945">
        <v>66</v>
      </c>
      <c r="D945">
        <v>3</v>
      </c>
      <c r="E945" t="s">
        <v>12</v>
      </c>
      <c r="F945" t="s">
        <v>22</v>
      </c>
      <c r="G945" t="s">
        <v>23</v>
      </c>
      <c r="H945">
        <v>60.83</v>
      </c>
      <c r="I945">
        <v>174.8</v>
      </c>
      <c r="J945" t="s">
        <v>15</v>
      </c>
      <c r="K945" t="str">
        <f>IF(D945&lt;=12,"0-12 Months",IF(D945&lt;=24,"13-24 Months",IF(D945&lt;=48,"25-48 Months","49+ Months")))</f>
        <v>0-12 Months</v>
      </c>
      <c r="L945">
        <f>IF(Table134[[#This Row],[Churn]]="Yes",1,0)</f>
        <v>0</v>
      </c>
    </row>
    <row r="946" spans="1:12" x14ac:dyDescent="0.35">
      <c r="A946" t="s">
        <v>968</v>
      </c>
      <c r="B946" t="s">
        <v>11</v>
      </c>
      <c r="C946">
        <v>20</v>
      </c>
      <c r="D946">
        <v>58</v>
      </c>
      <c r="E946" t="s">
        <v>18</v>
      </c>
      <c r="F946" t="s">
        <v>33</v>
      </c>
      <c r="G946" t="s">
        <v>19</v>
      </c>
      <c r="H946">
        <v>84.9</v>
      </c>
      <c r="I946">
        <v>4904.13</v>
      </c>
      <c r="J946" t="s">
        <v>15</v>
      </c>
      <c r="K946" t="str">
        <f>IF(D946&lt;=12,"0-12 Months",IF(D946&lt;=24,"13-24 Months",IF(D946&lt;=48,"25-48 Months","49+ Months")))</f>
        <v>49+ Months</v>
      </c>
      <c r="L946">
        <f>IF(Table134[[#This Row],[Churn]]="Yes",1,0)</f>
        <v>0</v>
      </c>
    </row>
    <row r="947" spans="1:12" x14ac:dyDescent="0.35">
      <c r="A947" t="s">
        <v>969</v>
      </c>
      <c r="B947" t="s">
        <v>11</v>
      </c>
      <c r="C947">
        <v>62</v>
      </c>
      <c r="D947">
        <v>55</v>
      </c>
      <c r="E947" t="s">
        <v>12</v>
      </c>
      <c r="F947" t="s">
        <v>29</v>
      </c>
      <c r="G947" t="s">
        <v>23</v>
      </c>
      <c r="H947">
        <v>48.16</v>
      </c>
      <c r="I947">
        <v>2899.29</v>
      </c>
      <c r="J947" t="s">
        <v>15</v>
      </c>
      <c r="K947" t="str">
        <f>IF(D947&lt;=12,"0-12 Months",IF(D947&lt;=24,"13-24 Months",IF(D947&lt;=48,"25-48 Months","49+ Months")))</f>
        <v>49+ Months</v>
      </c>
      <c r="L947">
        <f>IF(Table134[[#This Row],[Churn]]="Yes",1,0)</f>
        <v>0</v>
      </c>
    </row>
    <row r="948" spans="1:12" x14ac:dyDescent="0.35">
      <c r="A948" t="s">
        <v>970</v>
      </c>
      <c r="B948" t="s">
        <v>11</v>
      </c>
      <c r="C948">
        <v>31</v>
      </c>
      <c r="D948">
        <v>4</v>
      </c>
      <c r="E948" t="s">
        <v>12</v>
      </c>
      <c r="F948" t="s">
        <v>13</v>
      </c>
      <c r="G948" t="s">
        <v>14</v>
      </c>
      <c r="H948">
        <v>133.44</v>
      </c>
      <c r="I948">
        <v>480.9</v>
      </c>
      <c r="J948" t="s">
        <v>27</v>
      </c>
      <c r="K948" t="str">
        <f>IF(D948&lt;=12,"0-12 Months",IF(D948&lt;=24,"13-24 Months",IF(D948&lt;=48,"25-48 Months","49+ Months")))</f>
        <v>0-12 Months</v>
      </c>
      <c r="L948">
        <f>IF(Table134[[#This Row],[Churn]]="Yes",1,0)</f>
        <v>1</v>
      </c>
    </row>
    <row r="949" spans="1:12" x14ac:dyDescent="0.35">
      <c r="A949" t="s">
        <v>971</v>
      </c>
      <c r="B949" t="s">
        <v>17</v>
      </c>
      <c r="C949">
        <v>47</v>
      </c>
      <c r="D949">
        <v>24</v>
      </c>
      <c r="E949" t="s">
        <v>21</v>
      </c>
      <c r="F949" t="s">
        <v>13</v>
      </c>
      <c r="G949" t="s">
        <v>14</v>
      </c>
      <c r="H949">
        <v>31.32</v>
      </c>
      <c r="I949">
        <v>738.55</v>
      </c>
      <c r="J949" t="s">
        <v>15</v>
      </c>
      <c r="K949" t="str">
        <f>IF(D949&lt;=12,"0-12 Months",IF(D949&lt;=24,"13-24 Months",IF(D949&lt;=48,"25-48 Months","49+ Months")))</f>
        <v>13-24 Months</v>
      </c>
      <c r="L949">
        <f>IF(Table134[[#This Row],[Churn]]="Yes",1,0)</f>
        <v>0</v>
      </c>
    </row>
    <row r="950" spans="1:12" x14ac:dyDescent="0.35">
      <c r="A950" t="s">
        <v>972</v>
      </c>
      <c r="B950" t="s">
        <v>17</v>
      </c>
      <c r="C950">
        <v>67</v>
      </c>
      <c r="D950">
        <v>34</v>
      </c>
      <c r="E950" t="s">
        <v>12</v>
      </c>
      <c r="F950" t="s">
        <v>29</v>
      </c>
      <c r="G950" t="s">
        <v>23</v>
      </c>
      <c r="H950">
        <v>83.36</v>
      </c>
      <c r="I950">
        <v>2607.7600000000002</v>
      </c>
      <c r="J950" t="s">
        <v>15</v>
      </c>
      <c r="K950" t="str">
        <f>IF(D950&lt;=12,"0-12 Months",IF(D950&lt;=24,"13-24 Months",IF(D950&lt;=48,"25-48 Months","49+ Months")))</f>
        <v>25-48 Months</v>
      </c>
      <c r="L950">
        <f>IF(Table134[[#This Row],[Churn]]="Yes",1,0)</f>
        <v>0</v>
      </c>
    </row>
    <row r="951" spans="1:12" x14ac:dyDescent="0.35">
      <c r="A951" t="s">
        <v>973</v>
      </c>
      <c r="B951" t="s">
        <v>11</v>
      </c>
      <c r="C951">
        <v>21</v>
      </c>
      <c r="D951">
        <v>30</v>
      </c>
      <c r="E951" t="s">
        <v>12</v>
      </c>
      <c r="F951" t="s">
        <v>29</v>
      </c>
      <c r="G951" t="s">
        <v>19</v>
      </c>
      <c r="H951">
        <v>109.88</v>
      </c>
      <c r="I951">
        <v>3302.44</v>
      </c>
      <c r="J951" t="s">
        <v>15</v>
      </c>
      <c r="K951" t="str">
        <f>IF(D951&lt;=12,"0-12 Months",IF(D951&lt;=24,"13-24 Months",IF(D951&lt;=48,"25-48 Months","49+ Months")))</f>
        <v>25-48 Months</v>
      </c>
      <c r="L951">
        <f>IF(Table134[[#This Row],[Churn]]="Yes",1,0)</f>
        <v>0</v>
      </c>
    </row>
    <row r="952" spans="1:12" x14ac:dyDescent="0.35">
      <c r="A952" t="s">
        <v>974</v>
      </c>
      <c r="B952" t="s">
        <v>11</v>
      </c>
      <c r="C952">
        <v>35</v>
      </c>
      <c r="D952">
        <v>19</v>
      </c>
      <c r="E952" t="s">
        <v>12</v>
      </c>
      <c r="F952" t="s">
        <v>29</v>
      </c>
      <c r="G952" t="s">
        <v>14</v>
      </c>
      <c r="H952">
        <v>54.03</v>
      </c>
      <c r="I952">
        <v>928.98</v>
      </c>
      <c r="J952" t="s">
        <v>15</v>
      </c>
      <c r="K952" t="str">
        <f>IF(D952&lt;=12,"0-12 Months",IF(D952&lt;=24,"13-24 Months",IF(D952&lt;=48,"25-48 Months","49+ Months")))</f>
        <v>13-24 Months</v>
      </c>
      <c r="L952">
        <f>IF(Table134[[#This Row],[Churn]]="Yes",1,0)</f>
        <v>0</v>
      </c>
    </row>
    <row r="953" spans="1:12" x14ac:dyDescent="0.35">
      <c r="A953" t="s">
        <v>975</v>
      </c>
      <c r="B953" t="s">
        <v>17</v>
      </c>
      <c r="C953">
        <v>54</v>
      </c>
      <c r="D953">
        <v>31</v>
      </c>
      <c r="E953" t="s">
        <v>12</v>
      </c>
      <c r="F953" t="s">
        <v>33</v>
      </c>
      <c r="G953" t="s">
        <v>23</v>
      </c>
      <c r="H953">
        <v>101.15</v>
      </c>
      <c r="I953">
        <v>3077.26</v>
      </c>
      <c r="J953" t="s">
        <v>27</v>
      </c>
      <c r="K953" t="str">
        <f>IF(D953&lt;=12,"0-12 Months",IF(D953&lt;=24,"13-24 Months",IF(D953&lt;=48,"25-48 Months","49+ Months")))</f>
        <v>25-48 Months</v>
      </c>
      <c r="L953">
        <f>IF(Table134[[#This Row],[Churn]]="Yes",1,0)</f>
        <v>1</v>
      </c>
    </row>
    <row r="954" spans="1:12" x14ac:dyDescent="0.35">
      <c r="A954" t="s">
        <v>976</v>
      </c>
      <c r="B954" t="s">
        <v>11</v>
      </c>
      <c r="C954">
        <v>42</v>
      </c>
      <c r="D954">
        <v>60</v>
      </c>
      <c r="E954" t="s">
        <v>21</v>
      </c>
      <c r="F954" t="s">
        <v>13</v>
      </c>
      <c r="G954" t="s">
        <v>14</v>
      </c>
      <c r="H954">
        <v>127.82</v>
      </c>
      <c r="I954">
        <v>7240.8</v>
      </c>
      <c r="J954" t="s">
        <v>27</v>
      </c>
      <c r="K954" t="str">
        <f>IF(D954&lt;=12,"0-12 Months",IF(D954&lt;=24,"13-24 Months",IF(D954&lt;=48,"25-48 Months","49+ Months")))</f>
        <v>49+ Months</v>
      </c>
      <c r="L954">
        <f>IF(Table134[[#This Row],[Churn]]="Yes",1,0)</f>
        <v>1</v>
      </c>
    </row>
    <row r="955" spans="1:12" x14ac:dyDescent="0.35">
      <c r="A955" t="s">
        <v>977</v>
      </c>
      <c r="B955" t="s">
        <v>17</v>
      </c>
      <c r="C955">
        <v>65</v>
      </c>
      <c r="D955">
        <v>60</v>
      </c>
      <c r="E955" t="s">
        <v>12</v>
      </c>
      <c r="F955" t="s">
        <v>13</v>
      </c>
      <c r="G955" t="s">
        <v>23</v>
      </c>
      <c r="H955">
        <v>44.74</v>
      </c>
      <c r="I955">
        <v>2702.28</v>
      </c>
      <c r="J955" t="s">
        <v>15</v>
      </c>
      <c r="K955" t="str">
        <f>IF(D955&lt;=12,"0-12 Months",IF(D955&lt;=24,"13-24 Months",IF(D955&lt;=48,"25-48 Months","49+ Months")))</f>
        <v>49+ Months</v>
      </c>
      <c r="L955">
        <f>IF(Table134[[#This Row],[Churn]]="Yes",1,0)</f>
        <v>0</v>
      </c>
    </row>
    <row r="956" spans="1:12" x14ac:dyDescent="0.35">
      <c r="A956" t="s">
        <v>978</v>
      </c>
      <c r="B956" t="s">
        <v>11</v>
      </c>
      <c r="C956">
        <v>18</v>
      </c>
      <c r="D956">
        <v>19</v>
      </c>
      <c r="E956" t="s">
        <v>12</v>
      </c>
      <c r="F956" t="s">
        <v>33</v>
      </c>
      <c r="G956" t="s">
        <v>19</v>
      </c>
      <c r="H956">
        <v>139.24</v>
      </c>
      <c r="I956">
        <v>2908</v>
      </c>
      <c r="J956" t="s">
        <v>27</v>
      </c>
      <c r="K956" t="str">
        <f>IF(D956&lt;=12,"0-12 Months",IF(D956&lt;=24,"13-24 Months",IF(D956&lt;=48,"25-48 Months","49+ Months")))</f>
        <v>13-24 Months</v>
      </c>
      <c r="L956">
        <f>IF(Table134[[#This Row],[Churn]]="Yes",1,0)</f>
        <v>1</v>
      </c>
    </row>
    <row r="957" spans="1:12" x14ac:dyDescent="0.35">
      <c r="A957" t="s">
        <v>979</v>
      </c>
      <c r="B957" t="s">
        <v>11</v>
      </c>
      <c r="C957">
        <v>70</v>
      </c>
      <c r="D957">
        <v>49</v>
      </c>
      <c r="E957" t="s">
        <v>12</v>
      </c>
      <c r="F957" t="s">
        <v>22</v>
      </c>
      <c r="G957" t="s">
        <v>23</v>
      </c>
      <c r="H957">
        <v>91.96</v>
      </c>
      <c r="I957">
        <v>4776.8900000000003</v>
      </c>
      <c r="J957" t="s">
        <v>15</v>
      </c>
      <c r="K957" t="str">
        <f>IF(D957&lt;=12,"0-12 Months",IF(D957&lt;=24,"13-24 Months",IF(D957&lt;=48,"25-48 Months","49+ Months")))</f>
        <v>49+ Months</v>
      </c>
      <c r="L957">
        <f>IF(Table134[[#This Row],[Churn]]="Yes",1,0)</f>
        <v>0</v>
      </c>
    </row>
    <row r="958" spans="1:12" x14ac:dyDescent="0.35">
      <c r="A958" t="s">
        <v>980</v>
      </c>
      <c r="B958" t="s">
        <v>17</v>
      </c>
      <c r="C958">
        <v>63</v>
      </c>
      <c r="D958">
        <v>63</v>
      </c>
      <c r="E958" t="s">
        <v>12</v>
      </c>
      <c r="F958" t="s">
        <v>29</v>
      </c>
      <c r="G958" t="s">
        <v>23</v>
      </c>
      <c r="H958">
        <v>58.9</v>
      </c>
      <c r="I958">
        <v>3967.21</v>
      </c>
      <c r="J958" t="s">
        <v>15</v>
      </c>
      <c r="K958" t="str">
        <f>IF(D958&lt;=12,"0-12 Months",IF(D958&lt;=24,"13-24 Months",IF(D958&lt;=48,"25-48 Months","49+ Months")))</f>
        <v>49+ Months</v>
      </c>
      <c r="L958">
        <f>IF(Table134[[#This Row],[Churn]]="Yes",1,0)</f>
        <v>0</v>
      </c>
    </row>
    <row r="959" spans="1:12" x14ac:dyDescent="0.35">
      <c r="A959" t="s">
        <v>981</v>
      </c>
      <c r="B959" t="s">
        <v>11</v>
      </c>
      <c r="C959">
        <v>32</v>
      </c>
      <c r="D959">
        <v>22</v>
      </c>
      <c r="E959" t="s">
        <v>21</v>
      </c>
      <c r="F959" t="s">
        <v>13</v>
      </c>
      <c r="G959" t="s">
        <v>14</v>
      </c>
      <c r="H959">
        <v>76.010000000000005</v>
      </c>
      <c r="I959">
        <v>1717.46</v>
      </c>
      <c r="J959" t="s">
        <v>15</v>
      </c>
      <c r="K959" t="str">
        <f>IF(D959&lt;=12,"0-12 Months",IF(D959&lt;=24,"13-24 Months",IF(D959&lt;=48,"25-48 Months","49+ Months")))</f>
        <v>13-24 Months</v>
      </c>
      <c r="L959">
        <f>IF(Table134[[#This Row],[Churn]]="Yes",1,0)</f>
        <v>0</v>
      </c>
    </row>
    <row r="960" spans="1:12" x14ac:dyDescent="0.35">
      <c r="A960" t="s">
        <v>982</v>
      </c>
      <c r="B960" t="s">
        <v>17</v>
      </c>
      <c r="C960">
        <v>26</v>
      </c>
      <c r="D960">
        <v>24</v>
      </c>
      <c r="E960" t="s">
        <v>12</v>
      </c>
      <c r="F960" t="s">
        <v>13</v>
      </c>
      <c r="G960" t="s">
        <v>19</v>
      </c>
      <c r="H960">
        <v>60.58</v>
      </c>
      <c r="I960">
        <v>1320.61</v>
      </c>
      <c r="J960" t="s">
        <v>15</v>
      </c>
      <c r="K960" t="str">
        <f>IF(D960&lt;=12,"0-12 Months",IF(D960&lt;=24,"13-24 Months",IF(D960&lt;=48,"25-48 Months","49+ Months")))</f>
        <v>13-24 Months</v>
      </c>
      <c r="L960">
        <f>IF(Table134[[#This Row],[Churn]]="Yes",1,0)</f>
        <v>0</v>
      </c>
    </row>
    <row r="961" spans="1:12" x14ac:dyDescent="0.35">
      <c r="A961" t="s">
        <v>983</v>
      </c>
      <c r="B961" t="s">
        <v>11</v>
      </c>
      <c r="C961">
        <v>32</v>
      </c>
      <c r="D961">
        <v>30</v>
      </c>
      <c r="E961" t="s">
        <v>12</v>
      </c>
      <c r="F961" t="s">
        <v>22</v>
      </c>
      <c r="G961" t="s">
        <v>14</v>
      </c>
      <c r="H961">
        <v>114.26</v>
      </c>
      <c r="I961">
        <v>3226.79</v>
      </c>
      <c r="J961" t="s">
        <v>15</v>
      </c>
      <c r="K961" t="str">
        <f>IF(D961&lt;=12,"0-12 Months",IF(D961&lt;=24,"13-24 Months",IF(D961&lt;=48,"25-48 Months","49+ Months")))</f>
        <v>25-48 Months</v>
      </c>
      <c r="L961">
        <f>IF(Table134[[#This Row],[Churn]]="Yes",1,0)</f>
        <v>0</v>
      </c>
    </row>
    <row r="962" spans="1:12" x14ac:dyDescent="0.35">
      <c r="A962" t="s">
        <v>984</v>
      </c>
      <c r="B962" t="s">
        <v>11</v>
      </c>
      <c r="C962">
        <v>66</v>
      </c>
      <c r="D962">
        <v>58</v>
      </c>
      <c r="E962" t="s">
        <v>18</v>
      </c>
      <c r="F962" t="s">
        <v>22</v>
      </c>
      <c r="G962" t="s">
        <v>23</v>
      </c>
      <c r="H962">
        <v>123.52</v>
      </c>
      <c r="I962">
        <v>7773.21</v>
      </c>
      <c r="J962" t="s">
        <v>15</v>
      </c>
      <c r="K962" t="str">
        <f>IF(D962&lt;=12,"0-12 Months",IF(D962&lt;=24,"13-24 Months",IF(D962&lt;=48,"25-48 Months","49+ Months")))</f>
        <v>49+ Months</v>
      </c>
      <c r="L962">
        <f>IF(Table134[[#This Row],[Churn]]="Yes",1,0)</f>
        <v>0</v>
      </c>
    </row>
    <row r="963" spans="1:12" x14ac:dyDescent="0.35">
      <c r="A963" t="s">
        <v>985</v>
      </c>
      <c r="B963" t="s">
        <v>11</v>
      </c>
      <c r="C963">
        <v>41</v>
      </c>
      <c r="D963">
        <v>31</v>
      </c>
      <c r="E963" t="s">
        <v>21</v>
      </c>
      <c r="F963" t="s">
        <v>22</v>
      </c>
      <c r="G963" t="s">
        <v>14</v>
      </c>
      <c r="H963">
        <v>128.28</v>
      </c>
      <c r="I963">
        <v>3870.19</v>
      </c>
      <c r="J963" t="s">
        <v>27</v>
      </c>
      <c r="K963" t="str">
        <f>IF(D963&lt;=12,"0-12 Months",IF(D963&lt;=24,"13-24 Months",IF(D963&lt;=48,"25-48 Months","49+ Months")))</f>
        <v>25-48 Months</v>
      </c>
      <c r="L963">
        <f>IF(Table134[[#This Row],[Churn]]="Yes",1,0)</f>
        <v>1</v>
      </c>
    </row>
    <row r="964" spans="1:12" x14ac:dyDescent="0.35">
      <c r="A964" t="s">
        <v>986</v>
      </c>
      <c r="B964" t="s">
        <v>17</v>
      </c>
      <c r="C964">
        <v>21</v>
      </c>
      <c r="D964">
        <v>64</v>
      </c>
      <c r="E964" t="s">
        <v>12</v>
      </c>
      <c r="F964" t="s">
        <v>29</v>
      </c>
      <c r="G964" t="s">
        <v>19</v>
      </c>
      <c r="H964">
        <v>148.15</v>
      </c>
      <c r="I964">
        <v>8729.9699999999993</v>
      </c>
      <c r="J964" t="s">
        <v>27</v>
      </c>
      <c r="K964" t="str">
        <f>IF(D964&lt;=12,"0-12 Months",IF(D964&lt;=24,"13-24 Months",IF(D964&lt;=48,"25-48 Months","49+ Months")))</f>
        <v>49+ Months</v>
      </c>
      <c r="L964">
        <f>IF(Table134[[#This Row],[Churn]]="Yes",1,0)</f>
        <v>1</v>
      </c>
    </row>
    <row r="965" spans="1:12" x14ac:dyDescent="0.35">
      <c r="A965" t="s">
        <v>987</v>
      </c>
      <c r="B965" t="s">
        <v>11</v>
      </c>
      <c r="C965">
        <v>29</v>
      </c>
      <c r="D965">
        <v>19</v>
      </c>
      <c r="E965" t="s">
        <v>21</v>
      </c>
      <c r="F965" t="s">
        <v>33</v>
      </c>
      <c r="G965" t="s">
        <v>19</v>
      </c>
      <c r="H965">
        <v>122.87</v>
      </c>
      <c r="I965">
        <v>2429.0300000000002</v>
      </c>
      <c r="J965" t="s">
        <v>15</v>
      </c>
      <c r="K965" t="str">
        <f>IF(D965&lt;=12,"0-12 Months",IF(D965&lt;=24,"13-24 Months",IF(D965&lt;=48,"25-48 Months","49+ Months")))</f>
        <v>13-24 Months</v>
      </c>
      <c r="L965">
        <f>IF(Table134[[#This Row],[Churn]]="Yes",1,0)</f>
        <v>0</v>
      </c>
    </row>
    <row r="966" spans="1:12" x14ac:dyDescent="0.35">
      <c r="A966" t="s">
        <v>988</v>
      </c>
      <c r="B966" t="s">
        <v>11</v>
      </c>
      <c r="C966">
        <v>54</v>
      </c>
      <c r="D966">
        <v>48</v>
      </c>
      <c r="E966" t="s">
        <v>21</v>
      </c>
      <c r="F966" t="s">
        <v>29</v>
      </c>
      <c r="G966" t="s">
        <v>23</v>
      </c>
      <c r="H966">
        <v>98.18</v>
      </c>
      <c r="I966">
        <v>4523.62</v>
      </c>
      <c r="J966" t="s">
        <v>15</v>
      </c>
      <c r="K966" t="str">
        <f>IF(D966&lt;=12,"0-12 Months",IF(D966&lt;=24,"13-24 Months",IF(D966&lt;=48,"25-48 Months","49+ Months")))</f>
        <v>25-48 Months</v>
      </c>
      <c r="L966">
        <f>IF(Table134[[#This Row],[Churn]]="Yes",1,0)</f>
        <v>0</v>
      </c>
    </row>
    <row r="967" spans="1:12" x14ac:dyDescent="0.35">
      <c r="A967" t="s">
        <v>989</v>
      </c>
      <c r="B967" t="s">
        <v>11</v>
      </c>
      <c r="C967">
        <v>54</v>
      </c>
      <c r="D967">
        <v>45</v>
      </c>
      <c r="E967" t="s">
        <v>21</v>
      </c>
      <c r="F967" t="s">
        <v>29</v>
      </c>
      <c r="G967" t="s">
        <v>23</v>
      </c>
      <c r="H967">
        <v>64.099999999999994</v>
      </c>
      <c r="I967">
        <v>2751.15</v>
      </c>
      <c r="J967" t="s">
        <v>27</v>
      </c>
      <c r="K967" t="str">
        <f>IF(D967&lt;=12,"0-12 Months",IF(D967&lt;=24,"13-24 Months",IF(D967&lt;=48,"25-48 Months","49+ Months")))</f>
        <v>25-48 Months</v>
      </c>
      <c r="L967">
        <f>IF(Table134[[#This Row],[Churn]]="Yes",1,0)</f>
        <v>1</v>
      </c>
    </row>
    <row r="968" spans="1:12" x14ac:dyDescent="0.35">
      <c r="A968" t="s">
        <v>990</v>
      </c>
      <c r="B968" t="s">
        <v>11</v>
      </c>
      <c r="C968">
        <v>60</v>
      </c>
      <c r="D968">
        <v>55</v>
      </c>
      <c r="E968" t="s">
        <v>12</v>
      </c>
      <c r="F968" t="s">
        <v>29</v>
      </c>
      <c r="G968" t="s">
        <v>23</v>
      </c>
      <c r="H968">
        <v>90.8</v>
      </c>
      <c r="I968">
        <v>5491.38</v>
      </c>
      <c r="J968" t="s">
        <v>15</v>
      </c>
      <c r="K968" t="str">
        <f>IF(D968&lt;=12,"0-12 Months",IF(D968&lt;=24,"13-24 Months",IF(D968&lt;=48,"25-48 Months","49+ Months")))</f>
        <v>49+ Months</v>
      </c>
      <c r="L968">
        <f>IF(Table134[[#This Row],[Churn]]="Yes",1,0)</f>
        <v>0</v>
      </c>
    </row>
    <row r="969" spans="1:12" x14ac:dyDescent="0.35">
      <c r="A969" t="s">
        <v>991</v>
      </c>
      <c r="B969" t="s">
        <v>17</v>
      </c>
      <c r="C969">
        <v>23</v>
      </c>
      <c r="D969">
        <v>55</v>
      </c>
      <c r="E969" t="s">
        <v>18</v>
      </c>
      <c r="F969" t="s">
        <v>29</v>
      </c>
      <c r="G969" t="s">
        <v>19</v>
      </c>
      <c r="H969">
        <v>25.34</v>
      </c>
      <c r="I969">
        <v>1493.53</v>
      </c>
      <c r="J969" t="s">
        <v>15</v>
      </c>
      <c r="K969" t="str">
        <f>IF(D969&lt;=12,"0-12 Months",IF(D969&lt;=24,"13-24 Months",IF(D969&lt;=48,"25-48 Months","49+ Months")))</f>
        <v>49+ Months</v>
      </c>
      <c r="L969">
        <f>IF(Table134[[#This Row],[Churn]]="Yes",1,0)</f>
        <v>0</v>
      </c>
    </row>
    <row r="970" spans="1:12" x14ac:dyDescent="0.35">
      <c r="A970" t="s">
        <v>992</v>
      </c>
      <c r="B970" t="s">
        <v>17</v>
      </c>
      <c r="C970">
        <v>56</v>
      </c>
      <c r="D970">
        <v>18</v>
      </c>
      <c r="E970" t="s">
        <v>12</v>
      </c>
      <c r="F970" t="s">
        <v>29</v>
      </c>
      <c r="G970" t="s">
        <v>23</v>
      </c>
      <c r="H970">
        <v>116.83</v>
      </c>
      <c r="I970">
        <v>2064.2199999999998</v>
      </c>
      <c r="J970" t="s">
        <v>15</v>
      </c>
      <c r="K970" t="str">
        <f>IF(D970&lt;=12,"0-12 Months",IF(D970&lt;=24,"13-24 Months",IF(D970&lt;=48,"25-48 Months","49+ Months")))</f>
        <v>13-24 Months</v>
      </c>
      <c r="L970">
        <f>IF(Table134[[#This Row],[Churn]]="Yes",1,0)</f>
        <v>0</v>
      </c>
    </row>
    <row r="971" spans="1:12" x14ac:dyDescent="0.35">
      <c r="A971" t="s">
        <v>993</v>
      </c>
      <c r="B971" t="s">
        <v>11</v>
      </c>
      <c r="C971">
        <v>63</v>
      </c>
      <c r="D971">
        <v>63</v>
      </c>
      <c r="E971" t="s">
        <v>12</v>
      </c>
      <c r="F971" t="s">
        <v>33</v>
      </c>
      <c r="G971" t="s">
        <v>23</v>
      </c>
      <c r="H971">
        <v>77.97</v>
      </c>
      <c r="I971">
        <v>5383.93</v>
      </c>
      <c r="J971" t="s">
        <v>27</v>
      </c>
      <c r="K971" t="str">
        <f>IF(D971&lt;=12,"0-12 Months",IF(D971&lt;=24,"13-24 Months",IF(D971&lt;=48,"25-48 Months","49+ Months")))</f>
        <v>49+ Months</v>
      </c>
      <c r="L971">
        <f>IF(Table134[[#This Row],[Churn]]="Yes",1,0)</f>
        <v>1</v>
      </c>
    </row>
    <row r="972" spans="1:12" x14ac:dyDescent="0.35">
      <c r="A972" t="s">
        <v>994</v>
      </c>
      <c r="B972" t="s">
        <v>17</v>
      </c>
      <c r="C972">
        <v>41</v>
      </c>
      <c r="D972">
        <v>47</v>
      </c>
      <c r="E972" t="s">
        <v>12</v>
      </c>
      <c r="F972" t="s">
        <v>33</v>
      </c>
      <c r="G972" t="s">
        <v>14</v>
      </c>
      <c r="H972">
        <v>22.6</v>
      </c>
      <c r="I972">
        <v>1094.0899999999999</v>
      </c>
      <c r="J972" t="s">
        <v>15</v>
      </c>
      <c r="K972" t="str">
        <f>IF(D972&lt;=12,"0-12 Months",IF(D972&lt;=24,"13-24 Months",IF(D972&lt;=48,"25-48 Months","49+ Months")))</f>
        <v>25-48 Months</v>
      </c>
      <c r="L972">
        <f>IF(Table134[[#This Row],[Churn]]="Yes",1,0)</f>
        <v>0</v>
      </c>
    </row>
    <row r="973" spans="1:12" x14ac:dyDescent="0.35">
      <c r="A973" t="s">
        <v>995</v>
      </c>
      <c r="B973" t="s">
        <v>11</v>
      </c>
      <c r="C973">
        <v>28</v>
      </c>
      <c r="D973">
        <v>57</v>
      </c>
      <c r="E973" t="s">
        <v>12</v>
      </c>
      <c r="F973" t="s">
        <v>29</v>
      </c>
      <c r="G973" t="s">
        <v>19</v>
      </c>
      <c r="H973">
        <v>28.13</v>
      </c>
      <c r="I973">
        <v>1681.02</v>
      </c>
      <c r="J973" t="s">
        <v>27</v>
      </c>
      <c r="K973" t="str">
        <f>IF(D973&lt;=12,"0-12 Months",IF(D973&lt;=24,"13-24 Months",IF(D973&lt;=48,"25-48 Months","49+ Months")))</f>
        <v>49+ Months</v>
      </c>
      <c r="L973">
        <f>IF(Table134[[#This Row],[Churn]]="Yes",1,0)</f>
        <v>1</v>
      </c>
    </row>
    <row r="974" spans="1:12" x14ac:dyDescent="0.35">
      <c r="A974" t="s">
        <v>996</v>
      </c>
      <c r="B974" t="s">
        <v>11</v>
      </c>
      <c r="C974">
        <v>30</v>
      </c>
      <c r="D974">
        <v>45</v>
      </c>
      <c r="E974" t="s">
        <v>18</v>
      </c>
      <c r="F974" t="s">
        <v>29</v>
      </c>
      <c r="G974" t="s">
        <v>14</v>
      </c>
      <c r="H974">
        <v>70.37</v>
      </c>
      <c r="I974">
        <v>2869.94</v>
      </c>
      <c r="J974" t="s">
        <v>15</v>
      </c>
      <c r="K974" t="str">
        <f>IF(D974&lt;=12,"0-12 Months",IF(D974&lt;=24,"13-24 Months",IF(D974&lt;=48,"25-48 Months","49+ Months")))</f>
        <v>25-48 Months</v>
      </c>
      <c r="L974">
        <f>IF(Table134[[#This Row],[Churn]]="Yes",1,0)</f>
        <v>0</v>
      </c>
    </row>
    <row r="975" spans="1:12" x14ac:dyDescent="0.35">
      <c r="A975" t="s">
        <v>997</v>
      </c>
      <c r="B975" t="s">
        <v>11</v>
      </c>
      <c r="C975">
        <v>51</v>
      </c>
      <c r="D975">
        <v>33</v>
      </c>
      <c r="E975" t="s">
        <v>12</v>
      </c>
      <c r="F975" t="s">
        <v>29</v>
      </c>
      <c r="G975" t="s">
        <v>23</v>
      </c>
      <c r="H975">
        <v>95.84</v>
      </c>
      <c r="I975">
        <v>2923.37</v>
      </c>
      <c r="J975" t="s">
        <v>15</v>
      </c>
      <c r="K975" t="str">
        <f>IF(D975&lt;=12,"0-12 Months",IF(D975&lt;=24,"13-24 Months",IF(D975&lt;=48,"25-48 Months","49+ Months")))</f>
        <v>25-48 Months</v>
      </c>
      <c r="L975">
        <f>IF(Table134[[#This Row],[Churn]]="Yes",1,0)</f>
        <v>0</v>
      </c>
    </row>
    <row r="976" spans="1:12" x14ac:dyDescent="0.35">
      <c r="A976" t="s">
        <v>998</v>
      </c>
      <c r="B976" t="s">
        <v>17</v>
      </c>
      <c r="C976">
        <v>42</v>
      </c>
      <c r="D976">
        <v>17</v>
      </c>
      <c r="E976" t="s">
        <v>12</v>
      </c>
      <c r="F976" t="s">
        <v>29</v>
      </c>
      <c r="G976" t="s">
        <v>14</v>
      </c>
      <c r="H976">
        <v>80.349999999999994</v>
      </c>
      <c r="I976">
        <v>1402.31</v>
      </c>
      <c r="J976" t="s">
        <v>15</v>
      </c>
      <c r="K976" t="str">
        <f>IF(D976&lt;=12,"0-12 Months",IF(D976&lt;=24,"13-24 Months",IF(D976&lt;=48,"25-48 Months","49+ Months")))</f>
        <v>13-24 Months</v>
      </c>
      <c r="L976">
        <f>IF(Table134[[#This Row],[Churn]]="Yes",1,0)</f>
        <v>0</v>
      </c>
    </row>
    <row r="977" spans="1:12" x14ac:dyDescent="0.35">
      <c r="A977" t="s">
        <v>999</v>
      </c>
      <c r="B977" t="s">
        <v>17</v>
      </c>
      <c r="C977">
        <v>24</v>
      </c>
      <c r="D977">
        <v>70</v>
      </c>
      <c r="E977" t="s">
        <v>18</v>
      </c>
      <c r="F977" t="s">
        <v>29</v>
      </c>
      <c r="G977" t="s">
        <v>19</v>
      </c>
      <c r="H977">
        <v>100.5</v>
      </c>
      <c r="I977">
        <v>7596.43</v>
      </c>
      <c r="J977" t="s">
        <v>15</v>
      </c>
      <c r="K977" t="str">
        <f>IF(D977&lt;=12,"0-12 Months",IF(D977&lt;=24,"13-24 Months",IF(D977&lt;=48,"25-48 Months","49+ Months")))</f>
        <v>49+ Months</v>
      </c>
      <c r="L977">
        <f>IF(Table134[[#This Row],[Churn]]="Yes",1,0)</f>
        <v>0</v>
      </c>
    </row>
    <row r="978" spans="1:12" x14ac:dyDescent="0.35">
      <c r="A978" t="s">
        <v>1000</v>
      </c>
      <c r="B978" t="s">
        <v>17</v>
      </c>
      <c r="C978">
        <v>69</v>
      </c>
      <c r="D978">
        <v>4</v>
      </c>
      <c r="E978" t="s">
        <v>12</v>
      </c>
      <c r="F978" t="s">
        <v>33</v>
      </c>
      <c r="G978" t="s">
        <v>23</v>
      </c>
      <c r="H978">
        <v>82.44</v>
      </c>
      <c r="I978">
        <v>337.92</v>
      </c>
      <c r="J978" t="s">
        <v>27</v>
      </c>
      <c r="K978" t="str">
        <f>IF(D978&lt;=12,"0-12 Months",IF(D978&lt;=24,"13-24 Months",IF(D978&lt;=48,"25-48 Months","49+ Months")))</f>
        <v>0-12 Months</v>
      </c>
      <c r="L978">
        <f>IF(Table134[[#This Row],[Churn]]="Yes",1,0)</f>
        <v>1</v>
      </c>
    </row>
    <row r="979" spans="1:12" x14ac:dyDescent="0.35">
      <c r="A979" t="s">
        <v>1001</v>
      </c>
      <c r="B979" t="s">
        <v>17</v>
      </c>
      <c r="C979">
        <v>21</v>
      </c>
      <c r="D979">
        <v>20</v>
      </c>
      <c r="E979" t="s">
        <v>12</v>
      </c>
      <c r="F979" t="s">
        <v>29</v>
      </c>
      <c r="G979" t="s">
        <v>19</v>
      </c>
      <c r="H979">
        <v>106.02</v>
      </c>
      <c r="I979">
        <v>1965.2</v>
      </c>
      <c r="J979" t="s">
        <v>27</v>
      </c>
      <c r="K979" t="str">
        <f>IF(D979&lt;=12,"0-12 Months",IF(D979&lt;=24,"13-24 Months",IF(D979&lt;=48,"25-48 Months","49+ Months")))</f>
        <v>13-24 Months</v>
      </c>
      <c r="L979">
        <f>IF(Table134[[#This Row],[Churn]]="Yes",1,0)</f>
        <v>1</v>
      </c>
    </row>
    <row r="980" spans="1:12" x14ac:dyDescent="0.35">
      <c r="A980" t="s">
        <v>1002</v>
      </c>
      <c r="B980" t="s">
        <v>17</v>
      </c>
      <c r="C980">
        <v>25</v>
      </c>
      <c r="D980">
        <v>47</v>
      </c>
      <c r="E980" t="s">
        <v>12</v>
      </c>
      <c r="F980" t="s">
        <v>13</v>
      </c>
      <c r="G980" t="s">
        <v>19</v>
      </c>
      <c r="H980">
        <v>48.49</v>
      </c>
      <c r="I980">
        <v>2103.89</v>
      </c>
      <c r="J980" t="s">
        <v>15</v>
      </c>
      <c r="K980" t="str">
        <f>IF(D980&lt;=12,"0-12 Months",IF(D980&lt;=24,"13-24 Months",IF(D980&lt;=48,"25-48 Months","49+ Months")))</f>
        <v>25-48 Months</v>
      </c>
      <c r="L980">
        <f>IF(Table134[[#This Row],[Churn]]="Yes",1,0)</f>
        <v>0</v>
      </c>
    </row>
    <row r="981" spans="1:12" x14ac:dyDescent="0.35">
      <c r="A981" t="s">
        <v>1003</v>
      </c>
      <c r="B981" t="s">
        <v>17</v>
      </c>
      <c r="C981">
        <v>37</v>
      </c>
      <c r="D981">
        <v>15</v>
      </c>
      <c r="E981" t="s">
        <v>12</v>
      </c>
      <c r="F981" t="s">
        <v>29</v>
      </c>
      <c r="G981" t="s">
        <v>14</v>
      </c>
      <c r="H981">
        <v>34.67</v>
      </c>
      <c r="I981">
        <v>555.85</v>
      </c>
      <c r="J981" t="s">
        <v>27</v>
      </c>
      <c r="K981" t="str">
        <f>IF(D981&lt;=12,"0-12 Months",IF(D981&lt;=24,"13-24 Months",IF(D981&lt;=48,"25-48 Months","49+ Months")))</f>
        <v>13-24 Months</v>
      </c>
      <c r="L981">
        <f>IF(Table134[[#This Row],[Churn]]="Yes",1,0)</f>
        <v>1</v>
      </c>
    </row>
    <row r="982" spans="1:12" x14ac:dyDescent="0.35">
      <c r="A982" t="s">
        <v>1004</v>
      </c>
      <c r="B982" t="s">
        <v>17</v>
      </c>
      <c r="C982">
        <v>46</v>
      </c>
      <c r="D982">
        <v>70</v>
      </c>
      <c r="E982" t="s">
        <v>12</v>
      </c>
      <c r="F982" t="s">
        <v>33</v>
      </c>
      <c r="G982" t="s">
        <v>14</v>
      </c>
      <c r="H982">
        <v>97.54</v>
      </c>
      <c r="I982">
        <v>6335.25</v>
      </c>
      <c r="J982" t="s">
        <v>15</v>
      </c>
      <c r="K982" t="str">
        <f>IF(D982&lt;=12,"0-12 Months",IF(D982&lt;=24,"13-24 Months",IF(D982&lt;=48,"25-48 Months","49+ Months")))</f>
        <v>49+ Months</v>
      </c>
      <c r="L982">
        <f>IF(Table134[[#This Row],[Churn]]="Yes",1,0)</f>
        <v>0</v>
      </c>
    </row>
    <row r="983" spans="1:12" x14ac:dyDescent="0.35">
      <c r="A983" t="s">
        <v>1005</v>
      </c>
      <c r="B983" t="s">
        <v>17</v>
      </c>
      <c r="C983">
        <v>70</v>
      </c>
      <c r="D983">
        <v>47</v>
      </c>
      <c r="E983" t="s">
        <v>21</v>
      </c>
      <c r="F983" t="s">
        <v>22</v>
      </c>
      <c r="G983" t="s">
        <v>23</v>
      </c>
      <c r="H983">
        <v>83.01</v>
      </c>
      <c r="I983">
        <v>3917.26</v>
      </c>
      <c r="J983" t="s">
        <v>15</v>
      </c>
      <c r="K983" t="str">
        <f>IF(D983&lt;=12,"0-12 Months",IF(D983&lt;=24,"13-24 Months",IF(D983&lt;=48,"25-48 Months","49+ Months")))</f>
        <v>25-48 Months</v>
      </c>
      <c r="L983">
        <f>IF(Table134[[#This Row],[Churn]]="Yes",1,0)</f>
        <v>0</v>
      </c>
    </row>
    <row r="984" spans="1:12" x14ac:dyDescent="0.35">
      <c r="A984" t="s">
        <v>1006</v>
      </c>
      <c r="B984" t="s">
        <v>17</v>
      </c>
      <c r="C984">
        <v>68</v>
      </c>
      <c r="D984">
        <v>9</v>
      </c>
      <c r="E984" t="s">
        <v>12</v>
      </c>
      <c r="F984" t="s">
        <v>33</v>
      </c>
      <c r="G984" t="s">
        <v>23</v>
      </c>
      <c r="H984">
        <v>23.49</v>
      </c>
      <c r="I984">
        <v>191.84</v>
      </c>
      <c r="J984" t="s">
        <v>15</v>
      </c>
      <c r="K984" t="str">
        <f>IF(D984&lt;=12,"0-12 Months",IF(D984&lt;=24,"13-24 Months",IF(D984&lt;=48,"25-48 Months","49+ Months")))</f>
        <v>0-12 Months</v>
      </c>
      <c r="L984">
        <f>IF(Table134[[#This Row],[Churn]]="Yes",1,0)</f>
        <v>0</v>
      </c>
    </row>
    <row r="985" spans="1:12" x14ac:dyDescent="0.35">
      <c r="A985" t="s">
        <v>1007</v>
      </c>
      <c r="B985" t="s">
        <v>11</v>
      </c>
      <c r="C985">
        <v>62</v>
      </c>
      <c r="D985">
        <v>16</v>
      </c>
      <c r="E985" t="s">
        <v>12</v>
      </c>
      <c r="F985" t="s">
        <v>22</v>
      </c>
      <c r="G985" t="s">
        <v>23</v>
      </c>
      <c r="H985">
        <v>69.459999999999994</v>
      </c>
      <c r="I985">
        <v>1018.15</v>
      </c>
      <c r="J985" t="s">
        <v>15</v>
      </c>
      <c r="K985" t="str">
        <f>IF(D985&lt;=12,"0-12 Months",IF(D985&lt;=24,"13-24 Months",IF(D985&lt;=48,"25-48 Months","49+ Months")))</f>
        <v>13-24 Months</v>
      </c>
      <c r="L985">
        <f>IF(Table134[[#This Row],[Churn]]="Yes",1,0)</f>
        <v>0</v>
      </c>
    </row>
    <row r="986" spans="1:12" x14ac:dyDescent="0.35">
      <c r="A986" t="s">
        <v>1008</v>
      </c>
      <c r="B986" t="s">
        <v>17</v>
      </c>
      <c r="C986">
        <v>63</v>
      </c>
      <c r="D986">
        <v>69</v>
      </c>
      <c r="E986" t="s">
        <v>21</v>
      </c>
      <c r="F986" t="s">
        <v>29</v>
      </c>
      <c r="G986" t="s">
        <v>23</v>
      </c>
      <c r="H986">
        <v>33.799999999999997</v>
      </c>
      <c r="I986">
        <v>2412.59</v>
      </c>
      <c r="J986" t="s">
        <v>15</v>
      </c>
      <c r="K986" t="str">
        <f>IF(D986&lt;=12,"0-12 Months",IF(D986&lt;=24,"13-24 Months",IF(D986&lt;=48,"25-48 Months","49+ Months")))</f>
        <v>49+ Months</v>
      </c>
      <c r="L986">
        <f>IF(Table134[[#This Row],[Churn]]="Yes",1,0)</f>
        <v>0</v>
      </c>
    </row>
    <row r="987" spans="1:12" x14ac:dyDescent="0.35">
      <c r="A987" t="s">
        <v>1009</v>
      </c>
      <c r="B987" t="s">
        <v>17</v>
      </c>
      <c r="C987">
        <v>27</v>
      </c>
      <c r="D987">
        <v>61</v>
      </c>
      <c r="E987" t="s">
        <v>21</v>
      </c>
      <c r="F987" t="s">
        <v>29</v>
      </c>
      <c r="G987" t="s">
        <v>19</v>
      </c>
      <c r="H987">
        <v>89.08</v>
      </c>
      <c r="I987">
        <v>5639.48</v>
      </c>
      <c r="J987" t="s">
        <v>15</v>
      </c>
      <c r="K987" t="str">
        <f>IF(D987&lt;=12,"0-12 Months",IF(D987&lt;=24,"13-24 Months",IF(D987&lt;=48,"25-48 Months","49+ Months")))</f>
        <v>49+ Months</v>
      </c>
      <c r="L987">
        <f>IF(Table134[[#This Row],[Churn]]="Yes",1,0)</f>
        <v>0</v>
      </c>
    </row>
    <row r="988" spans="1:12" x14ac:dyDescent="0.35">
      <c r="A988" t="s">
        <v>1010</v>
      </c>
      <c r="B988" t="s">
        <v>17</v>
      </c>
      <c r="C988">
        <v>60</v>
      </c>
      <c r="D988">
        <v>10</v>
      </c>
      <c r="E988" t="s">
        <v>12</v>
      </c>
      <c r="F988" t="s">
        <v>22</v>
      </c>
      <c r="G988" t="s">
        <v>23</v>
      </c>
      <c r="H988">
        <v>71.45</v>
      </c>
      <c r="I988">
        <v>691.85</v>
      </c>
      <c r="J988" t="s">
        <v>15</v>
      </c>
      <c r="K988" t="str">
        <f>IF(D988&lt;=12,"0-12 Months",IF(D988&lt;=24,"13-24 Months",IF(D988&lt;=48,"25-48 Months","49+ Months")))</f>
        <v>0-12 Months</v>
      </c>
      <c r="L988">
        <f>IF(Table134[[#This Row],[Churn]]="Yes",1,0)</f>
        <v>0</v>
      </c>
    </row>
    <row r="989" spans="1:12" x14ac:dyDescent="0.35">
      <c r="A989" t="s">
        <v>1011</v>
      </c>
      <c r="B989" t="s">
        <v>17</v>
      </c>
      <c r="C989">
        <v>51</v>
      </c>
      <c r="D989">
        <v>50</v>
      </c>
      <c r="E989" t="s">
        <v>12</v>
      </c>
      <c r="F989" t="s">
        <v>13</v>
      </c>
      <c r="G989" t="s">
        <v>23</v>
      </c>
      <c r="H989">
        <v>99.71</v>
      </c>
      <c r="I989">
        <v>4701.93</v>
      </c>
      <c r="J989" t="s">
        <v>15</v>
      </c>
      <c r="K989" t="str">
        <f>IF(D989&lt;=12,"0-12 Months",IF(D989&lt;=24,"13-24 Months",IF(D989&lt;=48,"25-48 Months","49+ Months")))</f>
        <v>49+ Months</v>
      </c>
      <c r="L989">
        <f>IF(Table134[[#This Row],[Churn]]="Yes",1,0)</f>
        <v>0</v>
      </c>
    </row>
    <row r="990" spans="1:12" x14ac:dyDescent="0.35">
      <c r="A990" t="s">
        <v>1012</v>
      </c>
      <c r="B990" t="s">
        <v>17</v>
      </c>
      <c r="C990">
        <v>43</v>
      </c>
      <c r="D990">
        <v>3</v>
      </c>
      <c r="E990" t="s">
        <v>12</v>
      </c>
      <c r="F990" t="s">
        <v>13</v>
      </c>
      <c r="G990" t="s">
        <v>14</v>
      </c>
      <c r="H990">
        <v>124.73</v>
      </c>
      <c r="I990">
        <v>397.67</v>
      </c>
      <c r="J990" t="s">
        <v>27</v>
      </c>
      <c r="K990" t="str">
        <f>IF(D990&lt;=12,"0-12 Months",IF(D990&lt;=24,"13-24 Months",IF(D990&lt;=48,"25-48 Months","49+ Months")))</f>
        <v>0-12 Months</v>
      </c>
      <c r="L990">
        <f>IF(Table134[[#This Row],[Churn]]="Yes",1,0)</f>
        <v>1</v>
      </c>
    </row>
    <row r="991" spans="1:12" x14ac:dyDescent="0.35">
      <c r="A991" t="s">
        <v>1013</v>
      </c>
      <c r="B991" t="s">
        <v>17</v>
      </c>
      <c r="C991">
        <v>58</v>
      </c>
      <c r="D991">
        <v>70</v>
      </c>
      <c r="E991" t="s">
        <v>12</v>
      </c>
      <c r="F991" t="s">
        <v>29</v>
      </c>
      <c r="G991" t="s">
        <v>23</v>
      </c>
      <c r="H991">
        <v>58.96</v>
      </c>
      <c r="I991">
        <v>3893.69</v>
      </c>
      <c r="J991" t="s">
        <v>27</v>
      </c>
      <c r="K991" t="str">
        <f>IF(D991&lt;=12,"0-12 Months",IF(D991&lt;=24,"13-24 Months",IF(D991&lt;=48,"25-48 Months","49+ Months")))</f>
        <v>49+ Months</v>
      </c>
      <c r="L991">
        <f>IF(Table134[[#This Row],[Churn]]="Yes",1,0)</f>
        <v>1</v>
      </c>
    </row>
    <row r="992" spans="1:12" x14ac:dyDescent="0.35">
      <c r="A992" t="s">
        <v>1014</v>
      </c>
      <c r="B992" t="s">
        <v>17</v>
      </c>
      <c r="C992">
        <v>66</v>
      </c>
      <c r="D992">
        <v>51</v>
      </c>
      <c r="E992" t="s">
        <v>12</v>
      </c>
      <c r="F992" t="s">
        <v>29</v>
      </c>
      <c r="G992" t="s">
        <v>23</v>
      </c>
      <c r="H992">
        <v>145.07</v>
      </c>
      <c r="I992">
        <v>7460.76</v>
      </c>
      <c r="J992" t="s">
        <v>15</v>
      </c>
      <c r="K992" t="str">
        <f>IF(D992&lt;=12,"0-12 Months",IF(D992&lt;=24,"13-24 Months",IF(D992&lt;=48,"25-48 Months","49+ Months")))</f>
        <v>49+ Months</v>
      </c>
      <c r="L992">
        <f>IF(Table134[[#This Row],[Churn]]="Yes",1,0)</f>
        <v>0</v>
      </c>
    </row>
    <row r="993" spans="1:12" x14ac:dyDescent="0.35">
      <c r="A993" t="s">
        <v>1015</v>
      </c>
      <c r="B993" t="s">
        <v>17</v>
      </c>
      <c r="C993">
        <v>20</v>
      </c>
      <c r="D993">
        <v>19</v>
      </c>
      <c r="E993" t="s">
        <v>12</v>
      </c>
      <c r="F993" t="s">
        <v>13</v>
      </c>
      <c r="G993" t="s">
        <v>19</v>
      </c>
      <c r="H993">
        <v>89.63</v>
      </c>
      <c r="I993">
        <v>1862.44</v>
      </c>
      <c r="J993" t="s">
        <v>15</v>
      </c>
      <c r="K993" t="str">
        <f>IF(D993&lt;=12,"0-12 Months",IF(D993&lt;=24,"13-24 Months",IF(D993&lt;=48,"25-48 Months","49+ Months")))</f>
        <v>13-24 Months</v>
      </c>
      <c r="L993">
        <f>IF(Table134[[#This Row],[Churn]]="Yes",1,0)</f>
        <v>0</v>
      </c>
    </row>
    <row r="994" spans="1:12" x14ac:dyDescent="0.35">
      <c r="A994" t="s">
        <v>1016</v>
      </c>
      <c r="B994" t="s">
        <v>17</v>
      </c>
      <c r="C994">
        <v>23</v>
      </c>
      <c r="D994">
        <v>42</v>
      </c>
      <c r="E994" t="s">
        <v>18</v>
      </c>
      <c r="F994" t="s">
        <v>13</v>
      </c>
      <c r="G994" t="s">
        <v>19</v>
      </c>
      <c r="H994">
        <v>100.38</v>
      </c>
      <c r="I994">
        <v>3919.03</v>
      </c>
      <c r="J994" t="s">
        <v>15</v>
      </c>
      <c r="K994" t="str">
        <f>IF(D994&lt;=12,"0-12 Months",IF(D994&lt;=24,"13-24 Months",IF(D994&lt;=48,"25-48 Months","49+ Months")))</f>
        <v>25-48 Months</v>
      </c>
      <c r="L994">
        <f>IF(Table134[[#This Row],[Churn]]="Yes",1,0)</f>
        <v>0</v>
      </c>
    </row>
    <row r="995" spans="1:12" x14ac:dyDescent="0.35">
      <c r="A995" t="s">
        <v>1017</v>
      </c>
      <c r="B995" t="s">
        <v>17</v>
      </c>
      <c r="C995">
        <v>22</v>
      </c>
      <c r="D995">
        <v>35</v>
      </c>
      <c r="E995" t="s">
        <v>12</v>
      </c>
      <c r="F995" t="s">
        <v>22</v>
      </c>
      <c r="G995" t="s">
        <v>19</v>
      </c>
      <c r="H995">
        <v>108.49</v>
      </c>
      <c r="I995">
        <v>4131.96</v>
      </c>
      <c r="J995" t="s">
        <v>27</v>
      </c>
      <c r="K995" t="str">
        <f>IF(D995&lt;=12,"0-12 Months",IF(D995&lt;=24,"13-24 Months",IF(D995&lt;=48,"25-48 Months","49+ Months")))</f>
        <v>25-48 Months</v>
      </c>
      <c r="L995">
        <f>IF(Table134[[#This Row],[Churn]]="Yes",1,0)</f>
        <v>1</v>
      </c>
    </row>
    <row r="996" spans="1:12" x14ac:dyDescent="0.35">
      <c r="A996" t="s">
        <v>1018</v>
      </c>
      <c r="B996" t="s">
        <v>17</v>
      </c>
      <c r="C996">
        <v>22</v>
      </c>
      <c r="D996">
        <v>46</v>
      </c>
      <c r="E996" t="s">
        <v>21</v>
      </c>
      <c r="F996" t="s">
        <v>29</v>
      </c>
      <c r="G996" t="s">
        <v>19</v>
      </c>
      <c r="H996">
        <v>106.68</v>
      </c>
      <c r="I996">
        <v>4596.05</v>
      </c>
      <c r="J996" t="s">
        <v>27</v>
      </c>
      <c r="K996" t="str">
        <f>IF(D996&lt;=12,"0-12 Months",IF(D996&lt;=24,"13-24 Months",IF(D996&lt;=48,"25-48 Months","49+ Months")))</f>
        <v>25-48 Months</v>
      </c>
      <c r="L996">
        <f>IF(Table134[[#This Row],[Churn]]="Yes",1,0)</f>
        <v>1</v>
      </c>
    </row>
    <row r="997" spans="1:12" x14ac:dyDescent="0.35">
      <c r="A997" t="s">
        <v>1019</v>
      </c>
      <c r="B997" t="s">
        <v>11</v>
      </c>
      <c r="C997">
        <v>64</v>
      </c>
      <c r="D997">
        <v>26</v>
      </c>
      <c r="E997" t="s">
        <v>12</v>
      </c>
      <c r="F997" t="s">
        <v>13</v>
      </c>
      <c r="G997" t="s">
        <v>23</v>
      </c>
      <c r="H997">
        <v>86.43</v>
      </c>
      <c r="I997">
        <v>2277.4899999999998</v>
      </c>
      <c r="J997" t="s">
        <v>15</v>
      </c>
      <c r="K997" t="str">
        <f>IF(D997&lt;=12,"0-12 Months",IF(D997&lt;=24,"13-24 Months",IF(D997&lt;=48,"25-48 Months","49+ Months")))</f>
        <v>25-48 Months</v>
      </c>
      <c r="L997">
        <f>IF(Table134[[#This Row],[Churn]]="Yes",1,0)</f>
        <v>0</v>
      </c>
    </row>
    <row r="998" spans="1:12" x14ac:dyDescent="0.35">
      <c r="A998" t="s">
        <v>1020</v>
      </c>
      <c r="B998" t="s">
        <v>11</v>
      </c>
      <c r="C998">
        <v>40</v>
      </c>
      <c r="D998">
        <v>69</v>
      </c>
      <c r="E998" t="s">
        <v>21</v>
      </c>
      <c r="F998" t="s">
        <v>29</v>
      </c>
      <c r="G998" t="s">
        <v>14</v>
      </c>
      <c r="H998">
        <v>75.739999999999995</v>
      </c>
      <c r="I998">
        <v>5097.51</v>
      </c>
      <c r="J998" t="s">
        <v>15</v>
      </c>
      <c r="K998" t="str">
        <f>IF(D998&lt;=12,"0-12 Months",IF(D998&lt;=24,"13-24 Months",IF(D998&lt;=48,"25-48 Months","49+ Months")))</f>
        <v>49+ Months</v>
      </c>
      <c r="L998">
        <f>IF(Table134[[#This Row],[Churn]]="Yes",1,0)</f>
        <v>0</v>
      </c>
    </row>
    <row r="999" spans="1:12" x14ac:dyDescent="0.35">
      <c r="A999" t="s">
        <v>1021</v>
      </c>
      <c r="B999" t="s">
        <v>17</v>
      </c>
      <c r="C999">
        <v>66</v>
      </c>
      <c r="D999">
        <v>64</v>
      </c>
      <c r="E999" t="s">
        <v>21</v>
      </c>
      <c r="F999" t="s">
        <v>29</v>
      </c>
      <c r="G999" t="s">
        <v>23</v>
      </c>
      <c r="H999">
        <v>26.99</v>
      </c>
      <c r="I999">
        <v>1887.98</v>
      </c>
      <c r="J999" t="s">
        <v>27</v>
      </c>
      <c r="K999" t="str">
        <f>IF(D999&lt;=12,"0-12 Months",IF(D999&lt;=24,"13-24 Months",IF(D999&lt;=48,"25-48 Months","49+ Months")))</f>
        <v>49+ Months</v>
      </c>
      <c r="L999">
        <f>IF(Table134[[#This Row],[Churn]]="Yes",1,0)</f>
        <v>1</v>
      </c>
    </row>
    <row r="1000" spans="1:12" x14ac:dyDescent="0.35">
      <c r="A1000" t="s">
        <v>1022</v>
      </c>
      <c r="B1000" t="s">
        <v>17</v>
      </c>
      <c r="C1000">
        <v>26</v>
      </c>
      <c r="D1000">
        <v>37</v>
      </c>
      <c r="E1000" t="s">
        <v>18</v>
      </c>
      <c r="F1000" t="s">
        <v>13</v>
      </c>
      <c r="G1000" t="s">
        <v>19</v>
      </c>
      <c r="H1000">
        <v>22.87</v>
      </c>
      <c r="I1000">
        <v>807.86</v>
      </c>
      <c r="J1000" t="s">
        <v>15</v>
      </c>
      <c r="K1000" t="str">
        <f>IF(D1000&lt;=12,"0-12 Months",IF(D1000&lt;=24,"13-24 Months",IF(D1000&lt;=48,"25-48 Months","49+ Months")))</f>
        <v>25-48 Months</v>
      </c>
      <c r="L1000">
        <f>IF(Table134[[#This Row],[Churn]]="Yes",1,0)</f>
        <v>0</v>
      </c>
    </row>
    <row r="1001" spans="1:12" x14ac:dyDescent="0.35">
      <c r="A1001" t="s">
        <v>1023</v>
      </c>
      <c r="B1001" t="s">
        <v>11</v>
      </c>
      <c r="C1001">
        <v>52</v>
      </c>
      <c r="D1001">
        <v>49</v>
      </c>
      <c r="E1001" t="s">
        <v>12</v>
      </c>
      <c r="F1001" t="s">
        <v>29</v>
      </c>
      <c r="G1001" t="s">
        <v>23</v>
      </c>
      <c r="H1001">
        <v>66.53</v>
      </c>
      <c r="I1001">
        <v>3194.55</v>
      </c>
      <c r="J1001" t="s">
        <v>15</v>
      </c>
      <c r="K1001" t="str">
        <f>IF(D1001&lt;=12,"0-12 Months",IF(D1001&lt;=24,"13-24 Months",IF(D1001&lt;=48,"25-48 Months","49+ Months")))</f>
        <v>49+ Months</v>
      </c>
      <c r="L1001">
        <f>IF(Table134[[#This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E239-B59D-45FE-894B-7B1535654F48}">
  <dimension ref="A1:D8"/>
  <sheetViews>
    <sheetView workbookViewId="0"/>
  </sheetViews>
  <sheetFormatPr defaultRowHeight="14.5" x14ac:dyDescent="0.35"/>
  <cols>
    <col min="1" max="1" width="19.7265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9" t="s">
        <v>1035</v>
      </c>
    </row>
    <row r="3" spans="1:4" x14ac:dyDescent="0.35">
      <c r="A3" s="6" t="s">
        <v>1034</v>
      </c>
      <c r="B3" s="6" t="s">
        <v>1033</v>
      </c>
    </row>
    <row r="4" spans="1:4" x14ac:dyDescent="0.35">
      <c r="A4" s="6" t="s">
        <v>1031</v>
      </c>
      <c r="B4" t="s">
        <v>15</v>
      </c>
      <c r="C4" t="s">
        <v>27</v>
      </c>
      <c r="D4" t="s">
        <v>1032</v>
      </c>
    </row>
    <row r="5" spans="1:4" x14ac:dyDescent="0.35">
      <c r="A5" s="7" t="s">
        <v>12</v>
      </c>
      <c r="B5" s="8">
        <v>358</v>
      </c>
      <c r="C5" s="8">
        <v>188</v>
      </c>
      <c r="D5" s="8">
        <v>546</v>
      </c>
    </row>
    <row r="6" spans="1:4" x14ac:dyDescent="0.35">
      <c r="A6" s="7" t="s">
        <v>21</v>
      </c>
      <c r="B6" s="8">
        <v>195</v>
      </c>
      <c r="C6" s="8">
        <v>47</v>
      </c>
      <c r="D6" s="8">
        <v>242</v>
      </c>
    </row>
    <row r="7" spans="1:4" x14ac:dyDescent="0.35">
      <c r="A7" s="7" t="s">
        <v>18</v>
      </c>
      <c r="B7" s="8">
        <v>173</v>
      </c>
      <c r="C7" s="8">
        <v>39</v>
      </c>
      <c r="D7" s="8">
        <v>212</v>
      </c>
    </row>
    <row r="8" spans="1:4" x14ac:dyDescent="0.35">
      <c r="A8" s="7" t="s">
        <v>1032</v>
      </c>
      <c r="B8" s="8">
        <v>726</v>
      </c>
      <c r="C8" s="8">
        <v>274</v>
      </c>
      <c r="D8" s="8">
        <v>1000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3DDF-27A8-4377-8FF8-D42196734722}">
  <dimension ref="A1:D10"/>
  <sheetViews>
    <sheetView workbookViewId="0">
      <selection activeCell="A3" sqref="A3"/>
    </sheetView>
  </sheetViews>
  <sheetFormatPr defaultRowHeight="14.5" x14ac:dyDescent="0.35"/>
  <cols>
    <col min="1" max="1" width="19.7265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9" t="s">
        <v>1036</v>
      </c>
    </row>
    <row r="3" spans="1:4" x14ac:dyDescent="0.35">
      <c r="A3" s="6" t="s">
        <v>1034</v>
      </c>
      <c r="B3" s="6" t="s">
        <v>1033</v>
      </c>
    </row>
    <row r="4" spans="1:4" x14ac:dyDescent="0.35">
      <c r="A4" s="6" t="s">
        <v>1031</v>
      </c>
      <c r="B4" t="s">
        <v>15</v>
      </c>
      <c r="C4" t="s">
        <v>27</v>
      </c>
      <c r="D4" t="s">
        <v>1032</v>
      </c>
    </row>
    <row r="5" spans="1:4" x14ac:dyDescent="0.35">
      <c r="A5" s="7" t="s">
        <v>22</v>
      </c>
      <c r="B5" s="8">
        <v>163</v>
      </c>
      <c r="C5" s="8">
        <v>53</v>
      </c>
      <c r="D5" s="8">
        <v>216</v>
      </c>
    </row>
    <row r="6" spans="1:4" x14ac:dyDescent="0.35">
      <c r="A6" s="7" t="s">
        <v>13</v>
      </c>
      <c r="B6" s="8">
        <v>208</v>
      </c>
      <c r="C6" s="8">
        <v>52</v>
      </c>
      <c r="D6" s="8">
        <v>260</v>
      </c>
    </row>
    <row r="7" spans="1:4" x14ac:dyDescent="0.35">
      <c r="A7" s="7" t="s">
        <v>29</v>
      </c>
      <c r="B7" s="8">
        <v>218</v>
      </c>
      <c r="C7" s="8">
        <v>110</v>
      </c>
      <c r="D7" s="8">
        <v>328</v>
      </c>
    </row>
    <row r="8" spans="1:4" x14ac:dyDescent="0.35">
      <c r="A8" s="7" t="s">
        <v>1024</v>
      </c>
      <c r="B8" s="8">
        <v>4</v>
      </c>
      <c r="C8" s="8">
        <v>1</v>
      </c>
      <c r="D8" s="8">
        <v>5</v>
      </c>
    </row>
    <row r="9" spans="1:4" x14ac:dyDescent="0.35">
      <c r="A9" s="7" t="s">
        <v>33</v>
      </c>
      <c r="B9" s="8">
        <v>133</v>
      </c>
      <c r="C9" s="8">
        <v>58</v>
      </c>
      <c r="D9" s="8">
        <v>191</v>
      </c>
    </row>
    <row r="10" spans="1:4" x14ac:dyDescent="0.35">
      <c r="A10" s="7" t="s">
        <v>1032</v>
      </c>
      <c r="B10" s="8">
        <v>726</v>
      </c>
      <c r="C10" s="8">
        <v>274</v>
      </c>
      <c r="D10" s="8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1683-3915-495F-9F12-A0053E5DA12C}">
  <dimension ref="A1:D8"/>
  <sheetViews>
    <sheetView workbookViewId="0">
      <selection activeCell="A3" sqref="A3"/>
    </sheetView>
  </sheetViews>
  <sheetFormatPr defaultRowHeight="14.5" x14ac:dyDescent="0.35"/>
  <cols>
    <col min="1" max="1" width="19.7265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9" t="s">
        <v>1037</v>
      </c>
      <c r="B1" s="9"/>
      <c r="C1" s="9"/>
    </row>
    <row r="3" spans="1:4" x14ac:dyDescent="0.35">
      <c r="A3" s="6" t="s">
        <v>1034</v>
      </c>
      <c r="B3" s="6" t="s">
        <v>1033</v>
      </c>
    </row>
    <row r="4" spans="1:4" x14ac:dyDescent="0.35">
      <c r="A4" s="6" t="s">
        <v>1031</v>
      </c>
      <c r="B4" t="s">
        <v>15</v>
      </c>
      <c r="C4" t="s">
        <v>27</v>
      </c>
      <c r="D4" t="s">
        <v>1032</v>
      </c>
    </row>
    <row r="5" spans="1:4" x14ac:dyDescent="0.35">
      <c r="A5" s="7" t="s">
        <v>14</v>
      </c>
      <c r="B5" s="8">
        <v>271</v>
      </c>
      <c r="C5" s="8">
        <v>93</v>
      </c>
      <c r="D5" s="8">
        <v>364</v>
      </c>
    </row>
    <row r="6" spans="1:4" x14ac:dyDescent="0.35">
      <c r="A6" s="7" t="s">
        <v>23</v>
      </c>
      <c r="B6" s="8">
        <v>285</v>
      </c>
      <c r="C6" s="8">
        <v>124</v>
      </c>
      <c r="D6" s="8">
        <v>409</v>
      </c>
    </row>
    <row r="7" spans="1:4" x14ac:dyDescent="0.35">
      <c r="A7" s="7" t="s">
        <v>19</v>
      </c>
      <c r="B7" s="8">
        <v>170</v>
      </c>
      <c r="C7" s="8">
        <v>57</v>
      </c>
      <c r="D7" s="8">
        <v>227</v>
      </c>
    </row>
    <row r="8" spans="1:4" x14ac:dyDescent="0.35">
      <c r="A8" s="7" t="s">
        <v>1032</v>
      </c>
      <c r="B8" s="8">
        <v>726</v>
      </c>
      <c r="C8" s="8">
        <v>274</v>
      </c>
      <c r="D8" s="8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CD58-AAF9-4D6A-A5D7-838B636963C8}">
  <dimension ref="A1:D9"/>
  <sheetViews>
    <sheetView workbookViewId="0">
      <selection activeCell="D19" sqref="D19"/>
    </sheetView>
  </sheetViews>
  <sheetFormatPr defaultRowHeight="14.5" x14ac:dyDescent="0.35"/>
  <cols>
    <col min="1" max="1" width="19.7265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9" t="s">
        <v>1042</v>
      </c>
    </row>
    <row r="3" spans="1:4" x14ac:dyDescent="0.35">
      <c r="A3" s="6" t="s">
        <v>1034</v>
      </c>
      <c r="B3" s="6" t="s">
        <v>1033</v>
      </c>
    </row>
    <row r="4" spans="1:4" x14ac:dyDescent="0.35">
      <c r="A4" s="6" t="s">
        <v>1031</v>
      </c>
      <c r="B4" t="s">
        <v>15</v>
      </c>
      <c r="C4" t="s">
        <v>27</v>
      </c>
      <c r="D4" t="s">
        <v>1032</v>
      </c>
    </row>
    <row r="5" spans="1:4" x14ac:dyDescent="0.35">
      <c r="A5" s="7" t="s">
        <v>1038</v>
      </c>
      <c r="B5" s="8">
        <v>102</v>
      </c>
      <c r="C5" s="8">
        <v>75</v>
      </c>
      <c r="D5" s="8">
        <v>177</v>
      </c>
    </row>
    <row r="6" spans="1:4" x14ac:dyDescent="0.35">
      <c r="A6" s="7" t="s">
        <v>1039</v>
      </c>
      <c r="B6" s="8">
        <v>140</v>
      </c>
      <c r="C6" s="8">
        <v>48</v>
      </c>
      <c r="D6" s="8">
        <v>188</v>
      </c>
    </row>
    <row r="7" spans="1:4" x14ac:dyDescent="0.35">
      <c r="A7" s="7" t="s">
        <v>1040</v>
      </c>
      <c r="B7" s="8">
        <v>252</v>
      </c>
      <c r="C7" s="8">
        <v>83</v>
      </c>
      <c r="D7" s="8">
        <v>335</v>
      </c>
    </row>
    <row r="8" spans="1:4" x14ac:dyDescent="0.35">
      <c r="A8" s="7" t="s">
        <v>1041</v>
      </c>
      <c r="B8" s="8">
        <v>232</v>
      </c>
      <c r="C8" s="8">
        <v>68</v>
      </c>
      <c r="D8" s="8">
        <v>300</v>
      </c>
    </row>
    <row r="9" spans="1:4" x14ac:dyDescent="0.35">
      <c r="A9" s="7" t="s">
        <v>1032</v>
      </c>
      <c r="B9" s="8">
        <v>726</v>
      </c>
      <c r="C9" s="8">
        <v>274</v>
      </c>
      <c r="D9" s="8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2B02-F96A-449A-9BE1-F9B8214B4245}">
  <dimension ref="A1:L1001"/>
  <sheetViews>
    <sheetView topLeftCell="A2" workbookViewId="0">
      <selection activeCell="P12" sqref="P12"/>
    </sheetView>
  </sheetViews>
  <sheetFormatPr defaultRowHeight="14.5" x14ac:dyDescent="0.35"/>
  <cols>
    <col min="12" max="12" width="8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1025</v>
      </c>
      <c r="L1" t="s">
        <v>1026</v>
      </c>
    </row>
    <row r="2" spans="1:12" x14ac:dyDescent="0.35">
      <c r="A2" t="s">
        <v>10</v>
      </c>
      <c r="B2" t="s">
        <v>11</v>
      </c>
      <c r="C2">
        <v>34</v>
      </c>
      <c r="D2">
        <v>20</v>
      </c>
      <c r="E2" t="s">
        <v>12</v>
      </c>
      <c r="F2" t="s">
        <v>13</v>
      </c>
      <c r="G2" t="s">
        <v>14</v>
      </c>
      <c r="H2">
        <v>48.83</v>
      </c>
      <c r="I2">
        <v>944.11</v>
      </c>
      <c r="J2" t="s">
        <v>15</v>
      </c>
      <c r="K2" t="str">
        <f>IF(D2&lt;=12,"0-12 Months",IF(D2&lt;=24,"13-24 Months",IF(D2&lt;=48,"25-48 Months","49+ Months")))</f>
        <v>13-24 Months</v>
      </c>
      <c r="L2">
        <f>IF(Table1346[[#This Row],[Churn]]="Yes",1,0)</f>
        <v>0</v>
      </c>
    </row>
    <row r="3" spans="1:12" x14ac:dyDescent="0.35">
      <c r="A3" t="s">
        <v>16</v>
      </c>
      <c r="B3" t="s">
        <v>17</v>
      </c>
      <c r="C3">
        <v>26</v>
      </c>
      <c r="D3">
        <v>61</v>
      </c>
      <c r="E3" t="s">
        <v>18</v>
      </c>
      <c r="F3" t="s">
        <v>13</v>
      </c>
      <c r="G3" t="s">
        <v>19</v>
      </c>
      <c r="H3">
        <v>61.28</v>
      </c>
      <c r="I3">
        <v>3654.12</v>
      </c>
      <c r="J3" t="s">
        <v>15</v>
      </c>
      <c r="K3" t="str">
        <f>IF(D3&lt;=12,"0-12 Months",IF(D3&lt;=24,"13-24 Months",IF(D3&lt;=48,"25-48 Months","49+ Months")))</f>
        <v>49+ Months</v>
      </c>
      <c r="L3">
        <f>IF(Table1346[[#This Row],[Churn]]="Yes",1,0)</f>
        <v>0</v>
      </c>
    </row>
    <row r="4" spans="1:12" x14ac:dyDescent="0.35">
      <c r="A4" t="s">
        <v>20</v>
      </c>
      <c r="B4" t="s">
        <v>11</v>
      </c>
      <c r="C4">
        <v>50</v>
      </c>
      <c r="D4">
        <v>35</v>
      </c>
      <c r="E4" t="s">
        <v>21</v>
      </c>
      <c r="F4" t="s">
        <v>22</v>
      </c>
      <c r="G4" t="s">
        <v>23</v>
      </c>
      <c r="H4">
        <v>53.72</v>
      </c>
      <c r="I4">
        <v>1744.21</v>
      </c>
      <c r="J4" t="s">
        <v>15</v>
      </c>
      <c r="K4" t="str">
        <f>IF(D4&lt;=12,"0-12 Months",IF(D4&lt;=24,"13-24 Months",IF(D4&lt;=48,"25-48 Months","49+ Months")))</f>
        <v>25-48 Months</v>
      </c>
      <c r="L4">
        <f>IF(Table1346[[#This Row],[Churn]]="Yes",1,0)</f>
        <v>0</v>
      </c>
    </row>
    <row r="5" spans="1:12" x14ac:dyDescent="0.35">
      <c r="A5" t="s">
        <v>24</v>
      </c>
      <c r="B5" t="s">
        <v>11</v>
      </c>
      <c r="C5">
        <v>70</v>
      </c>
      <c r="D5">
        <v>50</v>
      </c>
      <c r="E5" t="s">
        <v>21</v>
      </c>
      <c r="F5" t="s">
        <v>13</v>
      </c>
      <c r="G5" t="s">
        <v>23</v>
      </c>
      <c r="H5">
        <v>31.39</v>
      </c>
      <c r="I5">
        <v>1644.26</v>
      </c>
      <c r="J5" t="s">
        <v>15</v>
      </c>
      <c r="K5" t="str">
        <f>IF(D5&lt;=12,"0-12 Months",IF(D5&lt;=24,"13-24 Months",IF(D5&lt;=48,"25-48 Months","49+ Months")))</f>
        <v>49+ Months</v>
      </c>
      <c r="L5">
        <f>IF(Table1346[[#This Row],[Churn]]="Yes",1,0)</f>
        <v>0</v>
      </c>
    </row>
    <row r="6" spans="1:12" x14ac:dyDescent="0.35">
      <c r="A6" t="s">
        <v>25</v>
      </c>
      <c r="B6" t="s">
        <v>11</v>
      </c>
      <c r="C6">
        <v>37</v>
      </c>
      <c r="D6">
        <v>62</v>
      </c>
      <c r="E6" t="s">
        <v>12</v>
      </c>
      <c r="F6" t="s">
        <v>13</v>
      </c>
      <c r="G6" t="s">
        <v>14</v>
      </c>
      <c r="H6">
        <v>31.69</v>
      </c>
      <c r="I6">
        <v>2105.0500000000002</v>
      </c>
      <c r="J6" t="s">
        <v>15</v>
      </c>
      <c r="K6" t="str">
        <f>IF(D6&lt;=12,"0-12 Months",IF(D6&lt;=24,"13-24 Months",IF(D6&lt;=48,"25-48 Months","49+ Months")))</f>
        <v>49+ Months</v>
      </c>
      <c r="L6">
        <f>IF(Table1346[[#This Row],[Churn]]="Yes",1,0)</f>
        <v>0</v>
      </c>
    </row>
    <row r="7" spans="1:12" x14ac:dyDescent="0.35">
      <c r="A7" t="s">
        <v>26</v>
      </c>
      <c r="B7" t="s">
        <v>17</v>
      </c>
      <c r="C7">
        <v>30</v>
      </c>
      <c r="D7">
        <v>17</v>
      </c>
      <c r="E7" t="s">
        <v>18</v>
      </c>
      <c r="F7" t="s">
        <v>13</v>
      </c>
      <c r="G7" t="s">
        <v>14</v>
      </c>
      <c r="H7">
        <v>45.12</v>
      </c>
      <c r="I7">
        <v>834.34</v>
      </c>
      <c r="J7" t="s">
        <v>27</v>
      </c>
      <c r="K7" t="str">
        <f>IF(D7&lt;=12,"0-12 Months",IF(D7&lt;=24,"13-24 Months",IF(D7&lt;=48,"25-48 Months","49+ Months")))</f>
        <v>13-24 Months</v>
      </c>
      <c r="L7">
        <f>IF(Table1346[[#This Row],[Churn]]="Yes",1,0)</f>
        <v>1</v>
      </c>
    </row>
    <row r="8" spans="1:12" x14ac:dyDescent="0.35">
      <c r="A8" t="s">
        <v>28</v>
      </c>
      <c r="B8" t="s">
        <v>11</v>
      </c>
      <c r="C8">
        <v>45</v>
      </c>
      <c r="D8">
        <v>3</v>
      </c>
      <c r="E8" t="s">
        <v>18</v>
      </c>
      <c r="F8" t="s">
        <v>29</v>
      </c>
      <c r="G8" t="s">
        <v>14</v>
      </c>
      <c r="H8">
        <v>26.57</v>
      </c>
      <c r="I8">
        <v>79.59</v>
      </c>
      <c r="J8" t="s">
        <v>27</v>
      </c>
      <c r="K8" t="str">
        <f>IF(D8&lt;=12,"0-12 Months",IF(D8&lt;=24,"13-24 Months",IF(D8&lt;=48,"25-48 Months","49+ Months")))</f>
        <v>0-12 Months</v>
      </c>
      <c r="L8">
        <f>IF(Table1346[[#This Row],[Churn]]="Yes",1,0)</f>
        <v>1</v>
      </c>
    </row>
    <row r="9" spans="1:12" x14ac:dyDescent="0.35">
      <c r="A9" t="s">
        <v>30</v>
      </c>
      <c r="B9" t="s">
        <v>11</v>
      </c>
      <c r="C9">
        <v>65</v>
      </c>
      <c r="D9">
        <v>32</v>
      </c>
      <c r="E9" t="s">
        <v>21</v>
      </c>
      <c r="F9" t="s">
        <v>13</v>
      </c>
      <c r="G9" t="s">
        <v>23</v>
      </c>
      <c r="H9">
        <v>101.44</v>
      </c>
      <c r="I9">
        <v>3376.49</v>
      </c>
      <c r="J9" t="s">
        <v>15</v>
      </c>
      <c r="K9" t="str">
        <f>IF(D9&lt;=12,"0-12 Months",IF(D9&lt;=24,"13-24 Months",IF(D9&lt;=48,"25-48 Months","49+ Months")))</f>
        <v>25-48 Months</v>
      </c>
      <c r="L9">
        <f>IF(Table1346[[#This Row],[Churn]]="Yes",1,0)</f>
        <v>0</v>
      </c>
    </row>
    <row r="10" spans="1:12" x14ac:dyDescent="0.35">
      <c r="A10" t="s">
        <v>31</v>
      </c>
      <c r="B10" t="s">
        <v>11</v>
      </c>
      <c r="C10">
        <v>46</v>
      </c>
      <c r="D10">
        <v>13</v>
      </c>
      <c r="E10" t="s">
        <v>12</v>
      </c>
      <c r="F10" t="s">
        <v>29</v>
      </c>
      <c r="G10" t="s">
        <v>14</v>
      </c>
      <c r="H10">
        <v>57.35</v>
      </c>
      <c r="I10">
        <v>798.57</v>
      </c>
      <c r="J10" t="s">
        <v>15</v>
      </c>
      <c r="K10" t="str">
        <f>IF(D10&lt;=12,"0-12 Months",IF(D10&lt;=24,"13-24 Months",IF(D10&lt;=48,"25-48 Months","49+ Months")))</f>
        <v>13-24 Months</v>
      </c>
      <c r="L10">
        <f>IF(Table1346[[#This Row],[Churn]]="Yes",1,0)</f>
        <v>0</v>
      </c>
    </row>
    <row r="11" spans="1:12" x14ac:dyDescent="0.35">
      <c r="A11" t="s">
        <v>32</v>
      </c>
      <c r="B11" t="s">
        <v>17</v>
      </c>
      <c r="C11">
        <v>30</v>
      </c>
      <c r="D11">
        <v>68</v>
      </c>
      <c r="E11" t="s">
        <v>12</v>
      </c>
      <c r="F11" t="s">
        <v>33</v>
      </c>
      <c r="G11" t="s">
        <v>14</v>
      </c>
      <c r="H11">
        <v>56.37</v>
      </c>
      <c r="I11">
        <v>3770.52</v>
      </c>
      <c r="J11" t="s">
        <v>15</v>
      </c>
      <c r="K11" t="str">
        <f>IF(D11&lt;=12,"0-12 Months",IF(D11&lt;=24,"13-24 Months",IF(D11&lt;=48,"25-48 Months","49+ Months")))</f>
        <v>49+ Months</v>
      </c>
      <c r="L11">
        <f>IF(Table1346[[#This Row],[Churn]]="Yes",1,0)</f>
        <v>0</v>
      </c>
    </row>
    <row r="12" spans="1:12" x14ac:dyDescent="0.35">
      <c r="A12" t="s">
        <v>34</v>
      </c>
      <c r="B12" t="s">
        <v>11</v>
      </c>
      <c r="C12">
        <v>63</v>
      </c>
      <c r="D12">
        <v>14</v>
      </c>
      <c r="E12" t="s">
        <v>12</v>
      </c>
      <c r="F12" t="s">
        <v>22</v>
      </c>
      <c r="G12" t="s">
        <v>23</v>
      </c>
      <c r="H12">
        <v>63.16</v>
      </c>
      <c r="I12">
        <v>850.54</v>
      </c>
      <c r="J12" t="s">
        <v>15</v>
      </c>
      <c r="K12" t="str">
        <f>IF(D12&lt;=12,"0-12 Months",IF(D12&lt;=24,"13-24 Months",IF(D12&lt;=48,"25-48 Months","49+ Months")))</f>
        <v>13-24 Months</v>
      </c>
      <c r="L12">
        <f>IF(Table1346[[#This Row],[Churn]]="Yes",1,0)</f>
        <v>0</v>
      </c>
    </row>
    <row r="13" spans="1:12" x14ac:dyDescent="0.35">
      <c r="A13" t="s">
        <v>35</v>
      </c>
      <c r="B13" t="s">
        <v>11</v>
      </c>
      <c r="C13">
        <v>52</v>
      </c>
      <c r="D13">
        <v>11</v>
      </c>
      <c r="E13" t="s">
        <v>12</v>
      </c>
      <c r="F13" t="s">
        <v>33</v>
      </c>
      <c r="G13" t="s">
        <v>23</v>
      </c>
      <c r="H13">
        <v>106.16</v>
      </c>
      <c r="I13">
        <v>1269.76</v>
      </c>
      <c r="J13" t="s">
        <v>15</v>
      </c>
      <c r="K13" t="str">
        <f>IF(D13&lt;=12,"0-12 Months",IF(D13&lt;=24,"13-24 Months",IF(D13&lt;=48,"25-48 Months","49+ Months")))</f>
        <v>0-12 Months</v>
      </c>
      <c r="L13">
        <f>IF(Table1346[[#This Row],[Churn]]="Yes",1,0)</f>
        <v>0</v>
      </c>
    </row>
    <row r="14" spans="1:12" x14ac:dyDescent="0.35">
      <c r="A14" t="s">
        <v>36</v>
      </c>
      <c r="B14" t="s">
        <v>11</v>
      </c>
      <c r="C14">
        <v>23</v>
      </c>
      <c r="D14">
        <v>56</v>
      </c>
      <c r="E14" t="s">
        <v>12</v>
      </c>
      <c r="F14" t="s">
        <v>29</v>
      </c>
      <c r="G14" t="s">
        <v>19</v>
      </c>
      <c r="H14">
        <v>133.18</v>
      </c>
      <c r="I14">
        <v>7481.46</v>
      </c>
      <c r="J14" t="s">
        <v>15</v>
      </c>
      <c r="K14" t="str">
        <f>IF(D14&lt;=12,"0-12 Months",IF(D14&lt;=24,"13-24 Months",IF(D14&lt;=48,"25-48 Months","49+ Months")))</f>
        <v>49+ Months</v>
      </c>
      <c r="L14">
        <f>IF(Table1346[[#This Row],[Churn]]="Yes",1,0)</f>
        <v>0</v>
      </c>
    </row>
    <row r="15" spans="1:12" x14ac:dyDescent="0.35">
      <c r="A15" t="s">
        <v>37</v>
      </c>
      <c r="B15" t="s">
        <v>11</v>
      </c>
      <c r="C15">
        <v>35</v>
      </c>
      <c r="D15">
        <v>67</v>
      </c>
      <c r="E15" t="s">
        <v>18</v>
      </c>
      <c r="F15" t="s">
        <v>33</v>
      </c>
      <c r="G15" t="s">
        <v>14</v>
      </c>
      <c r="H15">
        <v>118.68</v>
      </c>
      <c r="I15">
        <v>7947.19</v>
      </c>
      <c r="J15" t="s">
        <v>15</v>
      </c>
      <c r="K15" t="str">
        <f>IF(D15&lt;=12,"0-12 Months",IF(D15&lt;=24,"13-24 Months",IF(D15&lt;=48,"25-48 Months","49+ Months")))</f>
        <v>49+ Months</v>
      </c>
      <c r="L15">
        <f>IF(Table1346[[#This Row],[Churn]]="Yes",1,0)</f>
        <v>0</v>
      </c>
    </row>
    <row r="16" spans="1:12" x14ac:dyDescent="0.35">
      <c r="A16" t="s">
        <v>38</v>
      </c>
      <c r="B16" t="s">
        <v>17</v>
      </c>
      <c r="C16">
        <v>68</v>
      </c>
      <c r="D16">
        <v>29</v>
      </c>
      <c r="E16" t="s">
        <v>12</v>
      </c>
      <c r="F16" t="s">
        <v>33</v>
      </c>
      <c r="G16" t="s">
        <v>23</v>
      </c>
      <c r="H16">
        <v>114.58</v>
      </c>
      <c r="I16">
        <v>3109.11</v>
      </c>
      <c r="J16" t="s">
        <v>27</v>
      </c>
      <c r="K16" t="str">
        <f>IF(D16&lt;=12,"0-12 Months",IF(D16&lt;=24,"13-24 Months",IF(D16&lt;=48,"25-48 Months","49+ Months")))</f>
        <v>25-48 Months</v>
      </c>
      <c r="L16">
        <f>IF(Table1346[[#This Row],[Churn]]="Yes",1,0)</f>
        <v>1</v>
      </c>
    </row>
    <row r="17" spans="1:12" x14ac:dyDescent="0.35">
      <c r="A17" t="s">
        <v>39</v>
      </c>
      <c r="B17" t="s">
        <v>11</v>
      </c>
      <c r="C17">
        <v>22</v>
      </c>
      <c r="D17">
        <v>9</v>
      </c>
      <c r="E17" t="s">
        <v>12</v>
      </c>
      <c r="F17" t="s">
        <v>22</v>
      </c>
      <c r="G17" t="s">
        <v>19</v>
      </c>
      <c r="H17">
        <v>82.97</v>
      </c>
      <c r="I17">
        <v>688.21</v>
      </c>
      <c r="J17" t="s">
        <v>15</v>
      </c>
      <c r="K17" t="str">
        <f>IF(D17&lt;=12,"0-12 Months",IF(D17&lt;=24,"13-24 Months",IF(D17&lt;=48,"25-48 Months","49+ Months")))</f>
        <v>0-12 Months</v>
      </c>
      <c r="L17">
        <f>IF(Table1346[[#This Row],[Churn]]="Yes",1,0)</f>
        <v>0</v>
      </c>
    </row>
    <row r="18" spans="1:12" x14ac:dyDescent="0.35">
      <c r="A18" t="s">
        <v>40</v>
      </c>
      <c r="B18" t="s">
        <v>17</v>
      </c>
      <c r="C18">
        <v>64</v>
      </c>
      <c r="D18">
        <v>67</v>
      </c>
      <c r="E18" t="s">
        <v>12</v>
      </c>
      <c r="F18" t="s">
        <v>22</v>
      </c>
      <c r="G18" t="s">
        <v>23</v>
      </c>
      <c r="H18">
        <v>110.19</v>
      </c>
      <c r="I18">
        <v>7887.87</v>
      </c>
      <c r="J18" t="s">
        <v>27</v>
      </c>
      <c r="K18" t="str">
        <f>IF(D18&lt;=12,"0-12 Months",IF(D18&lt;=24,"13-24 Months",IF(D18&lt;=48,"25-48 Months","49+ Months")))</f>
        <v>49+ Months</v>
      </c>
      <c r="L18">
        <f>IF(Table1346[[#This Row],[Churn]]="Yes",1,0)</f>
        <v>1</v>
      </c>
    </row>
    <row r="19" spans="1:12" x14ac:dyDescent="0.35">
      <c r="A19" t="s">
        <v>41</v>
      </c>
      <c r="B19" t="s">
        <v>17</v>
      </c>
      <c r="C19">
        <v>42</v>
      </c>
      <c r="D19">
        <v>25</v>
      </c>
      <c r="E19" t="s">
        <v>12</v>
      </c>
      <c r="F19" t="s">
        <v>29</v>
      </c>
      <c r="G19" t="s">
        <v>14</v>
      </c>
      <c r="H19">
        <v>91.86</v>
      </c>
      <c r="I19">
        <v>2348.92</v>
      </c>
      <c r="J19" t="s">
        <v>27</v>
      </c>
      <c r="K19" t="str">
        <f>IF(D19&lt;=12,"0-12 Months",IF(D19&lt;=24,"13-24 Months",IF(D19&lt;=48,"25-48 Months","49+ Months")))</f>
        <v>25-48 Months</v>
      </c>
      <c r="L19">
        <f>IF(Table1346[[#This Row],[Churn]]="Yes",1,0)</f>
        <v>1</v>
      </c>
    </row>
    <row r="20" spans="1:12" x14ac:dyDescent="0.35">
      <c r="A20" t="s">
        <v>42</v>
      </c>
      <c r="B20" t="s">
        <v>17</v>
      </c>
      <c r="C20">
        <v>19</v>
      </c>
      <c r="D20">
        <v>42</v>
      </c>
      <c r="E20" t="s">
        <v>12</v>
      </c>
      <c r="F20" t="s">
        <v>33</v>
      </c>
      <c r="G20" t="s">
        <v>19</v>
      </c>
      <c r="H20">
        <v>48.11</v>
      </c>
      <c r="I20">
        <v>1950.23</v>
      </c>
      <c r="J20" t="s">
        <v>15</v>
      </c>
      <c r="K20" t="str">
        <f>IF(D20&lt;=12,"0-12 Months",IF(D20&lt;=24,"13-24 Months",IF(D20&lt;=48,"25-48 Months","49+ Months")))</f>
        <v>25-48 Months</v>
      </c>
      <c r="L20">
        <f>IF(Table1346[[#This Row],[Churn]]="Yes",1,0)</f>
        <v>0</v>
      </c>
    </row>
    <row r="21" spans="1:12" x14ac:dyDescent="0.35">
      <c r="A21" t="s">
        <v>43</v>
      </c>
      <c r="B21" t="s">
        <v>11</v>
      </c>
      <c r="C21">
        <v>27</v>
      </c>
      <c r="D21">
        <v>9</v>
      </c>
      <c r="E21" t="s">
        <v>12</v>
      </c>
      <c r="F21" t="s">
        <v>13</v>
      </c>
      <c r="G21" t="s">
        <v>19</v>
      </c>
      <c r="H21">
        <v>47.12</v>
      </c>
      <c r="I21">
        <v>397.93</v>
      </c>
      <c r="J21" t="s">
        <v>15</v>
      </c>
      <c r="K21" t="str">
        <f>IF(D21&lt;=12,"0-12 Months",IF(D21&lt;=24,"13-24 Months",IF(D21&lt;=48,"25-48 Months","49+ Months")))</f>
        <v>0-12 Months</v>
      </c>
      <c r="L21">
        <f>IF(Table1346[[#This Row],[Churn]]="Yes",1,0)</f>
        <v>0</v>
      </c>
    </row>
    <row r="22" spans="1:12" x14ac:dyDescent="0.35">
      <c r="A22" t="s">
        <v>44</v>
      </c>
      <c r="B22" t="s">
        <v>17</v>
      </c>
      <c r="C22">
        <v>47</v>
      </c>
      <c r="D22">
        <v>40</v>
      </c>
      <c r="E22" t="s">
        <v>12</v>
      </c>
      <c r="F22" t="s">
        <v>29</v>
      </c>
      <c r="G22" t="s">
        <v>14</v>
      </c>
      <c r="H22">
        <v>58.53</v>
      </c>
      <c r="I22">
        <v>2367.19</v>
      </c>
      <c r="J22" t="s">
        <v>15</v>
      </c>
      <c r="K22" t="str">
        <f>IF(D22&lt;=12,"0-12 Months",IF(D22&lt;=24,"13-24 Months",IF(D22&lt;=48,"25-48 Months","49+ Months")))</f>
        <v>25-48 Months</v>
      </c>
      <c r="L22">
        <f>IF(Table1346[[#This Row],[Churn]]="Yes",1,0)</f>
        <v>0</v>
      </c>
    </row>
    <row r="23" spans="1:12" x14ac:dyDescent="0.35">
      <c r="A23" t="s">
        <v>45</v>
      </c>
      <c r="B23" t="s">
        <v>11</v>
      </c>
      <c r="C23">
        <v>67</v>
      </c>
      <c r="D23">
        <v>25</v>
      </c>
      <c r="E23" t="s">
        <v>21</v>
      </c>
      <c r="F23" t="s">
        <v>29</v>
      </c>
      <c r="G23" t="s">
        <v>23</v>
      </c>
      <c r="H23">
        <v>138.4</v>
      </c>
      <c r="I23">
        <v>3518.07</v>
      </c>
      <c r="J23" t="s">
        <v>27</v>
      </c>
      <c r="K23" t="str">
        <f>IF(D23&lt;=12,"0-12 Months",IF(D23&lt;=24,"13-24 Months",IF(D23&lt;=48,"25-48 Months","49+ Months")))</f>
        <v>25-48 Months</v>
      </c>
      <c r="L23">
        <f>IF(Table1346[[#This Row],[Churn]]="Yes",1,0)</f>
        <v>1</v>
      </c>
    </row>
    <row r="24" spans="1:12" x14ac:dyDescent="0.35">
      <c r="A24" t="s">
        <v>46</v>
      </c>
      <c r="B24" t="s">
        <v>17</v>
      </c>
      <c r="C24">
        <v>62</v>
      </c>
      <c r="D24">
        <v>5</v>
      </c>
      <c r="E24" t="s">
        <v>18</v>
      </c>
      <c r="F24" t="s">
        <v>33</v>
      </c>
      <c r="G24" t="s">
        <v>23</v>
      </c>
      <c r="H24">
        <v>91.16</v>
      </c>
      <c r="I24">
        <v>429.09</v>
      </c>
      <c r="J24" t="s">
        <v>15</v>
      </c>
      <c r="K24" t="str">
        <f>IF(D24&lt;=12,"0-12 Months",IF(D24&lt;=24,"13-24 Months",IF(D24&lt;=48,"25-48 Months","49+ Months")))</f>
        <v>0-12 Months</v>
      </c>
      <c r="L24">
        <f>IF(Table1346[[#This Row],[Churn]]="Yes",1,0)</f>
        <v>0</v>
      </c>
    </row>
    <row r="25" spans="1:12" x14ac:dyDescent="0.35">
      <c r="A25" t="s">
        <v>47</v>
      </c>
      <c r="B25" t="s">
        <v>17</v>
      </c>
      <c r="C25">
        <v>22</v>
      </c>
      <c r="D25">
        <v>11</v>
      </c>
      <c r="E25" t="s">
        <v>12</v>
      </c>
      <c r="F25" t="s">
        <v>33</v>
      </c>
      <c r="G25" t="s">
        <v>19</v>
      </c>
      <c r="H25">
        <v>115.41</v>
      </c>
      <c r="I25">
        <v>1358.73</v>
      </c>
      <c r="J25" t="s">
        <v>27</v>
      </c>
      <c r="K25" t="str">
        <f>IF(D25&lt;=12,"0-12 Months",IF(D25&lt;=24,"13-24 Months",IF(D25&lt;=48,"25-48 Months","49+ Months")))</f>
        <v>0-12 Months</v>
      </c>
      <c r="L25">
        <f>IF(Table1346[[#This Row],[Churn]]="Yes",1,0)</f>
        <v>1</v>
      </c>
    </row>
    <row r="26" spans="1:12" x14ac:dyDescent="0.35">
      <c r="A26" t="s">
        <v>48</v>
      </c>
      <c r="B26" t="s">
        <v>17</v>
      </c>
      <c r="C26">
        <v>50</v>
      </c>
      <c r="D26">
        <v>59</v>
      </c>
      <c r="E26" t="s">
        <v>12</v>
      </c>
      <c r="F26" t="s">
        <v>33</v>
      </c>
      <c r="G26" t="s">
        <v>23</v>
      </c>
      <c r="H26">
        <v>65.05</v>
      </c>
      <c r="I26">
        <v>3518.84</v>
      </c>
      <c r="J26" t="s">
        <v>15</v>
      </c>
      <c r="K26" t="str">
        <f>IF(D26&lt;=12,"0-12 Months",IF(D26&lt;=24,"13-24 Months",IF(D26&lt;=48,"25-48 Months","49+ Months")))</f>
        <v>49+ Months</v>
      </c>
      <c r="L26">
        <f>IF(Table1346[[#This Row],[Churn]]="Yes",1,0)</f>
        <v>0</v>
      </c>
    </row>
    <row r="27" spans="1:12" x14ac:dyDescent="0.35">
      <c r="A27" t="s">
        <v>49</v>
      </c>
      <c r="B27" t="s">
        <v>17</v>
      </c>
      <c r="C27">
        <v>18</v>
      </c>
      <c r="D27">
        <v>38</v>
      </c>
      <c r="E27" t="s">
        <v>18</v>
      </c>
      <c r="F27" t="s">
        <v>22</v>
      </c>
      <c r="G27" t="s">
        <v>19</v>
      </c>
      <c r="H27">
        <v>73</v>
      </c>
      <c r="I27">
        <v>2694.16</v>
      </c>
      <c r="J27" t="s">
        <v>15</v>
      </c>
      <c r="K27" t="str">
        <f>IF(D27&lt;=12,"0-12 Months",IF(D27&lt;=24,"13-24 Months",IF(D27&lt;=48,"25-48 Months","49+ Months")))</f>
        <v>25-48 Months</v>
      </c>
      <c r="L27">
        <f>IF(Table1346[[#This Row],[Churn]]="Yes",1,0)</f>
        <v>0</v>
      </c>
    </row>
    <row r="28" spans="1:12" x14ac:dyDescent="0.35">
      <c r="A28" t="s">
        <v>50</v>
      </c>
      <c r="B28" t="s">
        <v>17</v>
      </c>
      <c r="C28">
        <v>35</v>
      </c>
      <c r="D28">
        <v>72</v>
      </c>
      <c r="E28" t="s">
        <v>12</v>
      </c>
      <c r="F28" t="s">
        <v>29</v>
      </c>
      <c r="G28" t="s">
        <v>14</v>
      </c>
      <c r="H28">
        <v>36.32</v>
      </c>
      <c r="I28">
        <v>2709.38</v>
      </c>
      <c r="J28" t="s">
        <v>15</v>
      </c>
      <c r="K28" t="str">
        <f>IF(D28&lt;=12,"0-12 Months",IF(D28&lt;=24,"13-24 Months",IF(D28&lt;=48,"25-48 Months","49+ Months")))</f>
        <v>49+ Months</v>
      </c>
      <c r="L28">
        <f>IF(Table1346[[#This Row],[Churn]]="Yes",1,0)</f>
        <v>0</v>
      </c>
    </row>
    <row r="29" spans="1:12" x14ac:dyDescent="0.35">
      <c r="A29" t="s">
        <v>51</v>
      </c>
      <c r="B29" t="s">
        <v>17</v>
      </c>
      <c r="C29">
        <v>49</v>
      </c>
      <c r="D29">
        <v>5</v>
      </c>
      <c r="E29" t="s">
        <v>12</v>
      </c>
      <c r="F29" t="s">
        <v>29</v>
      </c>
      <c r="G29" t="s">
        <v>14</v>
      </c>
      <c r="H29">
        <v>42.27</v>
      </c>
      <c r="I29">
        <v>201.8</v>
      </c>
      <c r="J29" t="s">
        <v>27</v>
      </c>
      <c r="K29" t="str">
        <f>IF(D29&lt;=12,"0-12 Months",IF(D29&lt;=24,"13-24 Months",IF(D29&lt;=48,"25-48 Months","49+ Months")))</f>
        <v>0-12 Months</v>
      </c>
      <c r="L29">
        <f>IF(Table1346[[#This Row],[Churn]]="Yes",1,0)</f>
        <v>1</v>
      </c>
    </row>
    <row r="30" spans="1:12" x14ac:dyDescent="0.35">
      <c r="A30" t="s">
        <v>52</v>
      </c>
      <c r="B30" t="s">
        <v>17</v>
      </c>
      <c r="C30">
        <v>64</v>
      </c>
      <c r="D30">
        <v>48</v>
      </c>
      <c r="E30" t="s">
        <v>18</v>
      </c>
      <c r="F30" t="s">
        <v>29</v>
      </c>
      <c r="G30" t="s">
        <v>23</v>
      </c>
      <c r="H30">
        <v>127.56</v>
      </c>
      <c r="I30">
        <v>6524.14</v>
      </c>
      <c r="J30" t="s">
        <v>27</v>
      </c>
      <c r="K30" t="str">
        <f>IF(D30&lt;=12,"0-12 Months",IF(D30&lt;=24,"13-24 Months",IF(D30&lt;=48,"25-48 Months","49+ Months")))</f>
        <v>25-48 Months</v>
      </c>
      <c r="L30">
        <f>IF(Table1346[[#This Row],[Churn]]="Yes",1,0)</f>
        <v>1</v>
      </c>
    </row>
    <row r="31" spans="1:12" x14ac:dyDescent="0.35">
      <c r="A31" t="s">
        <v>53</v>
      </c>
      <c r="B31" t="s">
        <v>17</v>
      </c>
      <c r="C31">
        <v>66</v>
      </c>
      <c r="D31">
        <v>18</v>
      </c>
      <c r="E31" t="s">
        <v>12</v>
      </c>
      <c r="F31" t="s">
        <v>29</v>
      </c>
      <c r="G31" t="s">
        <v>23</v>
      </c>
      <c r="H31">
        <v>96.03</v>
      </c>
      <c r="I31">
        <v>1811.46</v>
      </c>
      <c r="J31" t="s">
        <v>27</v>
      </c>
      <c r="K31" t="str">
        <f>IF(D31&lt;=12,"0-12 Months",IF(D31&lt;=24,"13-24 Months",IF(D31&lt;=48,"25-48 Months","49+ Months")))</f>
        <v>13-24 Months</v>
      </c>
      <c r="L31">
        <f>IF(Table1346[[#This Row],[Churn]]="Yes",1,0)</f>
        <v>1</v>
      </c>
    </row>
    <row r="32" spans="1:12" x14ac:dyDescent="0.35">
      <c r="A32" t="s">
        <v>54</v>
      </c>
      <c r="B32" t="s">
        <v>11</v>
      </c>
      <c r="C32">
        <v>28</v>
      </c>
      <c r="D32">
        <v>70</v>
      </c>
      <c r="E32" t="s">
        <v>21</v>
      </c>
      <c r="F32" t="s">
        <v>13</v>
      </c>
      <c r="G32" t="s">
        <v>19</v>
      </c>
      <c r="H32">
        <v>63.88</v>
      </c>
      <c r="I32">
        <v>4730.08</v>
      </c>
      <c r="J32" t="s">
        <v>15</v>
      </c>
      <c r="K32" t="str">
        <f>IF(D32&lt;=12,"0-12 Months",IF(D32&lt;=24,"13-24 Months",IF(D32&lt;=48,"25-48 Months","49+ Months")))</f>
        <v>49+ Months</v>
      </c>
      <c r="L32">
        <f>IF(Table1346[[#This Row],[Churn]]="Yes",1,0)</f>
        <v>0</v>
      </c>
    </row>
    <row r="33" spans="1:12" x14ac:dyDescent="0.35">
      <c r="A33" t="s">
        <v>55</v>
      </c>
      <c r="B33" t="s">
        <v>11</v>
      </c>
      <c r="C33">
        <v>38</v>
      </c>
      <c r="D33">
        <v>37</v>
      </c>
      <c r="E33" t="s">
        <v>21</v>
      </c>
      <c r="F33" t="s">
        <v>29</v>
      </c>
      <c r="G33" t="s">
        <v>14</v>
      </c>
      <c r="H33">
        <v>124.37</v>
      </c>
      <c r="I33">
        <v>4251.1400000000003</v>
      </c>
      <c r="J33" t="s">
        <v>15</v>
      </c>
      <c r="K33" t="str">
        <f>IF(D33&lt;=12,"0-12 Months",IF(D33&lt;=24,"13-24 Months",IF(D33&lt;=48,"25-48 Months","49+ Months")))</f>
        <v>25-48 Months</v>
      </c>
      <c r="L33">
        <f>IF(Table1346[[#This Row],[Churn]]="Yes",1,0)</f>
        <v>0</v>
      </c>
    </row>
    <row r="34" spans="1:12" x14ac:dyDescent="0.35">
      <c r="A34" t="s">
        <v>56</v>
      </c>
      <c r="B34" t="s">
        <v>17</v>
      </c>
      <c r="C34">
        <v>43</v>
      </c>
      <c r="D34">
        <v>60</v>
      </c>
      <c r="E34" t="s">
        <v>12</v>
      </c>
      <c r="F34" t="s">
        <v>13</v>
      </c>
      <c r="G34" t="s">
        <v>14</v>
      </c>
      <c r="H34">
        <v>52.05</v>
      </c>
      <c r="I34">
        <v>2898.49</v>
      </c>
      <c r="J34" t="s">
        <v>27</v>
      </c>
      <c r="K34" t="str">
        <f>IF(D34&lt;=12,"0-12 Months",IF(D34&lt;=24,"13-24 Months",IF(D34&lt;=48,"25-48 Months","49+ Months")))</f>
        <v>49+ Months</v>
      </c>
      <c r="L34">
        <f>IF(Table1346[[#This Row],[Churn]]="Yes",1,0)</f>
        <v>1</v>
      </c>
    </row>
    <row r="35" spans="1:12" x14ac:dyDescent="0.35">
      <c r="A35" t="s">
        <v>57</v>
      </c>
      <c r="B35" t="s">
        <v>17</v>
      </c>
      <c r="C35">
        <v>42</v>
      </c>
      <c r="D35">
        <v>48</v>
      </c>
      <c r="E35" t="s">
        <v>12</v>
      </c>
      <c r="F35" t="s">
        <v>1024</v>
      </c>
      <c r="G35" t="s">
        <v>14</v>
      </c>
      <c r="H35">
        <v>146.88</v>
      </c>
      <c r="I35">
        <v>6749.16</v>
      </c>
      <c r="J35" t="s">
        <v>15</v>
      </c>
      <c r="K35" t="str">
        <f>IF(D35&lt;=12,"0-12 Months",IF(D35&lt;=24,"13-24 Months",IF(D35&lt;=48,"25-48 Months","49+ Months")))</f>
        <v>25-48 Months</v>
      </c>
      <c r="L35">
        <f>IF(Table1346[[#This Row],[Churn]]="Yes",1,0)</f>
        <v>0</v>
      </c>
    </row>
    <row r="36" spans="1:12" x14ac:dyDescent="0.35">
      <c r="A36" t="s">
        <v>58</v>
      </c>
      <c r="B36" t="s">
        <v>17</v>
      </c>
      <c r="C36">
        <v>39</v>
      </c>
      <c r="D36">
        <v>28</v>
      </c>
      <c r="E36" t="s">
        <v>21</v>
      </c>
      <c r="F36" t="s">
        <v>13</v>
      </c>
      <c r="G36" t="s">
        <v>14</v>
      </c>
      <c r="H36">
        <v>64.83</v>
      </c>
      <c r="I36">
        <v>1821.8</v>
      </c>
      <c r="J36" t="s">
        <v>15</v>
      </c>
      <c r="K36" t="str">
        <f>IF(D36&lt;=12,"0-12 Months",IF(D36&lt;=24,"13-24 Months",IF(D36&lt;=48,"25-48 Months","49+ Months")))</f>
        <v>25-48 Months</v>
      </c>
      <c r="L36">
        <f>IF(Table1346[[#This Row],[Churn]]="Yes",1,0)</f>
        <v>0</v>
      </c>
    </row>
    <row r="37" spans="1:12" x14ac:dyDescent="0.35">
      <c r="A37" t="s">
        <v>59</v>
      </c>
      <c r="B37" t="s">
        <v>11</v>
      </c>
      <c r="C37">
        <v>44</v>
      </c>
      <c r="D37">
        <v>69</v>
      </c>
      <c r="E37" t="s">
        <v>12</v>
      </c>
      <c r="F37" t="s">
        <v>33</v>
      </c>
      <c r="G37" t="s">
        <v>14</v>
      </c>
      <c r="H37">
        <v>63.85</v>
      </c>
      <c r="I37">
        <v>4624.18</v>
      </c>
      <c r="J37" t="s">
        <v>15</v>
      </c>
      <c r="K37" t="str">
        <f>IF(D37&lt;=12,"0-12 Months",IF(D37&lt;=24,"13-24 Months",IF(D37&lt;=48,"25-48 Months","49+ Months")))</f>
        <v>49+ Months</v>
      </c>
      <c r="L37">
        <f>IF(Table1346[[#This Row],[Churn]]="Yes",1,0)</f>
        <v>0</v>
      </c>
    </row>
    <row r="38" spans="1:12" x14ac:dyDescent="0.35">
      <c r="A38" t="s">
        <v>60</v>
      </c>
      <c r="B38" t="s">
        <v>17</v>
      </c>
      <c r="C38">
        <v>66</v>
      </c>
      <c r="D38">
        <v>40</v>
      </c>
      <c r="E38" t="s">
        <v>12</v>
      </c>
      <c r="F38" t="s">
        <v>22</v>
      </c>
      <c r="G38" t="s">
        <v>23</v>
      </c>
      <c r="H38">
        <v>60.55</v>
      </c>
      <c r="I38">
        <v>2585.02</v>
      </c>
      <c r="J38" t="s">
        <v>15</v>
      </c>
      <c r="K38" t="str">
        <f>IF(D38&lt;=12,"0-12 Months",IF(D38&lt;=24,"13-24 Months",IF(D38&lt;=48,"25-48 Months","49+ Months")))</f>
        <v>25-48 Months</v>
      </c>
      <c r="L38">
        <f>IF(Table1346[[#This Row],[Churn]]="Yes",1,0)</f>
        <v>0</v>
      </c>
    </row>
    <row r="39" spans="1:12" x14ac:dyDescent="0.35">
      <c r="A39" t="s">
        <v>61</v>
      </c>
      <c r="B39" t="s">
        <v>11</v>
      </c>
      <c r="C39">
        <v>30</v>
      </c>
      <c r="D39">
        <v>45</v>
      </c>
      <c r="E39" t="s">
        <v>21</v>
      </c>
      <c r="F39" t="s">
        <v>29</v>
      </c>
      <c r="G39" t="s">
        <v>14</v>
      </c>
      <c r="H39">
        <v>35.869999999999997</v>
      </c>
      <c r="I39">
        <v>1680.12</v>
      </c>
      <c r="J39" t="s">
        <v>15</v>
      </c>
      <c r="K39" t="str">
        <f>IF(D39&lt;=12,"0-12 Months",IF(D39&lt;=24,"13-24 Months",IF(D39&lt;=48,"25-48 Months","49+ Months")))</f>
        <v>25-48 Months</v>
      </c>
      <c r="L39">
        <f>IF(Table1346[[#This Row],[Churn]]="Yes",1,0)</f>
        <v>0</v>
      </c>
    </row>
    <row r="40" spans="1:12" x14ac:dyDescent="0.35">
      <c r="A40" t="s">
        <v>62</v>
      </c>
      <c r="B40" t="s">
        <v>11</v>
      </c>
      <c r="C40">
        <v>50</v>
      </c>
      <c r="D40">
        <v>62</v>
      </c>
      <c r="E40" t="s">
        <v>12</v>
      </c>
      <c r="F40" t="s">
        <v>13</v>
      </c>
      <c r="G40" t="s">
        <v>23</v>
      </c>
      <c r="H40">
        <v>34.450000000000003</v>
      </c>
      <c r="I40">
        <v>2318.9899999999998</v>
      </c>
      <c r="J40" t="s">
        <v>27</v>
      </c>
      <c r="K40" t="str">
        <f>IF(D40&lt;=12,"0-12 Months",IF(D40&lt;=24,"13-24 Months",IF(D40&lt;=48,"25-48 Months","49+ Months")))</f>
        <v>49+ Months</v>
      </c>
      <c r="L40">
        <f>IF(Table1346[[#This Row],[Churn]]="Yes",1,0)</f>
        <v>1</v>
      </c>
    </row>
    <row r="41" spans="1:12" x14ac:dyDescent="0.35">
      <c r="A41" t="s">
        <v>63</v>
      </c>
      <c r="B41" t="s">
        <v>11</v>
      </c>
      <c r="C41">
        <v>51</v>
      </c>
      <c r="D41">
        <v>58</v>
      </c>
      <c r="E41" t="s">
        <v>12</v>
      </c>
      <c r="F41" t="s">
        <v>1024</v>
      </c>
      <c r="G41" t="s">
        <v>23</v>
      </c>
      <c r="H41">
        <v>104.25</v>
      </c>
      <c r="I41">
        <v>6335.21</v>
      </c>
      <c r="J41" t="s">
        <v>27</v>
      </c>
      <c r="K41" t="str">
        <f>IF(D41&lt;=12,"0-12 Months",IF(D41&lt;=24,"13-24 Months",IF(D41&lt;=48,"25-48 Months","49+ Months")))</f>
        <v>49+ Months</v>
      </c>
      <c r="L41">
        <f>IF(Table1346[[#This Row],[Churn]]="Yes",1,0)</f>
        <v>1</v>
      </c>
    </row>
    <row r="42" spans="1:12" x14ac:dyDescent="0.35">
      <c r="A42" t="s">
        <v>64</v>
      </c>
      <c r="B42" t="s">
        <v>11</v>
      </c>
      <c r="C42">
        <v>58</v>
      </c>
      <c r="D42">
        <v>67</v>
      </c>
      <c r="E42" t="s">
        <v>18</v>
      </c>
      <c r="F42" t="s">
        <v>29</v>
      </c>
      <c r="G42" t="s">
        <v>23</v>
      </c>
      <c r="H42">
        <v>133.77000000000001</v>
      </c>
      <c r="I42">
        <v>8615.32</v>
      </c>
      <c r="J42" t="s">
        <v>27</v>
      </c>
      <c r="K42" t="str">
        <f>IF(D42&lt;=12,"0-12 Months",IF(D42&lt;=24,"13-24 Months",IF(D42&lt;=48,"25-48 Months","49+ Months")))</f>
        <v>49+ Months</v>
      </c>
      <c r="L42">
        <f>IF(Table1346[[#This Row],[Churn]]="Yes",1,0)</f>
        <v>1</v>
      </c>
    </row>
    <row r="43" spans="1:12" x14ac:dyDescent="0.35">
      <c r="A43" t="s">
        <v>65</v>
      </c>
      <c r="B43" t="s">
        <v>11</v>
      </c>
      <c r="C43">
        <v>52</v>
      </c>
      <c r="D43">
        <v>56</v>
      </c>
      <c r="E43" t="s">
        <v>12</v>
      </c>
      <c r="F43" t="s">
        <v>22</v>
      </c>
      <c r="G43" t="s">
        <v>23</v>
      </c>
      <c r="H43">
        <v>122.77</v>
      </c>
      <c r="I43">
        <v>6552.1</v>
      </c>
      <c r="J43" t="s">
        <v>15</v>
      </c>
      <c r="K43" t="str">
        <f>IF(D43&lt;=12,"0-12 Months",IF(D43&lt;=24,"13-24 Months",IF(D43&lt;=48,"25-48 Months","49+ Months")))</f>
        <v>49+ Months</v>
      </c>
      <c r="L43">
        <f>IF(Table1346[[#This Row],[Churn]]="Yes",1,0)</f>
        <v>0</v>
      </c>
    </row>
    <row r="44" spans="1:12" x14ac:dyDescent="0.35">
      <c r="A44" t="s">
        <v>66</v>
      </c>
      <c r="B44" t="s">
        <v>17</v>
      </c>
      <c r="C44">
        <v>18</v>
      </c>
      <c r="D44">
        <v>40</v>
      </c>
      <c r="E44" t="s">
        <v>18</v>
      </c>
      <c r="F44" t="s">
        <v>29</v>
      </c>
      <c r="G44" t="s">
        <v>19</v>
      </c>
      <c r="H44">
        <v>38.340000000000003</v>
      </c>
      <c r="I44">
        <v>1593.78</v>
      </c>
      <c r="J44" t="s">
        <v>15</v>
      </c>
      <c r="K44" t="str">
        <f>IF(D44&lt;=12,"0-12 Months",IF(D44&lt;=24,"13-24 Months",IF(D44&lt;=48,"25-48 Months","49+ Months")))</f>
        <v>25-48 Months</v>
      </c>
      <c r="L44">
        <f>IF(Table1346[[#This Row],[Churn]]="Yes",1,0)</f>
        <v>0</v>
      </c>
    </row>
    <row r="45" spans="1:12" x14ac:dyDescent="0.35">
      <c r="A45" t="s">
        <v>67</v>
      </c>
      <c r="B45" t="s">
        <v>17</v>
      </c>
      <c r="C45">
        <v>38</v>
      </c>
      <c r="D45">
        <v>40</v>
      </c>
      <c r="E45" t="s">
        <v>21</v>
      </c>
      <c r="F45" t="s">
        <v>29</v>
      </c>
      <c r="G45" t="s">
        <v>14</v>
      </c>
      <c r="H45">
        <v>90.93</v>
      </c>
      <c r="I45">
        <v>3413.78</v>
      </c>
      <c r="J45" t="s">
        <v>15</v>
      </c>
      <c r="K45" t="str">
        <f>IF(D45&lt;=12,"0-12 Months",IF(D45&lt;=24,"13-24 Months",IF(D45&lt;=48,"25-48 Months","49+ Months")))</f>
        <v>25-48 Months</v>
      </c>
      <c r="L45">
        <f>IF(Table1346[[#This Row],[Churn]]="Yes",1,0)</f>
        <v>0</v>
      </c>
    </row>
    <row r="46" spans="1:12" x14ac:dyDescent="0.35">
      <c r="A46" t="s">
        <v>68</v>
      </c>
      <c r="B46" t="s">
        <v>17</v>
      </c>
      <c r="C46">
        <v>65</v>
      </c>
      <c r="D46">
        <v>33</v>
      </c>
      <c r="E46" t="s">
        <v>21</v>
      </c>
      <c r="F46" t="s">
        <v>13</v>
      </c>
      <c r="G46" t="s">
        <v>23</v>
      </c>
      <c r="H46">
        <v>33.729999999999997</v>
      </c>
      <c r="I46">
        <v>1022.42</v>
      </c>
      <c r="J46" t="s">
        <v>27</v>
      </c>
      <c r="K46" t="str">
        <f>IF(D46&lt;=12,"0-12 Months",IF(D46&lt;=24,"13-24 Months",IF(D46&lt;=48,"25-48 Months","49+ Months")))</f>
        <v>25-48 Months</v>
      </c>
      <c r="L46">
        <f>IF(Table1346[[#This Row],[Churn]]="Yes",1,0)</f>
        <v>1</v>
      </c>
    </row>
    <row r="47" spans="1:12" x14ac:dyDescent="0.35">
      <c r="A47" t="s">
        <v>69</v>
      </c>
      <c r="B47" t="s">
        <v>17</v>
      </c>
      <c r="C47">
        <v>23</v>
      </c>
      <c r="D47">
        <v>6</v>
      </c>
      <c r="E47" t="s">
        <v>12</v>
      </c>
      <c r="F47" t="s">
        <v>33</v>
      </c>
      <c r="G47" t="s">
        <v>19</v>
      </c>
      <c r="H47">
        <v>25.89</v>
      </c>
      <c r="I47">
        <v>156.34</v>
      </c>
      <c r="J47" t="s">
        <v>15</v>
      </c>
      <c r="K47" t="str">
        <f>IF(D47&lt;=12,"0-12 Months",IF(D47&lt;=24,"13-24 Months",IF(D47&lt;=48,"25-48 Months","49+ Months")))</f>
        <v>0-12 Months</v>
      </c>
      <c r="L47">
        <f>IF(Table1346[[#This Row],[Churn]]="Yes",1,0)</f>
        <v>0</v>
      </c>
    </row>
    <row r="48" spans="1:12" x14ac:dyDescent="0.35">
      <c r="A48" t="s">
        <v>70</v>
      </c>
      <c r="B48" t="s">
        <v>17</v>
      </c>
      <c r="C48">
        <v>45</v>
      </c>
      <c r="D48">
        <v>19</v>
      </c>
      <c r="E48" t="s">
        <v>18</v>
      </c>
      <c r="F48" t="s">
        <v>22</v>
      </c>
      <c r="G48" t="s">
        <v>14</v>
      </c>
      <c r="H48">
        <v>105.33</v>
      </c>
      <c r="I48">
        <v>2130.0100000000002</v>
      </c>
      <c r="J48" t="s">
        <v>27</v>
      </c>
      <c r="K48" t="str">
        <f>IF(D48&lt;=12,"0-12 Months",IF(D48&lt;=24,"13-24 Months",IF(D48&lt;=48,"25-48 Months","49+ Months")))</f>
        <v>13-24 Months</v>
      </c>
      <c r="L48">
        <f>IF(Table1346[[#This Row],[Churn]]="Yes",1,0)</f>
        <v>1</v>
      </c>
    </row>
    <row r="49" spans="1:12" x14ac:dyDescent="0.35">
      <c r="A49" t="s">
        <v>71</v>
      </c>
      <c r="B49" t="s">
        <v>11</v>
      </c>
      <c r="C49">
        <v>34</v>
      </c>
      <c r="D49">
        <v>40</v>
      </c>
      <c r="E49" t="s">
        <v>12</v>
      </c>
      <c r="F49" t="s">
        <v>22</v>
      </c>
      <c r="G49" t="s">
        <v>14</v>
      </c>
      <c r="H49">
        <v>89.57</v>
      </c>
      <c r="I49">
        <v>3297.16</v>
      </c>
      <c r="J49" t="s">
        <v>27</v>
      </c>
      <c r="K49" t="str">
        <f>IF(D49&lt;=12,"0-12 Months",IF(D49&lt;=24,"13-24 Months",IF(D49&lt;=48,"25-48 Months","49+ Months")))</f>
        <v>25-48 Months</v>
      </c>
      <c r="L49">
        <f>IF(Table1346[[#This Row],[Churn]]="Yes",1,0)</f>
        <v>1</v>
      </c>
    </row>
    <row r="50" spans="1:12" x14ac:dyDescent="0.35">
      <c r="A50" t="s">
        <v>72</v>
      </c>
      <c r="B50" t="s">
        <v>17</v>
      </c>
      <c r="C50">
        <v>22</v>
      </c>
      <c r="D50">
        <v>59</v>
      </c>
      <c r="E50" t="s">
        <v>21</v>
      </c>
      <c r="F50" t="s">
        <v>29</v>
      </c>
      <c r="G50" t="s">
        <v>19</v>
      </c>
      <c r="H50">
        <v>30.66</v>
      </c>
      <c r="I50">
        <v>1914.54</v>
      </c>
      <c r="J50" t="s">
        <v>15</v>
      </c>
      <c r="K50" t="str">
        <f>IF(D50&lt;=12,"0-12 Months",IF(D50&lt;=24,"13-24 Months",IF(D50&lt;=48,"25-48 Months","49+ Months")))</f>
        <v>49+ Months</v>
      </c>
      <c r="L50">
        <f>IF(Table1346[[#This Row],[Churn]]="Yes",1,0)</f>
        <v>0</v>
      </c>
    </row>
    <row r="51" spans="1:12" x14ac:dyDescent="0.35">
      <c r="A51" t="s">
        <v>73</v>
      </c>
      <c r="B51" t="s">
        <v>17</v>
      </c>
      <c r="C51">
        <v>48</v>
      </c>
      <c r="D51">
        <v>59</v>
      </c>
      <c r="E51" t="s">
        <v>12</v>
      </c>
      <c r="F51" t="s">
        <v>22</v>
      </c>
      <c r="G51" t="s">
        <v>14</v>
      </c>
      <c r="H51">
        <v>24.54</v>
      </c>
      <c r="I51">
        <v>1538.08</v>
      </c>
      <c r="J51" t="s">
        <v>15</v>
      </c>
      <c r="K51" t="str">
        <f>IF(D51&lt;=12,"0-12 Months",IF(D51&lt;=24,"13-24 Months",IF(D51&lt;=48,"25-48 Months","49+ Months")))</f>
        <v>49+ Months</v>
      </c>
      <c r="L51">
        <f>IF(Table1346[[#This Row],[Churn]]="Yes",1,0)</f>
        <v>0</v>
      </c>
    </row>
    <row r="52" spans="1:12" x14ac:dyDescent="0.35">
      <c r="A52" t="s">
        <v>74</v>
      </c>
      <c r="B52" t="s">
        <v>11</v>
      </c>
      <c r="C52">
        <v>22</v>
      </c>
      <c r="D52">
        <v>48</v>
      </c>
      <c r="E52" t="s">
        <v>12</v>
      </c>
      <c r="F52" t="s">
        <v>22</v>
      </c>
      <c r="G52" t="s">
        <v>19</v>
      </c>
      <c r="H52">
        <v>148.66999999999999</v>
      </c>
      <c r="I52">
        <v>7110.86</v>
      </c>
      <c r="J52" t="s">
        <v>15</v>
      </c>
      <c r="K52" t="str">
        <f>IF(D52&lt;=12,"0-12 Months",IF(D52&lt;=24,"13-24 Months",IF(D52&lt;=48,"25-48 Months","49+ Months")))</f>
        <v>25-48 Months</v>
      </c>
      <c r="L52">
        <f>IF(Table1346[[#This Row],[Churn]]="Yes",1,0)</f>
        <v>0</v>
      </c>
    </row>
    <row r="53" spans="1:12" x14ac:dyDescent="0.35">
      <c r="A53" t="s">
        <v>75</v>
      </c>
      <c r="B53" t="s">
        <v>17</v>
      </c>
      <c r="C53">
        <v>55</v>
      </c>
      <c r="D53">
        <v>41</v>
      </c>
      <c r="E53" t="s">
        <v>12</v>
      </c>
      <c r="F53" t="s">
        <v>22</v>
      </c>
      <c r="G53" t="s">
        <v>23</v>
      </c>
      <c r="H53">
        <v>23.9</v>
      </c>
      <c r="I53">
        <v>893.14</v>
      </c>
      <c r="J53" t="s">
        <v>15</v>
      </c>
      <c r="K53" t="str">
        <f>IF(D53&lt;=12,"0-12 Months",IF(D53&lt;=24,"13-24 Months",IF(D53&lt;=48,"25-48 Months","49+ Months")))</f>
        <v>25-48 Months</v>
      </c>
      <c r="L53">
        <f>IF(Table1346[[#This Row],[Churn]]="Yes",1,0)</f>
        <v>0</v>
      </c>
    </row>
    <row r="54" spans="1:12" x14ac:dyDescent="0.35">
      <c r="A54" t="s">
        <v>76</v>
      </c>
      <c r="B54" t="s">
        <v>11</v>
      </c>
      <c r="C54">
        <v>20</v>
      </c>
      <c r="D54">
        <v>13</v>
      </c>
      <c r="E54" t="s">
        <v>18</v>
      </c>
      <c r="F54" t="s">
        <v>33</v>
      </c>
      <c r="G54" t="s">
        <v>19</v>
      </c>
      <c r="H54">
        <v>77.790000000000006</v>
      </c>
      <c r="I54">
        <v>945.45</v>
      </c>
      <c r="J54" t="s">
        <v>27</v>
      </c>
      <c r="K54" t="str">
        <f>IF(D54&lt;=12,"0-12 Months",IF(D54&lt;=24,"13-24 Months",IF(D54&lt;=48,"25-48 Months","49+ Months")))</f>
        <v>13-24 Months</v>
      </c>
      <c r="L54">
        <f>IF(Table1346[[#This Row],[Churn]]="Yes",1,0)</f>
        <v>1</v>
      </c>
    </row>
    <row r="55" spans="1:12" x14ac:dyDescent="0.35">
      <c r="A55" t="s">
        <v>77</v>
      </c>
      <c r="B55" t="s">
        <v>17</v>
      </c>
      <c r="C55">
        <v>70</v>
      </c>
      <c r="D55">
        <v>45</v>
      </c>
      <c r="E55" t="s">
        <v>18</v>
      </c>
      <c r="F55" t="s">
        <v>29</v>
      </c>
      <c r="G55" t="s">
        <v>23</v>
      </c>
      <c r="H55">
        <v>85.6</v>
      </c>
      <c r="I55">
        <v>4011.8</v>
      </c>
      <c r="J55" t="s">
        <v>15</v>
      </c>
      <c r="K55" t="str">
        <f>IF(D55&lt;=12,"0-12 Months",IF(D55&lt;=24,"13-24 Months",IF(D55&lt;=48,"25-48 Months","49+ Months")))</f>
        <v>25-48 Months</v>
      </c>
      <c r="L55">
        <f>IF(Table1346[[#This Row],[Churn]]="Yes",1,0)</f>
        <v>0</v>
      </c>
    </row>
    <row r="56" spans="1:12" x14ac:dyDescent="0.35">
      <c r="A56" t="s">
        <v>78</v>
      </c>
      <c r="B56" t="s">
        <v>11</v>
      </c>
      <c r="C56">
        <v>40</v>
      </c>
      <c r="D56">
        <v>53</v>
      </c>
      <c r="E56" t="s">
        <v>12</v>
      </c>
      <c r="F56" t="s">
        <v>33</v>
      </c>
      <c r="G56" t="s">
        <v>14</v>
      </c>
      <c r="H56">
        <v>35.25</v>
      </c>
      <c r="I56">
        <v>1947.38</v>
      </c>
      <c r="J56" t="s">
        <v>15</v>
      </c>
      <c r="K56" t="str">
        <f>IF(D56&lt;=12,"0-12 Months",IF(D56&lt;=24,"13-24 Months",IF(D56&lt;=48,"25-48 Months","49+ Months")))</f>
        <v>49+ Months</v>
      </c>
      <c r="L56">
        <f>IF(Table1346[[#This Row],[Churn]]="Yes",1,0)</f>
        <v>0</v>
      </c>
    </row>
    <row r="57" spans="1:12" x14ac:dyDescent="0.35">
      <c r="A57" t="s">
        <v>79</v>
      </c>
      <c r="B57" t="s">
        <v>17</v>
      </c>
      <c r="C57">
        <v>54</v>
      </c>
      <c r="D57">
        <v>42</v>
      </c>
      <c r="E57" t="s">
        <v>12</v>
      </c>
      <c r="F57" t="s">
        <v>33</v>
      </c>
      <c r="G57" t="s">
        <v>23</v>
      </c>
      <c r="H57">
        <v>41.98</v>
      </c>
      <c r="I57">
        <v>1903.63</v>
      </c>
      <c r="J57" t="s">
        <v>15</v>
      </c>
      <c r="K57" t="str">
        <f>IF(D57&lt;=12,"0-12 Months",IF(D57&lt;=24,"13-24 Months",IF(D57&lt;=48,"25-48 Months","49+ Months")))</f>
        <v>25-48 Months</v>
      </c>
      <c r="L57">
        <f>IF(Table1346[[#This Row],[Churn]]="Yes",1,0)</f>
        <v>0</v>
      </c>
    </row>
    <row r="58" spans="1:12" x14ac:dyDescent="0.35">
      <c r="A58" t="s">
        <v>80</v>
      </c>
      <c r="B58" t="s">
        <v>17</v>
      </c>
      <c r="C58">
        <v>70</v>
      </c>
      <c r="D58">
        <v>63</v>
      </c>
      <c r="E58" t="s">
        <v>21</v>
      </c>
      <c r="F58" t="s">
        <v>29</v>
      </c>
      <c r="G58" t="s">
        <v>23</v>
      </c>
      <c r="H58">
        <v>65.73</v>
      </c>
      <c r="I58">
        <v>4209.47</v>
      </c>
      <c r="J58" t="s">
        <v>15</v>
      </c>
      <c r="K58" t="str">
        <f>IF(D58&lt;=12,"0-12 Months",IF(D58&lt;=24,"13-24 Months",IF(D58&lt;=48,"25-48 Months","49+ Months")))</f>
        <v>49+ Months</v>
      </c>
      <c r="L58">
        <f>IF(Table1346[[#This Row],[Churn]]="Yes",1,0)</f>
        <v>0</v>
      </c>
    </row>
    <row r="59" spans="1:12" x14ac:dyDescent="0.35">
      <c r="A59" t="s">
        <v>81</v>
      </c>
      <c r="B59" t="s">
        <v>11</v>
      </c>
      <c r="C59">
        <v>54</v>
      </c>
      <c r="D59">
        <v>27</v>
      </c>
      <c r="E59" t="s">
        <v>12</v>
      </c>
      <c r="F59" t="s">
        <v>13</v>
      </c>
      <c r="G59" t="s">
        <v>23</v>
      </c>
      <c r="H59">
        <v>119.02</v>
      </c>
      <c r="I59">
        <v>2971.95</v>
      </c>
      <c r="J59" t="s">
        <v>15</v>
      </c>
      <c r="K59" t="str">
        <f>IF(D59&lt;=12,"0-12 Months",IF(D59&lt;=24,"13-24 Months",IF(D59&lt;=48,"25-48 Months","49+ Months")))</f>
        <v>25-48 Months</v>
      </c>
      <c r="L59">
        <f>IF(Table1346[[#This Row],[Churn]]="Yes",1,0)</f>
        <v>0</v>
      </c>
    </row>
    <row r="60" spans="1:12" x14ac:dyDescent="0.35">
      <c r="A60" t="s">
        <v>82</v>
      </c>
      <c r="B60" t="s">
        <v>11</v>
      </c>
      <c r="C60">
        <v>27</v>
      </c>
      <c r="D60">
        <v>38</v>
      </c>
      <c r="E60" t="s">
        <v>12</v>
      </c>
      <c r="F60" t="s">
        <v>33</v>
      </c>
      <c r="G60" t="s">
        <v>19</v>
      </c>
      <c r="H60">
        <v>85.92</v>
      </c>
      <c r="I60">
        <v>3017.75</v>
      </c>
      <c r="J60" t="s">
        <v>15</v>
      </c>
      <c r="K60" t="str">
        <f>IF(D60&lt;=12,"0-12 Months",IF(D60&lt;=24,"13-24 Months",IF(D60&lt;=48,"25-48 Months","49+ Months")))</f>
        <v>25-48 Months</v>
      </c>
      <c r="L60">
        <f>IF(Table1346[[#This Row],[Churn]]="Yes",1,0)</f>
        <v>0</v>
      </c>
    </row>
    <row r="61" spans="1:12" x14ac:dyDescent="0.35">
      <c r="A61" t="s">
        <v>83</v>
      </c>
      <c r="B61" t="s">
        <v>11</v>
      </c>
      <c r="C61">
        <v>27</v>
      </c>
      <c r="D61">
        <v>60</v>
      </c>
      <c r="E61" t="s">
        <v>21</v>
      </c>
      <c r="F61" t="s">
        <v>29</v>
      </c>
      <c r="G61" t="s">
        <v>19</v>
      </c>
      <c r="H61">
        <v>102.93</v>
      </c>
      <c r="I61">
        <v>6448.93</v>
      </c>
      <c r="J61" t="s">
        <v>27</v>
      </c>
      <c r="K61" t="str">
        <f>IF(D61&lt;=12,"0-12 Months",IF(D61&lt;=24,"13-24 Months",IF(D61&lt;=48,"25-48 Months","49+ Months")))</f>
        <v>49+ Months</v>
      </c>
      <c r="L61">
        <f>IF(Table1346[[#This Row],[Churn]]="Yes",1,0)</f>
        <v>1</v>
      </c>
    </row>
    <row r="62" spans="1:12" x14ac:dyDescent="0.35">
      <c r="A62" t="s">
        <v>84</v>
      </c>
      <c r="B62" t="s">
        <v>11</v>
      </c>
      <c r="C62">
        <v>36</v>
      </c>
      <c r="D62">
        <v>7</v>
      </c>
      <c r="E62" t="s">
        <v>12</v>
      </c>
      <c r="F62" t="s">
        <v>13</v>
      </c>
      <c r="G62" t="s">
        <v>14</v>
      </c>
      <c r="H62">
        <v>148.07</v>
      </c>
      <c r="I62">
        <v>970.94</v>
      </c>
      <c r="J62" t="s">
        <v>27</v>
      </c>
      <c r="K62" t="str">
        <f>IF(D62&lt;=12,"0-12 Months",IF(D62&lt;=24,"13-24 Months",IF(D62&lt;=48,"25-48 Months","49+ Months")))</f>
        <v>0-12 Months</v>
      </c>
      <c r="L62">
        <f>IF(Table1346[[#This Row],[Churn]]="Yes",1,0)</f>
        <v>1</v>
      </c>
    </row>
    <row r="63" spans="1:12" x14ac:dyDescent="0.35">
      <c r="A63" t="s">
        <v>85</v>
      </c>
      <c r="B63" t="s">
        <v>11</v>
      </c>
      <c r="C63">
        <v>34</v>
      </c>
      <c r="D63">
        <v>5</v>
      </c>
      <c r="E63" t="s">
        <v>18</v>
      </c>
      <c r="F63" t="s">
        <v>33</v>
      </c>
      <c r="G63" t="s">
        <v>14</v>
      </c>
      <c r="H63">
        <v>119.84</v>
      </c>
      <c r="I63">
        <v>578.63</v>
      </c>
      <c r="J63" t="s">
        <v>15</v>
      </c>
      <c r="K63" t="str">
        <f>IF(D63&lt;=12,"0-12 Months",IF(D63&lt;=24,"13-24 Months",IF(D63&lt;=48,"25-48 Months","49+ Months")))</f>
        <v>0-12 Months</v>
      </c>
      <c r="L63">
        <f>IF(Table1346[[#This Row],[Churn]]="Yes",1,0)</f>
        <v>0</v>
      </c>
    </row>
    <row r="64" spans="1:12" x14ac:dyDescent="0.35">
      <c r="A64" t="s">
        <v>86</v>
      </c>
      <c r="B64" t="s">
        <v>11</v>
      </c>
      <c r="C64">
        <v>38</v>
      </c>
      <c r="D64">
        <v>45</v>
      </c>
      <c r="E64" t="s">
        <v>12</v>
      </c>
      <c r="F64" t="s">
        <v>13</v>
      </c>
      <c r="G64" t="s">
        <v>14</v>
      </c>
      <c r="H64">
        <v>76.47</v>
      </c>
      <c r="I64">
        <v>3432.35</v>
      </c>
      <c r="J64" t="s">
        <v>27</v>
      </c>
      <c r="K64" t="str">
        <f>IF(D64&lt;=12,"0-12 Months",IF(D64&lt;=24,"13-24 Months",IF(D64&lt;=48,"25-48 Months","49+ Months")))</f>
        <v>25-48 Months</v>
      </c>
      <c r="L64">
        <f>IF(Table1346[[#This Row],[Churn]]="Yes",1,0)</f>
        <v>1</v>
      </c>
    </row>
    <row r="65" spans="1:12" x14ac:dyDescent="0.35">
      <c r="A65" t="s">
        <v>87</v>
      </c>
      <c r="B65" t="s">
        <v>11</v>
      </c>
      <c r="C65">
        <v>31</v>
      </c>
      <c r="D65">
        <v>58</v>
      </c>
      <c r="E65" t="s">
        <v>12</v>
      </c>
      <c r="F65" t="s">
        <v>29</v>
      </c>
      <c r="G65" t="s">
        <v>14</v>
      </c>
      <c r="H65">
        <v>78.040000000000006</v>
      </c>
      <c r="I65">
        <v>4096.1099999999997</v>
      </c>
      <c r="J65" t="s">
        <v>15</v>
      </c>
      <c r="K65" t="str">
        <f>IF(D65&lt;=12,"0-12 Months",IF(D65&lt;=24,"13-24 Months",IF(D65&lt;=48,"25-48 Months","49+ Months")))</f>
        <v>49+ Months</v>
      </c>
      <c r="L65">
        <f>IF(Table1346[[#This Row],[Churn]]="Yes",1,0)</f>
        <v>0</v>
      </c>
    </row>
    <row r="66" spans="1:12" x14ac:dyDescent="0.35">
      <c r="A66" t="s">
        <v>88</v>
      </c>
      <c r="B66" t="s">
        <v>11</v>
      </c>
      <c r="C66">
        <v>26</v>
      </c>
      <c r="D66">
        <v>31</v>
      </c>
      <c r="E66" t="s">
        <v>12</v>
      </c>
      <c r="F66" t="s">
        <v>13</v>
      </c>
      <c r="G66" t="s">
        <v>19</v>
      </c>
      <c r="H66">
        <v>100.44</v>
      </c>
      <c r="I66">
        <v>2957.22</v>
      </c>
      <c r="J66" t="s">
        <v>15</v>
      </c>
      <c r="K66" t="str">
        <f>IF(D66&lt;=12,"0-12 Months",IF(D66&lt;=24,"13-24 Months",IF(D66&lt;=48,"25-48 Months","49+ Months")))</f>
        <v>25-48 Months</v>
      </c>
      <c r="L66">
        <f>IF(Table1346[[#This Row],[Churn]]="Yes",1,0)</f>
        <v>0</v>
      </c>
    </row>
    <row r="67" spans="1:12" x14ac:dyDescent="0.35">
      <c r="A67" t="s">
        <v>89</v>
      </c>
      <c r="B67" t="s">
        <v>17</v>
      </c>
      <c r="C67">
        <v>63</v>
      </c>
      <c r="D67">
        <v>23</v>
      </c>
      <c r="E67" t="s">
        <v>21</v>
      </c>
      <c r="F67" t="s">
        <v>29</v>
      </c>
      <c r="G67" t="s">
        <v>23</v>
      </c>
      <c r="H67">
        <v>83.07</v>
      </c>
      <c r="I67">
        <v>2404.38</v>
      </c>
      <c r="J67" t="s">
        <v>15</v>
      </c>
      <c r="K67" t="str">
        <f>IF(D67&lt;=12,"0-12 Months",IF(D67&lt;=24,"13-24 Months",IF(D67&lt;=48,"25-48 Months","49+ Months")))</f>
        <v>13-24 Months</v>
      </c>
      <c r="L67">
        <f>IF(Table1346[[#This Row],[Churn]]="Yes",1,0)</f>
        <v>0</v>
      </c>
    </row>
    <row r="68" spans="1:12" x14ac:dyDescent="0.35">
      <c r="A68" t="s">
        <v>90</v>
      </c>
      <c r="B68" t="s">
        <v>17</v>
      </c>
      <c r="C68">
        <v>18</v>
      </c>
      <c r="D68">
        <v>42</v>
      </c>
      <c r="E68" t="s">
        <v>12</v>
      </c>
      <c r="F68" t="s">
        <v>13</v>
      </c>
      <c r="G68" t="s">
        <v>19</v>
      </c>
      <c r="H68">
        <v>85.09</v>
      </c>
      <c r="I68">
        <v>3416.27</v>
      </c>
      <c r="J68" t="s">
        <v>27</v>
      </c>
      <c r="K68" t="str">
        <f>IF(D68&lt;=12,"0-12 Months",IF(D68&lt;=24,"13-24 Months",IF(D68&lt;=48,"25-48 Months","49+ Months")))</f>
        <v>25-48 Months</v>
      </c>
      <c r="L68">
        <f>IF(Table1346[[#This Row],[Churn]]="Yes",1,0)</f>
        <v>1</v>
      </c>
    </row>
    <row r="69" spans="1:12" x14ac:dyDescent="0.35">
      <c r="A69" t="s">
        <v>91</v>
      </c>
      <c r="B69" t="s">
        <v>11</v>
      </c>
      <c r="C69">
        <v>68</v>
      </c>
      <c r="D69">
        <v>10</v>
      </c>
      <c r="E69" t="s">
        <v>21</v>
      </c>
      <c r="F69" t="s">
        <v>29</v>
      </c>
      <c r="G69" t="s">
        <v>23</v>
      </c>
      <c r="H69">
        <v>103.83</v>
      </c>
      <c r="I69">
        <v>962.79</v>
      </c>
      <c r="J69" t="s">
        <v>27</v>
      </c>
      <c r="K69" t="str">
        <f>IF(D69&lt;=12,"0-12 Months",IF(D69&lt;=24,"13-24 Months",IF(D69&lt;=48,"25-48 Months","49+ Months")))</f>
        <v>0-12 Months</v>
      </c>
      <c r="L69">
        <f>IF(Table1346[[#This Row],[Churn]]="Yes",1,0)</f>
        <v>1</v>
      </c>
    </row>
    <row r="70" spans="1:12" x14ac:dyDescent="0.35">
      <c r="A70" t="s">
        <v>92</v>
      </c>
      <c r="B70" t="s">
        <v>17</v>
      </c>
      <c r="C70">
        <v>62</v>
      </c>
      <c r="D70">
        <v>32</v>
      </c>
      <c r="E70" t="s">
        <v>12</v>
      </c>
      <c r="F70" t="s">
        <v>22</v>
      </c>
      <c r="G70" t="s">
        <v>23</v>
      </c>
      <c r="H70">
        <v>23.06</v>
      </c>
      <c r="I70">
        <v>771.57</v>
      </c>
      <c r="J70" t="s">
        <v>15</v>
      </c>
      <c r="K70" t="str">
        <f>IF(D70&lt;=12,"0-12 Months",IF(D70&lt;=24,"13-24 Months",IF(D70&lt;=48,"25-48 Months","49+ Months")))</f>
        <v>25-48 Months</v>
      </c>
      <c r="L70">
        <f>IF(Table1346[[#This Row],[Churn]]="Yes",1,0)</f>
        <v>0</v>
      </c>
    </row>
    <row r="71" spans="1:12" x14ac:dyDescent="0.35">
      <c r="A71" t="s">
        <v>93</v>
      </c>
      <c r="B71" t="s">
        <v>17</v>
      </c>
      <c r="C71">
        <v>30</v>
      </c>
      <c r="D71">
        <v>53</v>
      </c>
      <c r="E71" t="s">
        <v>18</v>
      </c>
      <c r="F71" t="s">
        <v>13</v>
      </c>
      <c r="G71" t="s">
        <v>14</v>
      </c>
      <c r="H71">
        <v>75.849999999999994</v>
      </c>
      <c r="I71">
        <v>4271.82</v>
      </c>
      <c r="J71" t="s">
        <v>15</v>
      </c>
      <c r="K71" t="str">
        <f>IF(D71&lt;=12,"0-12 Months",IF(D71&lt;=24,"13-24 Months",IF(D71&lt;=48,"25-48 Months","49+ Months")))</f>
        <v>49+ Months</v>
      </c>
      <c r="L71">
        <f>IF(Table1346[[#This Row],[Churn]]="Yes",1,0)</f>
        <v>0</v>
      </c>
    </row>
    <row r="72" spans="1:12" x14ac:dyDescent="0.35">
      <c r="A72" t="s">
        <v>94</v>
      </c>
      <c r="B72" t="s">
        <v>17</v>
      </c>
      <c r="C72">
        <v>21</v>
      </c>
      <c r="D72">
        <v>30</v>
      </c>
      <c r="E72" t="s">
        <v>12</v>
      </c>
      <c r="F72" t="s">
        <v>22</v>
      </c>
      <c r="G72" t="s">
        <v>19</v>
      </c>
      <c r="H72">
        <v>56.26</v>
      </c>
      <c r="I72">
        <v>1605.93</v>
      </c>
      <c r="J72" t="s">
        <v>15</v>
      </c>
      <c r="K72" t="str">
        <f>IF(D72&lt;=12,"0-12 Months",IF(D72&lt;=24,"13-24 Months",IF(D72&lt;=48,"25-48 Months","49+ Months")))</f>
        <v>25-48 Months</v>
      </c>
      <c r="L72">
        <f>IF(Table1346[[#This Row],[Churn]]="Yes",1,0)</f>
        <v>0</v>
      </c>
    </row>
    <row r="73" spans="1:12" x14ac:dyDescent="0.35">
      <c r="A73" t="s">
        <v>95</v>
      </c>
      <c r="B73" t="s">
        <v>17</v>
      </c>
      <c r="C73">
        <v>18</v>
      </c>
      <c r="D73">
        <v>39</v>
      </c>
      <c r="E73" t="s">
        <v>12</v>
      </c>
      <c r="F73" t="s">
        <v>22</v>
      </c>
      <c r="G73" t="s">
        <v>19</v>
      </c>
      <c r="H73">
        <v>36.79</v>
      </c>
      <c r="I73">
        <v>1513.56</v>
      </c>
      <c r="J73" t="s">
        <v>15</v>
      </c>
      <c r="K73" t="str">
        <f>IF(D73&lt;=12,"0-12 Months",IF(D73&lt;=24,"13-24 Months",IF(D73&lt;=48,"25-48 Months","49+ Months")))</f>
        <v>25-48 Months</v>
      </c>
      <c r="L73">
        <f>IF(Table1346[[#This Row],[Churn]]="Yes",1,0)</f>
        <v>0</v>
      </c>
    </row>
    <row r="74" spans="1:12" x14ac:dyDescent="0.35">
      <c r="A74" t="s">
        <v>96</v>
      </c>
      <c r="B74" t="s">
        <v>11</v>
      </c>
      <c r="C74">
        <v>66</v>
      </c>
      <c r="D74">
        <v>31</v>
      </c>
      <c r="E74" t="s">
        <v>21</v>
      </c>
      <c r="F74" t="s">
        <v>13</v>
      </c>
      <c r="G74" t="s">
        <v>23</v>
      </c>
      <c r="H74">
        <v>32.94</v>
      </c>
      <c r="I74">
        <v>997.77</v>
      </c>
      <c r="J74" t="s">
        <v>15</v>
      </c>
      <c r="K74" t="str">
        <f>IF(D74&lt;=12,"0-12 Months",IF(D74&lt;=24,"13-24 Months",IF(D74&lt;=48,"25-48 Months","49+ Months")))</f>
        <v>25-48 Months</v>
      </c>
      <c r="L74">
        <f>IF(Table1346[[#This Row],[Churn]]="Yes",1,0)</f>
        <v>0</v>
      </c>
    </row>
    <row r="75" spans="1:12" x14ac:dyDescent="0.35">
      <c r="A75" t="s">
        <v>97</v>
      </c>
      <c r="B75" t="s">
        <v>17</v>
      </c>
      <c r="C75">
        <v>57</v>
      </c>
      <c r="D75">
        <v>2</v>
      </c>
      <c r="E75" t="s">
        <v>12</v>
      </c>
      <c r="F75" t="s">
        <v>22</v>
      </c>
      <c r="G75" t="s">
        <v>23</v>
      </c>
      <c r="H75">
        <v>98.41</v>
      </c>
      <c r="I75">
        <v>197.08</v>
      </c>
      <c r="J75" t="s">
        <v>15</v>
      </c>
      <c r="K75" t="str">
        <f>IF(D75&lt;=12,"0-12 Months",IF(D75&lt;=24,"13-24 Months",IF(D75&lt;=48,"25-48 Months","49+ Months")))</f>
        <v>0-12 Months</v>
      </c>
      <c r="L75">
        <f>IF(Table1346[[#This Row],[Churn]]="Yes",1,0)</f>
        <v>0</v>
      </c>
    </row>
    <row r="76" spans="1:12" x14ac:dyDescent="0.35">
      <c r="A76" t="s">
        <v>98</v>
      </c>
      <c r="B76" t="s">
        <v>11</v>
      </c>
      <c r="C76">
        <v>49</v>
      </c>
      <c r="D76">
        <v>12</v>
      </c>
      <c r="E76" t="s">
        <v>12</v>
      </c>
      <c r="F76" t="s">
        <v>29</v>
      </c>
      <c r="G76" t="s">
        <v>14</v>
      </c>
      <c r="H76">
        <v>88.07</v>
      </c>
      <c r="I76">
        <v>1132.0899999999999</v>
      </c>
      <c r="J76" t="s">
        <v>27</v>
      </c>
      <c r="K76" t="str">
        <f>IF(D76&lt;=12,"0-12 Months",IF(D76&lt;=24,"13-24 Months",IF(D76&lt;=48,"25-48 Months","49+ Months")))</f>
        <v>0-12 Months</v>
      </c>
      <c r="L76">
        <f>IF(Table1346[[#This Row],[Churn]]="Yes",1,0)</f>
        <v>1</v>
      </c>
    </row>
    <row r="77" spans="1:12" x14ac:dyDescent="0.35">
      <c r="A77" t="s">
        <v>99</v>
      </c>
      <c r="B77" t="s">
        <v>17</v>
      </c>
      <c r="C77">
        <v>51</v>
      </c>
      <c r="D77">
        <v>39</v>
      </c>
      <c r="E77" t="s">
        <v>18</v>
      </c>
      <c r="F77" t="s">
        <v>13</v>
      </c>
      <c r="G77" t="s">
        <v>23</v>
      </c>
      <c r="H77">
        <v>52.97</v>
      </c>
      <c r="I77">
        <v>2169.1</v>
      </c>
      <c r="J77" t="s">
        <v>15</v>
      </c>
      <c r="K77" t="str">
        <f>IF(D77&lt;=12,"0-12 Months",IF(D77&lt;=24,"13-24 Months",IF(D77&lt;=48,"25-48 Months","49+ Months")))</f>
        <v>25-48 Months</v>
      </c>
      <c r="L77">
        <f>IF(Table1346[[#This Row],[Churn]]="Yes",1,0)</f>
        <v>0</v>
      </c>
    </row>
    <row r="78" spans="1:12" x14ac:dyDescent="0.35">
      <c r="A78" t="s">
        <v>100</v>
      </c>
      <c r="B78" t="s">
        <v>17</v>
      </c>
      <c r="C78">
        <v>45</v>
      </c>
      <c r="D78">
        <v>66</v>
      </c>
      <c r="E78" t="s">
        <v>12</v>
      </c>
      <c r="F78" t="s">
        <v>29</v>
      </c>
      <c r="G78" t="s">
        <v>14</v>
      </c>
      <c r="H78">
        <v>81.22</v>
      </c>
      <c r="I78">
        <v>5687.64</v>
      </c>
      <c r="J78" t="s">
        <v>15</v>
      </c>
      <c r="K78" t="str">
        <f>IF(D78&lt;=12,"0-12 Months",IF(D78&lt;=24,"13-24 Months",IF(D78&lt;=48,"25-48 Months","49+ Months")))</f>
        <v>49+ Months</v>
      </c>
      <c r="L78">
        <f>IF(Table1346[[#This Row],[Churn]]="Yes",1,0)</f>
        <v>0</v>
      </c>
    </row>
    <row r="79" spans="1:12" x14ac:dyDescent="0.35">
      <c r="A79" t="s">
        <v>101</v>
      </c>
      <c r="B79" t="s">
        <v>17</v>
      </c>
      <c r="C79">
        <v>48</v>
      </c>
      <c r="D79">
        <v>13</v>
      </c>
      <c r="E79" t="s">
        <v>21</v>
      </c>
      <c r="F79" t="s">
        <v>33</v>
      </c>
      <c r="G79" t="s">
        <v>14</v>
      </c>
      <c r="H79">
        <v>83.99</v>
      </c>
      <c r="I79">
        <v>1012.57</v>
      </c>
      <c r="J79" t="s">
        <v>27</v>
      </c>
      <c r="K79" t="str">
        <f>IF(D79&lt;=12,"0-12 Months",IF(D79&lt;=24,"13-24 Months",IF(D79&lt;=48,"25-48 Months","49+ Months")))</f>
        <v>13-24 Months</v>
      </c>
      <c r="L79">
        <f>IF(Table1346[[#This Row],[Churn]]="Yes",1,0)</f>
        <v>1</v>
      </c>
    </row>
    <row r="80" spans="1:12" x14ac:dyDescent="0.35">
      <c r="A80" t="s">
        <v>102</v>
      </c>
      <c r="B80" t="s">
        <v>11</v>
      </c>
      <c r="C80">
        <v>25</v>
      </c>
      <c r="D80">
        <v>46</v>
      </c>
      <c r="E80" t="s">
        <v>12</v>
      </c>
      <c r="F80" t="s">
        <v>29</v>
      </c>
      <c r="G80" t="s">
        <v>19</v>
      </c>
      <c r="H80">
        <v>45.35</v>
      </c>
      <c r="I80">
        <v>1906.58</v>
      </c>
      <c r="J80" t="s">
        <v>15</v>
      </c>
      <c r="K80" t="str">
        <f>IF(D80&lt;=12,"0-12 Months",IF(D80&lt;=24,"13-24 Months",IF(D80&lt;=48,"25-48 Months","49+ Months")))</f>
        <v>25-48 Months</v>
      </c>
      <c r="L80">
        <f>IF(Table1346[[#This Row],[Churn]]="Yes",1,0)</f>
        <v>0</v>
      </c>
    </row>
    <row r="81" spans="1:12" x14ac:dyDescent="0.35">
      <c r="A81" t="s">
        <v>103</v>
      </c>
      <c r="B81" t="s">
        <v>17</v>
      </c>
      <c r="C81">
        <v>56</v>
      </c>
      <c r="D81">
        <v>27</v>
      </c>
      <c r="E81" t="s">
        <v>21</v>
      </c>
      <c r="F81" t="s">
        <v>13</v>
      </c>
      <c r="G81" t="s">
        <v>23</v>
      </c>
      <c r="H81">
        <v>104.77</v>
      </c>
      <c r="I81">
        <v>3051.36</v>
      </c>
      <c r="J81" t="s">
        <v>15</v>
      </c>
      <c r="K81" t="str">
        <f>IF(D81&lt;=12,"0-12 Months",IF(D81&lt;=24,"13-24 Months",IF(D81&lt;=48,"25-48 Months","49+ Months")))</f>
        <v>25-48 Months</v>
      </c>
      <c r="L81">
        <f>IF(Table1346[[#This Row],[Churn]]="Yes",1,0)</f>
        <v>0</v>
      </c>
    </row>
    <row r="82" spans="1:12" x14ac:dyDescent="0.35">
      <c r="A82" t="s">
        <v>104</v>
      </c>
      <c r="B82" t="s">
        <v>11</v>
      </c>
      <c r="C82">
        <v>43</v>
      </c>
      <c r="D82">
        <v>17</v>
      </c>
      <c r="E82" t="s">
        <v>12</v>
      </c>
      <c r="F82" t="s">
        <v>22</v>
      </c>
      <c r="G82" t="s">
        <v>14</v>
      </c>
      <c r="H82">
        <v>121.52</v>
      </c>
      <c r="I82">
        <v>2019.5</v>
      </c>
      <c r="J82" t="s">
        <v>15</v>
      </c>
      <c r="K82" t="str">
        <f>IF(D82&lt;=12,"0-12 Months",IF(D82&lt;=24,"13-24 Months",IF(D82&lt;=48,"25-48 Months","49+ Months")))</f>
        <v>13-24 Months</v>
      </c>
      <c r="L82">
        <f>IF(Table1346[[#This Row],[Churn]]="Yes",1,0)</f>
        <v>0</v>
      </c>
    </row>
    <row r="83" spans="1:12" x14ac:dyDescent="0.35">
      <c r="A83" t="s">
        <v>105</v>
      </c>
      <c r="B83" t="s">
        <v>17</v>
      </c>
      <c r="C83">
        <v>51</v>
      </c>
      <c r="D83">
        <v>60</v>
      </c>
      <c r="E83" t="s">
        <v>12</v>
      </c>
      <c r="F83" t="s">
        <v>13</v>
      </c>
      <c r="G83" t="s">
        <v>23</v>
      </c>
      <c r="H83">
        <v>122.89</v>
      </c>
      <c r="I83">
        <v>7060.59</v>
      </c>
      <c r="J83" t="s">
        <v>15</v>
      </c>
      <c r="K83" t="str">
        <f>IF(D83&lt;=12,"0-12 Months",IF(D83&lt;=24,"13-24 Months",IF(D83&lt;=48,"25-48 Months","49+ Months")))</f>
        <v>49+ Months</v>
      </c>
      <c r="L83">
        <f>IF(Table1346[[#This Row],[Churn]]="Yes",1,0)</f>
        <v>0</v>
      </c>
    </row>
    <row r="84" spans="1:12" x14ac:dyDescent="0.35">
      <c r="A84" t="s">
        <v>106</v>
      </c>
      <c r="B84" t="s">
        <v>11</v>
      </c>
      <c r="C84">
        <v>20</v>
      </c>
      <c r="D84">
        <v>64</v>
      </c>
      <c r="E84" t="s">
        <v>18</v>
      </c>
      <c r="F84" t="s">
        <v>29</v>
      </c>
      <c r="G84" t="s">
        <v>19</v>
      </c>
      <c r="H84">
        <v>98.32</v>
      </c>
      <c r="I84">
        <v>6575.26</v>
      </c>
      <c r="J84" t="s">
        <v>15</v>
      </c>
      <c r="K84" t="str">
        <f>IF(D84&lt;=12,"0-12 Months",IF(D84&lt;=24,"13-24 Months",IF(D84&lt;=48,"25-48 Months","49+ Months")))</f>
        <v>49+ Months</v>
      </c>
      <c r="L84">
        <f>IF(Table1346[[#This Row],[Churn]]="Yes",1,0)</f>
        <v>0</v>
      </c>
    </row>
    <row r="85" spans="1:12" x14ac:dyDescent="0.35">
      <c r="A85" t="s">
        <v>107</v>
      </c>
      <c r="B85" t="s">
        <v>17</v>
      </c>
      <c r="C85">
        <v>67</v>
      </c>
      <c r="D85">
        <v>35</v>
      </c>
      <c r="E85" t="s">
        <v>21</v>
      </c>
      <c r="F85" t="s">
        <v>13</v>
      </c>
      <c r="G85" t="s">
        <v>23</v>
      </c>
      <c r="H85">
        <v>86.51</v>
      </c>
      <c r="I85">
        <v>3231.57</v>
      </c>
      <c r="J85" t="s">
        <v>15</v>
      </c>
      <c r="K85" t="str">
        <f>IF(D85&lt;=12,"0-12 Months",IF(D85&lt;=24,"13-24 Months",IF(D85&lt;=48,"25-48 Months","49+ Months")))</f>
        <v>25-48 Months</v>
      </c>
      <c r="L85">
        <f>IF(Table1346[[#This Row],[Churn]]="Yes",1,0)</f>
        <v>0</v>
      </c>
    </row>
    <row r="86" spans="1:12" x14ac:dyDescent="0.35">
      <c r="A86" t="s">
        <v>108</v>
      </c>
      <c r="B86" t="s">
        <v>11</v>
      </c>
      <c r="C86">
        <v>29</v>
      </c>
      <c r="D86">
        <v>70</v>
      </c>
      <c r="E86" t="s">
        <v>12</v>
      </c>
      <c r="F86" t="s">
        <v>22</v>
      </c>
      <c r="G86" t="s">
        <v>19</v>
      </c>
      <c r="H86">
        <v>27.93</v>
      </c>
      <c r="I86">
        <v>2096.84</v>
      </c>
      <c r="J86" t="s">
        <v>15</v>
      </c>
      <c r="K86" t="str">
        <f>IF(D86&lt;=12,"0-12 Months",IF(D86&lt;=24,"13-24 Months",IF(D86&lt;=48,"25-48 Months","49+ Months")))</f>
        <v>49+ Months</v>
      </c>
      <c r="L86">
        <f>IF(Table1346[[#This Row],[Churn]]="Yes",1,0)</f>
        <v>0</v>
      </c>
    </row>
    <row r="87" spans="1:12" x14ac:dyDescent="0.35">
      <c r="A87" t="s">
        <v>109</v>
      </c>
      <c r="B87" t="s">
        <v>11</v>
      </c>
      <c r="C87">
        <v>18</v>
      </c>
      <c r="D87">
        <v>30</v>
      </c>
      <c r="E87" t="s">
        <v>12</v>
      </c>
      <c r="F87" t="s">
        <v>22</v>
      </c>
      <c r="G87" t="s">
        <v>19</v>
      </c>
      <c r="H87">
        <v>57.42</v>
      </c>
      <c r="I87">
        <v>1659.21</v>
      </c>
      <c r="J87" t="s">
        <v>15</v>
      </c>
      <c r="K87" t="str">
        <f>IF(D87&lt;=12,"0-12 Months",IF(D87&lt;=24,"13-24 Months",IF(D87&lt;=48,"25-48 Months","49+ Months")))</f>
        <v>25-48 Months</v>
      </c>
      <c r="L87">
        <f>IF(Table1346[[#This Row],[Churn]]="Yes",1,0)</f>
        <v>0</v>
      </c>
    </row>
    <row r="88" spans="1:12" x14ac:dyDescent="0.35">
      <c r="A88" t="s">
        <v>110</v>
      </c>
      <c r="B88" t="s">
        <v>17</v>
      </c>
      <c r="C88">
        <v>61</v>
      </c>
      <c r="D88">
        <v>71</v>
      </c>
      <c r="E88" t="s">
        <v>18</v>
      </c>
      <c r="F88" t="s">
        <v>13</v>
      </c>
      <c r="G88" t="s">
        <v>23</v>
      </c>
      <c r="H88">
        <v>32.130000000000003</v>
      </c>
      <c r="I88">
        <v>2441.9299999999998</v>
      </c>
      <c r="J88" t="s">
        <v>15</v>
      </c>
      <c r="K88" t="str">
        <f>IF(D88&lt;=12,"0-12 Months",IF(D88&lt;=24,"13-24 Months",IF(D88&lt;=48,"25-48 Months","49+ Months")))</f>
        <v>49+ Months</v>
      </c>
      <c r="L88">
        <f>IF(Table1346[[#This Row],[Churn]]="Yes",1,0)</f>
        <v>0</v>
      </c>
    </row>
    <row r="89" spans="1:12" x14ac:dyDescent="0.35">
      <c r="A89" t="s">
        <v>111</v>
      </c>
      <c r="B89" t="s">
        <v>11</v>
      </c>
      <c r="C89">
        <v>22</v>
      </c>
      <c r="D89">
        <v>63</v>
      </c>
      <c r="E89" t="s">
        <v>12</v>
      </c>
      <c r="F89" t="s">
        <v>13</v>
      </c>
      <c r="G89" t="s">
        <v>19</v>
      </c>
      <c r="H89">
        <v>145.30000000000001</v>
      </c>
      <c r="I89">
        <v>8313.4500000000007</v>
      </c>
      <c r="J89" t="s">
        <v>15</v>
      </c>
      <c r="K89" t="str">
        <f>IF(D89&lt;=12,"0-12 Months",IF(D89&lt;=24,"13-24 Months",IF(D89&lt;=48,"25-48 Months","49+ Months")))</f>
        <v>49+ Months</v>
      </c>
      <c r="L89">
        <f>IF(Table1346[[#This Row],[Churn]]="Yes",1,0)</f>
        <v>0</v>
      </c>
    </row>
    <row r="90" spans="1:12" x14ac:dyDescent="0.35">
      <c r="A90" t="s">
        <v>112</v>
      </c>
      <c r="B90" t="s">
        <v>17</v>
      </c>
      <c r="C90">
        <v>47</v>
      </c>
      <c r="D90">
        <v>28</v>
      </c>
      <c r="E90" t="s">
        <v>21</v>
      </c>
      <c r="F90" t="s">
        <v>13</v>
      </c>
      <c r="G90" t="s">
        <v>14</v>
      </c>
      <c r="H90">
        <v>37.56</v>
      </c>
      <c r="I90">
        <v>956.96</v>
      </c>
      <c r="J90" t="s">
        <v>15</v>
      </c>
      <c r="K90" t="str">
        <f>IF(D90&lt;=12,"0-12 Months",IF(D90&lt;=24,"13-24 Months",IF(D90&lt;=48,"25-48 Months","49+ Months")))</f>
        <v>25-48 Months</v>
      </c>
      <c r="L90">
        <f>IF(Table1346[[#This Row],[Churn]]="Yes",1,0)</f>
        <v>0</v>
      </c>
    </row>
    <row r="91" spans="1:12" x14ac:dyDescent="0.35">
      <c r="A91" t="s">
        <v>113</v>
      </c>
      <c r="B91" t="s">
        <v>17</v>
      </c>
      <c r="C91">
        <v>47</v>
      </c>
      <c r="D91">
        <v>60</v>
      </c>
      <c r="E91" t="s">
        <v>21</v>
      </c>
      <c r="F91" t="s">
        <v>22</v>
      </c>
      <c r="G91" t="s">
        <v>14</v>
      </c>
      <c r="H91">
        <v>39.729999999999997</v>
      </c>
      <c r="I91">
        <v>2442.69</v>
      </c>
      <c r="J91" t="s">
        <v>15</v>
      </c>
      <c r="K91" t="str">
        <f>IF(D91&lt;=12,"0-12 Months",IF(D91&lt;=24,"13-24 Months",IF(D91&lt;=48,"25-48 Months","49+ Months")))</f>
        <v>49+ Months</v>
      </c>
      <c r="L91">
        <f>IF(Table1346[[#This Row],[Churn]]="Yes",1,0)</f>
        <v>0</v>
      </c>
    </row>
    <row r="92" spans="1:12" x14ac:dyDescent="0.35">
      <c r="A92" t="s">
        <v>114</v>
      </c>
      <c r="B92" t="s">
        <v>17</v>
      </c>
      <c r="C92">
        <v>34</v>
      </c>
      <c r="D92">
        <v>37</v>
      </c>
      <c r="E92" t="s">
        <v>12</v>
      </c>
      <c r="F92" t="s">
        <v>13</v>
      </c>
      <c r="G92" t="s">
        <v>14</v>
      </c>
      <c r="H92">
        <v>135.63999999999999</v>
      </c>
      <c r="I92">
        <v>4580.1499999999996</v>
      </c>
      <c r="J92" t="s">
        <v>15</v>
      </c>
      <c r="K92" t="str">
        <f>IF(D92&lt;=12,"0-12 Months",IF(D92&lt;=24,"13-24 Months",IF(D92&lt;=48,"25-48 Months","49+ Months")))</f>
        <v>25-48 Months</v>
      </c>
      <c r="L92">
        <f>IF(Table1346[[#This Row],[Churn]]="Yes",1,0)</f>
        <v>0</v>
      </c>
    </row>
    <row r="93" spans="1:12" x14ac:dyDescent="0.35">
      <c r="A93" t="s">
        <v>115</v>
      </c>
      <c r="B93" t="s">
        <v>17</v>
      </c>
      <c r="C93">
        <v>65</v>
      </c>
      <c r="D93">
        <v>22</v>
      </c>
      <c r="E93" t="s">
        <v>12</v>
      </c>
      <c r="F93" t="s">
        <v>13</v>
      </c>
      <c r="G93" t="s">
        <v>23</v>
      </c>
      <c r="H93">
        <v>142.71</v>
      </c>
      <c r="I93">
        <v>3029.49</v>
      </c>
      <c r="J93" t="s">
        <v>27</v>
      </c>
      <c r="K93" t="str">
        <f>IF(D93&lt;=12,"0-12 Months",IF(D93&lt;=24,"13-24 Months",IF(D93&lt;=48,"25-48 Months","49+ Months")))</f>
        <v>13-24 Months</v>
      </c>
      <c r="L93">
        <f>IF(Table1346[[#This Row],[Churn]]="Yes",1,0)</f>
        <v>1</v>
      </c>
    </row>
    <row r="94" spans="1:12" x14ac:dyDescent="0.35">
      <c r="A94" t="s">
        <v>116</v>
      </c>
      <c r="B94" t="s">
        <v>17</v>
      </c>
      <c r="C94">
        <v>64</v>
      </c>
      <c r="D94">
        <v>68</v>
      </c>
      <c r="E94" t="s">
        <v>21</v>
      </c>
      <c r="F94" t="s">
        <v>29</v>
      </c>
      <c r="G94" t="s">
        <v>23</v>
      </c>
      <c r="H94">
        <v>119.56</v>
      </c>
      <c r="I94">
        <v>8410.98</v>
      </c>
      <c r="J94" t="s">
        <v>15</v>
      </c>
      <c r="K94" t="str">
        <f>IF(D94&lt;=12,"0-12 Months",IF(D94&lt;=24,"13-24 Months",IF(D94&lt;=48,"25-48 Months","49+ Months")))</f>
        <v>49+ Months</v>
      </c>
      <c r="L94">
        <f>IF(Table1346[[#This Row],[Churn]]="Yes",1,0)</f>
        <v>0</v>
      </c>
    </row>
    <row r="95" spans="1:12" x14ac:dyDescent="0.35">
      <c r="A95" t="s">
        <v>117</v>
      </c>
      <c r="B95" t="s">
        <v>17</v>
      </c>
      <c r="C95">
        <v>40</v>
      </c>
      <c r="D95">
        <v>20</v>
      </c>
      <c r="E95" t="s">
        <v>12</v>
      </c>
      <c r="F95" t="s">
        <v>29</v>
      </c>
      <c r="G95" t="s">
        <v>14</v>
      </c>
      <c r="H95">
        <v>20.7</v>
      </c>
      <c r="I95">
        <v>400.53</v>
      </c>
      <c r="J95" t="s">
        <v>27</v>
      </c>
      <c r="K95" t="str">
        <f>IF(D95&lt;=12,"0-12 Months",IF(D95&lt;=24,"13-24 Months",IF(D95&lt;=48,"25-48 Months","49+ Months")))</f>
        <v>13-24 Months</v>
      </c>
      <c r="L95">
        <f>IF(Table1346[[#This Row],[Churn]]="Yes",1,0)</f>
        <v>1</v>
      </c>
    </row>
    <row r="96" spans="1:12" x14ac:dyDescent="0.35">
      <c r="A96" t="s">
        <v>118</v>
      </c>
      <c r="B96" t="s">
        <v>17</v>
      </c>
      <c r="C96">
        <v>32</v>
      </c>
      <c r="D96">
        <v>68</v>
      </c>
      <c r="E96" t="s">
        <v>12</v>
      </c>
      <c r="F96" t="s">
        <v>29</v>
      </c>
      <c r="G96" t="s">
        <v>14</v>
      </c>
      <c r="H96">
        <v>20.18</v>
      </c>
      <c r="I96">
        <v>1284.31</v>
      </c>
      <c r="J96" t="s">
        <v>15</v>
      </c>
      <c r="K96" t="str">
        <f>IF(D96&lt;=12,"0-12 Months",IF(D96&lt;=24,"13-24 Months",IF(D96&lt;=48,"25-48 Months","49+ Months")))</f>
        <v>49+ Months</v>
      </c>
      <c r="L96">
        <f>IF(Table1346[[#This Row],[Churn]]="Yes",1,0)</f>
        <v>0</v>
      </c>
    </row>
    <row r="97" spans="1:12" x14ac:dyDescent="0.35">
      <c r="A97" t="s">
        <v>119</v>
      </c>
      <c r="B97" t="s">
        <v>17</v>
      </c>
      <c r="C97">
        <v>54</v>
      </c>
      <c r="D97">
        <v>64</v>
      </c>
      <c r="E97" t="s">
        <v>18</v>
      </c>
      <c r="F97" t="s">
        <v>29</v>
      </c>
      <c r="G97" t="s">
        <v>23</v>
      </c>
      <c r="H97">
        <v>69.150000000000006</v>
      </c>
      <c r="I97">
        <v>4232.07</v>
      </c>
      <c r="J97" t="s">
        <v>15</v>
      </c>
      <c r="K97" t="str">
        <f>IF(D97&lt;=12,"0-12 Months",IF(D97&lt;=24,"13-24 Months",IF(D97&lt;=48,"25-48 Months","49+ Months")))</f>
        <v>49+ Months</v>
      </c>
      <c r="L97">
        <f>IF(Table1346[[#This Row],[Churn]]="Yes",1,0)</f>
        <v>0</v>
      </c>
    </row>
    <row r="98" spans="1:12" x14ac:dyDescent="0.35">
      <c r="A98" t="s">
        <v>120</v>
      </c>
      <c r="B98" t="s">
        <v>17</v>
      </c>
      <c r="C98">
        <v>38</v>
      </c>
      <c r="D98">
        <v>17</v>
      </c>
      <c r="E98" t="s">
        <v>21</v>
      </c>
      <c r="F98" t="s">
        <v>13</v>
      </c>
      <c r="G98" t="s">
        <v>14</v>
      </c>
      <c r="H98">
        <v>38.64</v>
      </c>
      <c r="I98">
        <v>651.30999999999995</v>
      </c>
      <c r="J98" t="s">
        <v>15</v>
      </c>
      <c r="K98" t="str">
        <f>IF(D98&lt;=12,"0-12 Months",IF(D98&lt;=24,"13-24 Months",IF(D98&lt;=48,"25-48 Months","49+ Months")))</f>
        <v>13-24 Months</v>
      </c>
      <c r="L98">
        <f>IF(Table1346[[#This Row],[Churn]]="Yes",1,0)</f>
        <v>0</v>
      </c>
    </row>
    <row r="99" spans="1:12" x14ac:dyDescent="0.35">
      <c r="A99" t="s">
        <v>121</v>
      </c>
      <c r="B99" t="s">
        <v>17</v>
      </c>
      <c r="C99">
        <v>31</v>
      </c>
      <c r="D99">
        <v>12</v>
      </c>
      <c r="E99" t="s">
        <v>21</v>
      </c>
      <c r="F99" t="s">
        <v>22</v>
      </c>
      <c r="G99" t="s">
        <v>14</v>
      </c>
      <c r="H99">
        <v>22.39</v>
      </c>
      <c r="I99">
        <v>267.36</v>
      </c>
      <c r="J99" t="s">
        <v>27</v>
      </c>
      <c r="K99" t="str">
        <f>IF(D99&lt;=12,"0-12 Months",IF(D99&lt;=24,"13-24 Months",IF(D99&lt;=48,"25-48 Months","49+ Months")))</f>
        <v>0-12 Months</v>
      </c>
      <c r="L99">
        <f>IF(Table1346[[#This Row],[Churn]]="Yes",1,0)</f>
        <v>1</v>
      </c>
    </row>
    <row r="100" spans="1:12" x14ac:dyDescent="0.35">
      <c r="A100" t="s">
        <v>122</v>
      </c>
      <c r="B100" t="s">
        <v>17</v>
      </c>
      <c r="C100">
        <v>19</v>
      </c>
      <c r="D100">
        <v>22</v>
      </c>
      <c r="E100" t="s">
        <v>21</v>
      </c>
      <c r="F100" t="s">
        <v>29</v>
      </c>
      <c r="G100" t="s">
        <v>19</v>
      </c>
      <c r="H100">
        <v>80.33</v>
      </c>
      <c r="I100">
        <v>1867.29</v>
      </c>
      <c r="J100" t="s">
        <v>15</v>
      </c>
      <c r="K100" t="str">
        <f>IF(D100&lt;=12,"0-12 Months",IF(D100&lt;=24,"13-24 Months",IF(D100&lt;=48,"25-48 Months","49+ Months")))</f>
        <v>13-24 Months</v>
      </c>
      <c r="L100">
        <f>IF(Table1346[[#This Row],[Churn]]="Yes",1,0)</f>
        <v>0</v>
      </c>
    </row>
    <row r="101" spans="1:12" x14ac:dyDescent="0.35">
      <c r="A101" t="s">
        <v>123</v>
      </c>
      <c r="B101" t="s">
        <v>11</v>
      </c>
      <c r="C101">
        <v>28</v>
      </c>
      <c r="D101">
        <v>17</v>
      </c>
      <c r="E101" t="s">
        <v>21</v>
      </c>
      <c r="F101" t="s">
        <v>33</v>
      </c>
      <c r="G101" t="s">
        <v>19</v>
      </c>
      <c r="H101">
        <v>142.6</v>
      </c>
      <c r="I101">
        <v>2545.48</v>
      </c>
      <c r="J101" t="s">
        <v>15</v>
      </c>
      <c r="K101" t="str">
        <f>IF(D101&lt;=12,"0-12 Months",IF(D101&lt;=24,"13-24 Months",IF(D101&lt;=48,"25-48 Months","49+ Months")))</f>
        <v>13-24 Months</v>
      </c>
      <c r="L101">
        <f>IF(Table1346[[#This Row],[Churn]]="Yes",1,0)</f>
        <v>0</v>
      </c>
    </row>
    <row r="102" spans="1:12" x14ac:dyDescent="0.35">
      <c r="A102" t="s">
        <v>124</v>
      </c>
      <c r="B102" t="s">
        <v>11</v>
      </c>
      <c r="C102">
        <v>68</v>
      </c>
      <c r="D102">
        <v>10</v>
      </c>
      <c r="E102" t="s">
        <v>12</v>
      </c>
      <c r="F102" t="s">
        <v>29</v>
      </c>
      <c r="G102" t="s">
        <v>23</v>
      </c>
      <c r="H102">
        <v>62.1</v>
      </c>
      <c r="I102">
        <v>615.64</v>
      </c>
      <c r="J102" t="s">
        <v>27</v>
      </c>
      <c r="K102" t="str">
        <f>IF(D102&lt;=12,"0-12 Months",IF(D102&lt;=24,"13-24 Months",IF(D102&lt;=48,"25-48 Months","49+ Months")))</f>
        <v>0-12 Months</v>
      </c>
      <c r="L102">
        <f>IF(Table1346[[#This Row],[Churn]]="Yes",1,0)</f>
        <v>1</v>
      </c>
    </row>
    <row r="103" spans="1:12" x14ac:dyDescent="0.35">
      <c r="A103" t="s">
        <v>125</v>
      </c>
      <c r="B103" t="s">
        <v>17</v>
      </c>
      <c r="C103">
        <v>56</v>
      </c>
      <c r="D103">
        <v>65</v>
      </c>
      <c r="E103" t="s">
        <v>12</v>
      </c>
      <c r="F103" t="s">
        <v>22</v>
      </c>
      <c r="G103" t="s">
        <v>23</v>
      </c>
      <c r="H103">
        <v>105.95</v>
      </c>
      <c r="I103">
        <v>7362.85</v>
      </c>
      <c r="J103" t="s">
        <v>27</v>
      </c>
      <c r="K103" t="str">
        <f>IF(D103&lt;=12,"0-12 Months",IF(D103&lt;=24,"13-24 Months",IF(D103&lt;=48,"25-48 Months","49+ Months")))</f>
        <v>49+ Months</v>
      </c>
      <c r="L103">
        <f>IF(Table1346[[#This Row],[Churn]]="Yes",1,0)</f>
        <v>1</v>
      </c>
    </row>
    <row r="104" spans="1:12" x14ac:dyDescent="0.35">
      <c r="A104" t="s">
        <v>126</v>
      </c>
      <c r="B104" t="s">
        <v>17</v>
      </c>
      <c r="C104">
        <v>55</v>
      </c>
      <c r="D104">
        <v>22</v>
      </c>
      <c r="E104" t="s">
        <v>12</v>
      </c>
      <c r="F104" t="s">
        <v>22</v>
      </c>
      <c r="G104" t="s">
        <v>23</v>
      </c>
      <c r="H104">
        <v>104.79</v>
      </c>
      <c r="I104">
        <v>2127.5100000000002</v>
      </c>
      <c r="J104" t="s">
        <v>27</v>
      </c>
      <c r="K104" t="str">
        <f>IF(D104&lt;=12,"0-12 Months",IF(D104&lt;=24,"13-24 Months",IF(D104&lt;=48,"25-48 Months","49+ Months")))</f>
        <v>13-24 Months</v>
      </c>
      <c r="L104">
        <f>IF(Table1346[[#This Row],[Churn]]="Yes",1,0)</f>
        <v>1</v>
      </c>
    </row>
    <row r="105" spans="1:12" x14ac:dyDescent="0.35">
      <c r="A105" t="s">
        <v>127</v>
      </c>
      <c r="B105" t="s">
        <v>17</v>
      </c>
      <c r="C105">
        <v>51</v>
      </c>
      <c r="D105">
        <v>50</v>
      </c>
      <c r="E105" t="s">
        <v>12</v>
      </c>
      <c r="F105" t="s">
        <v>13</v>
      </c>
      <c r="G105" t="s">
        <v>23</v>
      </c>
      <c r="H105">
        <v>52.64</v>
      </c>
      <c r="I105">
        <v>2503.2199999999998</v>
      </c>
      <c r="J105" t="s">
        <v>15</v>
      </c>
      <c r="K105" t="str">
        <f>IF(D105&lt;=12,"0-12 Months",IF(D105&lt;=24,"13-24 Months",IF(D105&lt;=48,"25-48 Months","49+ Months")))</f>
        <v>49+ Months</v>
      </c>
      <c r="L105">
        <f>IF(Table1346[[#This Row],[Churn]]="Yes",1,0)</f>
        <v>0</v>
      </c>
    </row>
    <row r="106" spans="1:12" x14ac:dyDescent="0.35">
      <c r="A106" t="s">
        <v>128</v>
      </c>
      <c r="B106" t="s">
        <v>17</v>
      </c>
      <c r="C106">
        <v>55</v>
      </c>
      <c r="D106">
        <v>14</v>
      </c>
      <c r="E106" t="s">
        <v>21</v>
      </c>
      <c r="F106" t="s">
        <v>29</v>
      </c>
      <c r="G106" t="s">
        <v>23</v>
      </c>
      <c r="H106">
        <v>104.56</v>
      </c>
      <c r="I106">
        <v>1559.86</v>
      </c>
      <c r="J106" t="s">
        <v>15</v>
      </c>
      <c r="K106" t="str">
        <f>IF(D106&lt;=12,"0-12 Months",IF(D106&lt;=24,"13-24 Months",IF(D106&lt;=48,"25-48 Months","49+ Months")))</f>
        <v>13-24 Months</v>
      </c>
      <c r="L106">
        <f>IF(Table1346[[#This Row],[Churn]]="Yes",1,0)</f>
        <v>0</v>
      </c>
    </row>
    <row r="107" spans="1:12" x14ac:dyDescent="0.35">
      <c r="A107" t="s">
        <v>129</v>
      </c>
      <c r="B107" t="s">
        <v>17</v>
      </c>
      <c r="C107">
        <v>67</v>
      </c>
      <c r="D107">
        <v>64</v>
      </c>
      <c r="E107" t="s">
        <v>12</v>
      </c>
      <c r="F107" t="s">
        <v>22</v>
      </c>
      <c r="G107" t="s">
        <v>23</v>
      </c>
      <c r="H107">
        <v>47.6</v>
      </c>
      <c r="I107">
        <v>2972.06</v>
      </c>
      <c r="J107" t="s">
        <v>15</v>
      </c>
      <c r="K107" t="str">
        <f>IF(D107&lt;=12,"0-12 Months",IF(D107&lt;=24,"13-24 Months",IF(D107&lt;=48,"25-48 Months","49+ Months")))</f>
        <v>49+ Months</v>
      </c>
      <c r="L107">
        <f>IF(Table1346[[#This Row],[Churn]]="Yes",1,0)</f>
        <v>0</v>
      </c>
    </row>
    <row r="108" spans="1:12" x14ac:dyDescent="0.35">
      <c r="A108" t="s">
        <v>130</v>
      </c>
      <c r="B108" t="s">
        <v>17</v>
      </c>
      <c r="C108">
        <v>51</v>
      </c>
      <c r="D108">
        <v>47</v>
      </c>
      <c r="E108" t="s">
        <v>12</v>
      </c>
      <c r="F108" t="s">
        <v>13</v>
      </c>
      <c r="G108" t="s">
        <v>23</v>
      </c>
      <c r="H108">
        <v>35.86</v>
      </c>
      <c r="I108">
        <v>1847.62</v>
      </c>
      <c r="J108" t="s">
        <v>27</v>
      </c>
      <c r="K108" t="str">
        <f>IF(D108&lt;=12,"0-12 Months",IF(D108&lt;=24,"13-24 Months",IF(D108&lt;=48,"25-48 Months","49+ Months")))</f>
        <v>25-48 Months</v>
      </c>
      <c r="L108">
        <f>IF(Table1346[[#This Row],[Churn]]="Yes",1,0)</f>
        <v>1</v>
      </c>
    </row>
    <row r="109" spans="1:12" x14ac:dyDescent="0.35">
      <c r="A109" t="s">
        <v>131</v>
      </c>
      <c r="B109" t="s">
        <v>17</v>
      </c>
      <c r="C109">
        <v>35</v>
      </c>
      <c r="D109">
        <v>29</v>
      </c>
      <c r="E109" t="s">
        <v>12</v>
      </c>
      <c r="F109" t="s">
        <v>33</v>
      </c>
      <c r="G109" t="s">
        <v>14</v>
      </c>
      <c r="H109">
        <v>111.18</v>
      </c>
      <c r="I109">
        <v>3202.46</v>
      </c>
      <c r="J109" t="s">
        <v>15</v>
      </c>
      <c r="K109" t="str">
        <f>IF(D109&lt;=12,"0-12 Months",IF(D109&lt;=24,"13-24 Months",IF(D109&lt;=48,"25-48 Months","49+ Months")))</f>
        <v>25-48 Months</v>
      </c>
      <c r="L109">
        <f>IF(Table1346[[#This Row],[Churn]]="Yes",1,0)</f>
        <v>0</v>
      </c>
    </row>
    <row r="110" spans="1:12" x14ac:dyDescent="0.35">
      <c r="A110" t="s">
        <v>132</v>
      </c>
      <c r="B110" t="s">
        <v>17</v>
      </c>
      <c r="C110">
        <v>47</v>
      </c>
      <c r="D110">
        <v>36</v>
      </c>
      <c r="E110" t="s">
        <v>12</v>
      </c>
      <c r="F110" t="s">
        <v>13</v>
      </c>
      <c r="G110" t="s">
        <v>14</v>
      </c>
      <c r="H110">
        <v>34.75</v>
      </c>
      <c r="I110">
        <v>1324.04</v>
      </c>
      <c r="J110" t="s">
        <v>27</v>
      </c>
      <c r="K110" t="str">
        <f>IF(D110&lt;=12,"0-12 Months",IF(D110&lt;=24,"13-24 Months",IF(D110&lt;=48,"25-48 Months","49+ Months")))</f>
        <v>25-48 Months</v>
      </c>
      <c r="L110">
        <f>IF(Table1346[[#This Row],[Churn]]="Yes",1,0)</f>
        <v>1</v>
      </c>
    </row>
    <row r="111" spans="1:12" x14ac:dyDescent="0.35">
      <c r="A111" t="s">
        <v>133</v>
      </c>
      <c r="B111" t="s">
        <v>11</v>
      </c>
      <c r="C111">
        <v>32</v>
      </c>
      <c r="D111">
        <v>52</v>
      </c>
      <c r="E111" t="s">
        <v>12</v>
      </c>
      <c r="F111" t="s">
        <v>33</v>
      </c>
      <c r="G111" t="s">
        <v>14</v>
      </c>
      <c r="H111">
        <v>149.6</v>
      </c>
      <c r="I111">
        <v>7627.21</v>
      </c>
      <c r="J111" t="s">
        <v>15</v>
      </c>
      <c r="K111" t="str">
        <f>IF(D111&lt;=12,"0-12 Months",IF(D111&lt;=24,"13-24 Months",IF(D111&lt;=48,"25-48 Months","49+ Months")))</f>
        <v>49+ Months</v>
      </c>
      <c r="L111">
        <f>IF(Table1346[[#This Row],[Churn]]="Yes",1,0)</f>
        <v>0</v>
      </c>
    </row>
    <row r="112" spans="1:12" x14ac:dyDescent="0.35">
      <c r="A112" t="s">
        <v>134</v>
      </c>
      <c r="B112" t="s">
        <v>17</v>
      </c>
      <c r="C112">
        <v>44</v>
      </c>
      <c r="D112">
        <v>7</v>
      </c>
      <c r="E112" t="s">
        <v>12</v>
      </c>
      <c r="F112" t="s">
        <v>29</v>
      </c>
      <c r="G112" t="s">
        <v>14</v>
      </c>
      <c r="H112">
        <v>43.85</v>
      </c>
      <c r="I112">
        <v>302.33999999999997</v>
      </c>
      <c r="J112" t="s">
        <v>27</v>
      </c>
      <c r="K112" t="str">
        <f>IF(D112&lt;=12,"0-12 Months",IF(D112&lt;=24,"13-24 Months",IF(D112&lt;=48,"25-48 Months","49+ Months")))</f>
        <v>0-12 Months</v>
      </c>
      <c r="L112">
        <f>IF(Table1346[[#This Row],[Churn]]="Yes",1,0)</f>
        <v>1</v>
      </c>
    </row>
    <row r="113" spans="1:12" x14ac:dyDescent="0.35">
      <c r="A113" t="s">
        <v>135</v>
      </c>
      <c r="B113" t="s">
        <v>11</v>
      </c>
      <c r="C113">
        <v>68</v>
      </c>
      <c r="D113">
        <v>29</v>
      </c>
      <c r="E113" t="s">
        <v>12</v>
      </c>
      <c r="F113" t="s">
        <v>22</v>
      </c>
      <c r="G113" t="s">
        <v>23</v>
      </c>
      <c r="H113">
        <v>97.24</v>
      </c>
      <c r="I113">
        <v>2753.91</v>
      </c>
      <c r="J113" t="s">
        <v>15</v>
      </c>
      <c r="K113" t="str">
        <f>IF(D113&lt;=12,"0-12 Months",IF(D113&lt;=24,"13-24 Months",IF(D113&lt;=48,"25-48 Months","49+ Months")))</f>
        <v>25-48 Months</v>
      </c>
      <c r="L113">
        <f>IF(Table1346[[#This Row],[Churn]]="Yes",1,0)</f>
        <v>0</v>
      </c>
    </row>
    <row r="114" spans="1:12" x14ac:dyDescent="0.35">
      <c r="A114" t="s">
        <v>136</v>
      </c>
      <c r="B114" t="s">
        <v>17</v>
      </c>
      <c r="C114">
        <v>51</v>
      </c>
      <c r="D114">
        <v>11</v>
      </c>
      <c r="E114" t="s">
        <v>12</v>
      </c>
      <c r="F114" t="s">
        <v>22</v>
      </c>
      <c r="G114" t="s">
        <v>23</v>
      </c>
      <c r="H114">
        <v>73.48</v>
      </c>
      <c r="I114">
        <v>843.69</v>
      </c>
      <c r="J114" t="s">
        <v>15</v>
      </c>
      <c r="K114" t="str">
        <f>IF(D114&lt;=12,"0-12 Months",IF(D114&lt;=24,"13-24 Months",IF(D114&lt;=48,"25-48 Months","49+ Months")))</f>
        <v>0-12 Months</v>
      </c>
      <c r="L114">
        <f>IF(Table1346[[#This Row],[Churn]]="Yes",1,0)</f>
        <v>0</v>
      </c>
    </row>
    <row r="115" spans="1:12" x14ac:dyDescent="0.35">
      <c r="A115" t="s">
        <v>137</v>
      </c>
      <c r="B115" t="s">
        <v>17</v>
      </c>
      <c r="C115">
        <v>69</v>
      </c>
      <c r="D115">
        <v>33</v>
      </c>
      <c r="E115" t="s">
        <v>12</v>
      </c>
      <c r="F115" t="s">
        <v>22</v>
      </c>
      <c r="G115" t="s">
        <v>23</v>
      </c>
      <c r="H115">
        <v>36.43</v>
      </c>
      <c r="I115">
        <v>1213.6199999999999</v>
      </c>
      <c r="J115" t="s">
        <v>15</v>
      </c>
      <c r="K115" t="str">
        <f>IF(D115&lt;=12,"0-12 Months",IF(D115&lt;=24,"13-24 Months",IF(D115&lt;=48,"25-48 Months","49+ Months")))</f>
        <v>25-48 Months</v>
      </c>
      <c r="L115">
        <f>IF(Table1346[[#This Row],[Churn]]="Yes",1,0)</f>
        <v>0</v>
      </c>
    </row>
    <row r="116" spans="1:12" x14ac:dyDescent="0.35">
      <c r="A116" t="s">
        <v>138</v>
      </c>
      <c r="B116" t="s">
        <v>11</v>
      </c>
      <c r="C116">
        <v>55</v>
      </c>
      <c r="D116">
        <v>6</v>
      </c>
      <c r="E116" t="s">
        <v>21</v>
      </c>
      <c r="F116" t="s">
        <v>29</v>
      </c>
      <c r="G116" t="s">
        <v>23</v>
      </c>
      <c r="H116">
        <v>23.62</v>
      </c>
      <c r="I116">
        <v>154.30000000000001</v>
      </c>
      <c r="J116" t="s">
        <v>15</v>
      </c>
      <c r="K116" t="str">
        <f>IF(D116&lt;=12,"0-12 Months",IF(D116&lt;=24,"13-24 Months",IF(D116&lt;=48,"25-48 Months","49+ Months")))</f>
        <v>0-12 Months</v>
      </c>
      <c r="L116">
        <f>IF(Table1346[[#This Row],[Churn]]="Yes",1,0)</f>
        <v>0</v>
      </c>
    </row>
    <row r="117" spans="1:12" x14ac:dyDescent="0.35">
      <c r="A117" t="s">
        <v>139</v>
      </c>
      <c r="B117" t="s">
        <v>17</v>
      </c>
      <c r="C117">
        <v>50</v>
      </c>
      <c r="D117">
        <v>32</v>
      </c>
      <c r="E117" t="s">
        <v>12</v>
      </c>
      <c r="F117" t="s">
        <v>22</v>
      </c>
      <c r="G117" t="s">
        <v>23</v>
      </c>
      <c r="H117">
        <v>100.96</v>
      </c>
      <c r="I117">
        <v>3069.76</v>
      </c>
      <c r="J117" t="s">
        <v>15</v>
      </c>
      <c r="K117" t="str">
        <f>IF(D117&lt;=12,"0-12 Months",IF(D117&lt;=24,"13-24 Months",IF(D117&lt;=48,"25-48 Months","49+ Months")))</f>
        <v>25-48 Months</v>
      </c>
      <c r="L117">
        <f>IF(Table1346[[#This Row],[Churn]]="Yes",1,0)</f>
        <v>0</v>
      </c>
    </row>
    <row r="118" spans="1:12" x14ac:dyDescent="0.35">
      <c r="A118" t="s">
        <v>140</v>
      </c>
      <c r="B118" t="s">
        <v>11</v>
      </c>
      <c r="C118">
        <v>41</v>
      </c>
      <c r="D118">
        <v>51</v>
      </c>
      <c r="E118" t="s">
        <v>12</v>
      </c>
      <c r="F118" t="s">
        <v>13</v>
      </c>
      <c r="G118" t="s">
        <v>14</v>
      </c>
      <c r="H118">
        <v>124.88</v>
      </c>
      <c r="I118">
        <v>5860.09</v>
      </c>
      <c r="J118" t="s">
        <v>15</v>
      </c>
      <c r="K118" t="str">
        <f>IF(D118&lt;=12,"0-12 Months",IF(D118&lt;=24,"13-24 Months",IF(D118&lt;=48,"25-48 Months","49+ Months")))</f>
        <v>49+ Months</v>
      </c>
      <c r="L118">
        <f>IF(Table1346[[#This Row],[Churn]]="Yes",1,0)</f>
        <v>0</v>
      </c>
    </row>
    <row r="119" spans="1:12" x14ac:dyDescent="0.35">
      <c r="A119" t="s">
        <v>141</v>
      </c>
      <c r="B119" t="s">
        <v>17</v>
      </c>
      <c r="C119">
        <v>32</v>
      </c>
      <c r="D119">
        <v>58</v>
      </c>
      <c r="E119" t="s">
        <v>21</v>
      </c>
      <c r="F119" t="s">
        <v>22</v>
      </c>
      <c r="G119" t="s">
        <v>14</v>
      </c>
      <c r="H119">
        <v>129.46</v>
      </c>
      <c r="I119">
        <v>7348.39</v>
      </c>
      <c r="J119" t="s">
        <v>15</v>
      </c>
      <c r="K119" t="str">
        <f>IF(D119&lt;=12,"0-12 Months",IF(D119&lt;=24,"13-24 Months",IF(D119&lt;=48,"25-48 Months","49+ Months")))</f>
        <v>49+ Months</v>
      </c>
      <c r="L119">
        <f>IF(Table1346[[#This Row],[Churn]]="Yes",1,0)</f>
        <v>0</v>
      </c>
    </row>
    <row r="120" spans="1:12" x14ac:dyDescent="0.35">
      <c r="A120" t="s">
        <v>142</v>
      </c>
      <c r="B120" t="s">
        <v>17</v>
      </c>
      <c r="C120">
        <v>47</v>
      </c>
      <c r="D120">
        <v>26</v>
      </c>
      <c r="E120" t="s">
        <v>12</v>
      </c>
      <c r="F120" t="s">
        <v>29</v>
      </c>
      <c r="G120" t="s">
        <v>14</v>
      </c>
      <c r="H120">
        <v>82.75</v>
      </c>
      <c r="I120">
        <v>2201.7199999999998</v>
      </c>
      <c r="J120" t="s">
        <v>27</v>
      </c>
      <c r="K120" t="str">
        <f>IF(D120&lt;=12,"0-12 Months",IF(D120&lt;=24,"13-24 Months",IF(D120&lt;=48,"25-48 Months","49+ Months")))</f>
        <v>25-48 Months</v>
      </c>
      <c r="L120">
        <f>IF(Table1346[[#This Row],[Churn]]="Yes",1,0)</f>
        <v>1</v>
      </c>
    </row>
    <row r="121" spans="1:12" x14ac:dyDescent="0.35">
      <c r="A121" t="s">
        <v>143</v>
      </c>
      <c r="B121" t="s">
        <v>11</v>
      </c>
      <c r="C121">
        <v>59</v>
      </c>
      <c r="D121">
        <v>46</v>
      </c>
      <c r="E121" t="s">
        <v>18</v>
      </c>
      <c r="F121" t="s">
        <v>33</v>
      </c>
      <c r="G121" t="s">
        <v>23</v>
      </c>
      <c r="H121">
        <v>121.07</v>
      </c>
      <c r="I121">
        <v>5971.09</v>
      </c>
      <c r="J121" t="s">
        <v>15</v>
      </c>
      <c r="K121" t="str">
        <f>IF(D121&lt;=12,"0-12 Months",IF(D121&lt;=24,"13-24 Months",IF(D121&lt;=48,"25-48 Months","49+ Months")))</f>
        <v>25-48 Months</v>
      </c>
      <c r="L121">
        <f>IF(Table1346[[#This Row],[Churn]]="Yes",1,0)</f>
        <v>0</v>
      </c>
    </row>
    <row r="122" spans="1:12" x14ac:dyDescent="0.35">
      <c r="A122" t="s">
        <v>144</v>
      </c>
      <c r="B122" t="s">
        <v>17</v>
      </c>
      <c r="C122">
        <v>68</v>
      </c>
      <c r="D122">
        <v>29</v>
      </c>
      <c r="E122" t="s">
        <v>12</v>
      </c>
      <c r="F122" t="s">
        <v>29</v>
      </c>
      <c r="G122" t="s">
        <v>23</v>
      </c>
      <c r="H122">
        <v>107.47</v>
      </c>
      <c r="I122">
        <v>3020.76</v>
      </c>
      <c r="J122" t="s">
        <v>15</v>
      </c>
      <c r="K122" t="str">
        <f>IF(D122&lt;=12,"0-12 Months",IF(D122&lt;=24,"13-24 Months",IF(D122&lt;=48,"25-48 Months","49+ Months")))</f>
        <v>25-48 Months</v>
      </c>
      <c r="L122">
        <f>IF(Table1346[[#This Row],[Churn]]="Yes",1,0)</f>
        <v>0</v>
      </c>
    </row>
    <row r="123" spans="1:12" x14ac:dyDescent="0.35">
      <c r="A123" t="s">
        <v>145</v>
      </c>
      <c r="B123" t="s">
        <v>11</v>
      </c>
      <c r="C123">
        <v>34</v>
      </c>
      <c r="D123">
        <v>4</v>
      </c>
      <c r="E123" t="s">
        <v>12</v>
      </c>
      <c r="F123" t="s">
        <v>33</v>
      </c>
      <c r="G123" t="s">
        <v>14</v>
      </c>
      <c r="H123">
        <v>114.15</v>
      </c>
      <c r="I123">
        <v>470.64</v>
      </c>
      <c r="J123" t="s">
        <v>27</v>
      </c>
      <c r="K123" t="str">
        <f>IF(D123&lt;=12,"0-12 Months",IF(D123&lt;=24,"13-24 Months",IF(D123&lt;=48,"25-48 Months","49+ Months")))</f>
        <v>0-12 Months</v>
      </c>
      <c r="L123">
        <f>IF(Table1346[[#This Row],[Churn]]="Yes",1,0)</f>
        <v>1</v>
      </c>
    </row>
    <row r="124" spans="1:12" x14ac:dyDescent="0.35">
      <c r="A124" t="s">
        <v>146</v>
      </c>
      <c r="B124" t="s">
        <v>17</v>
      </c>
      <c r="C124">
        <v>22</v>
      </c>
      <c r="D124">
        <v>13</v>
      </c>
      <c r="E124" t="s">
        <v>21</v>
      </c>
      <c r="F124" t="s">
        <v>33</v>
      </c>
      <c r="G124" t="s">
        <v>19</v>
      </c>
      <c r="H124">
        <v>84.04</v>
      </c>
      <c r="I124">
        <v>1059.79</v>
      </c>
      <c r="J124" t="s">
        <v>15</v>
      </c>
      <c r="K124" t="str">
        <f>IF(D124&lt;=12,"0-12 Months",IF(D124&lt;=24,"13-24 Months",IF(D124&lt;=48,"25-48 Months","49+ Months")))</f>
        <v>13-24 Months</v>
      </c>
      <c r="L124">
        <f>IF(Table1346[[#This Row],[Churn]]="Yes",1,0)</f>
        <v>0</v>
      </c>
    </row>
    <row r="125" spans="1:12" x14ac:dyDescent="0.35">
      <c r="A125" t="s">
        <v>147</v>
      </c>
      <c r="B125" t="s">
        <v>11</v>
      </c>
      <c r="C125">
        <v>46</v>
      </c>
      <c r="D125">
        <v>39</v>
      </c>
      <c r="E125" t="s">
        <v>12</v>
      </c>
      <c r="F125" t="s">
        <v>33</v>
      </c>
      <c r="G125" t="s">
        <v>14</v>
      </c>
      <c r="H125">
        <v>102.34</v>
      </c>
      <c r="I125">
        <v>4084.83</v>
      </c>
      <c r="J125" t="s">
        <v>27</v>
      </c>
      <c r="K125" t="str">
        <f>IF(D125&lt;=12,"0-12 Months",IF(D125&lt;=24,"13-24 Months",IF(D125&lt;=48,"25-48 Months","49+ Months")))</f>
        <v>25-48 Months</v>
      </c>
      <c r="L125">
        <f>IF(Table1346[[#This Row],[Churn]]="Yes",1,0)</f>
        <v>1</v>
      </c>
    </row>
    <row r="126" spans="1:12" x14ac:dyDescent="0.35">
      <c r="A126" t="s">
        <v>148</v>
      </c>
      <c r="B126" t="s">
        <v>11</v>
      </c>
      <c r="C126">
        <v>21</v>
      </c>
      <c r="D126">
        <v>15</v>
      </c>
      <c r="E126" t="s">
        <v>21</v>
      </c>
      <c r="F126" t="s">
        <v>13</v>
      </c>
      <c r="G126" t="s">
        <v>19</v>
      </c>
      <c r="H126">
        <v>124.72</v>
      </c>
      <c r="I126">
        <v>2014.78</v>
      </c>
      <c r="J126" t="s">
        <v>15</v>
      </c>
      <c r="K126" t="str">
        <f>IF(D126&lt;=12,"0-12 Months",IF(D126&lt;=24,"13-24 Months",IF(D126&lt;=48,"25-48 Months","49+ Months")))</f>
        <v>13-24 Months</v>
      </c>
      <c r="L126">
        <f>IF(Table1346[[#This Row],[Churn]]="Yes",1,0)</f>
        <v>0</v>
      </c>
    </row>
    <row r="127" spans="1:12" x14ac:dyDescent="0.35">
      <c r="A127" t="s">
        <v>149</v>
      </c>
      <c r="B127" t="s">
        <v>17</v>
      </c>
      <c r="C127">
        <v>27</v>
      </c>
      <c r="D127">
        <v>29</v>
      </c>
      <c r="E127" t="s">
        <v>12</v>
      </c>
      <c r="F127" t="s">
        <v>13</v>
      </c>
      <c r="G127" t="s">
        <v>19</v>
      </c>
      <c r="H127">
        <v>71.72</v>
      </c>
      <c r="I127">
        <v>1968.13</v>
      </c>
      <c r="J127" t="s">
        <v>27</v>
      </c>
      <c r="K127" t="str">
        <f>IF(D127&lt;=12,"0-12 Months",IF(D127&lt;=24,"13-24 Months",IF(D127&lt;=48,"25-48 Months","49+ Months")))</f>
        <v>25-48 Months</v>
      </c>
      <c r="L127">
        <f>IF(Table1346[[#This Row],[Churn]]="Yes",1,0)</f>
        <v>1</v>
      </c>
    </row>
    <row r="128" spans="1:12" x14ac:dyDescent="0.35">
      <c r="A128" t="s">
        <v>150</v>
      </c>
      <c r="B128" t="s">
        <v>17</v>
      </c>
      <c r="C128">
        <v>34</v>
      </c>
      <c r="D128">
        <v>29</v>
      </c>
      <c r="E128" t="s">
        <v>18</v>
      </c>
      <c r="F128" t="s">
        <v>33</v>
      </c>
      <c r="G128" t="s">
        <v>14</v>
      </c>
      <c r="H128">
        <v>124.78</v>
      </c>
      <c r="I128">
        <v>3549.32</v>
      </c>
      <c r="J128" t="s">
        <v>27</v>
      </c>
      <c r="K128" t="str">
        <f>IF(D128&lt;=12,"0-12 Months",IF(D128&lt;=24,"13-24 Months",IF(D128&lt;=48,"25-48 Months","49+ Months")))</f>
        <v>25-48 Months</v>
      </c>
      <c r="L128">
        <f>IF(Table1346[[#This Row],[Churn]]="Yes",1,0)</f>
        <v>1</v>
      </c>
    </row>
    <row r="129" spans="1:12" x14ac:dyDescent="0.35">
      <c r="A129" t="s">
        <v>151</v>
      </c>
      <c r="B129" t="s">
        <v>11</v>
      </c>
      <c r="C129">
        <v>27</v>
      </c>
      <c r="D129">
        <v>32</v>
      </c>
      <c r="E129" t="s">
        <v>12</v>
      </c>
      <c r="F129" t="s">
        <v>29</v>
      </c>
      <c r="G129" t="s">
        <v>19</v>
      </c>
      <c r="H129">
        <v>96.96</v>
      </c>
      <c r="I129">
        <v>3408.81</v>
      </c>
      <c r="J129" t="s">
        <v>27</v>
      </c>
      <c r="K129" t="str">
        <f>IF(D129&lt;=12,"0-12 Months",IF(D129&lt;=24,"13-24 Months",IF(D129&lt;=48,"25-48 Months","49+ Months")))</f>
        <v>25-48 Months</v>
      </c>
      <c r="L129">
        <f>IF(Table1346[[#This Row],[Churn]]="Yes",1,0)</f>
        <v>1</v>
      </c>
    </row>
    <row r="130" spans="1:12" x14ac:dyDescent="0.35">
      <c r="A130" t="s">
        <v>152</v>
      </c>
      <c r="B130" t="s">
        <v>17</v>
      </c>
      <c r="C130">
        <v>34</v>
      </c>
      <c r="D130">
        <v>2</v>
      </c>
      <c r="E130" t="s">
        <v>12</v>
      </c>
      <c r="F130" t="s">
        <v>13</v>
      </c>
      <c r="G130" t="s">
        <v>14</v>
      </c>
      <c r="H130">
        <v>41.57</v>
      </c>
      <c r="I130">
        <v>89.27</v>
      </c>
      <c r="J130" t="s">
        <v>15</v>
      </c>
      <c r="K130" t="str">
        <f>IF(D130&lt;=12,"0-12 Months",IF(D130&lt;=24,"13-24 Months",IF(D130&lt;=48,"25-48 Months","49+ Months")))</f>
        <v>0-12 Months</v>
      </c>
      <c r="L130">
        <f>IF(Table1346[[#This Row],[Churn]]="Yes",1,0)</f>
        <v>0</v>
      </c>
    </row>
    <row r="131" spans="1:12" x14ac:dyDescent="0.35">
      <c r="A131" t="s">
        <v>153</v>
      </c>
      <c r="B131" t="s">
        <v>17</v>
      </c>
      <c r="C131">
        <v>37</v>
      </c>
      <c r="D131">
        <v>47</v>
      </c>
      <c r="E131" t="s">
        <v>21</v>
      </c>
      <c r="F131" t="s">
        <v>22</v>
      </c>
      <c r="G131" t="s">
        <v>14</v>
      </c>
      <c r="H131">
        <v>23.21</v>
      </c>
      <c r="I131">
        <v>1104.97</v>
      </c>
      <c r="J131" t="s">
        <v>15</v>
      </c>
      <c r="K131" t="str">
        <f>IF(D131&lt;=12,"0-12 Months",IF(D131&lt;=24,"13-24 Months",IF(D131&lt;=48,"25-48 Months","49+ Months")))</f>
        <v>25-48 Months</v>
      </c>
      <c r="L131">
        <f>IF(Table1346[[#This Row],[Churn]]="Yes",1,0)</f>
        <v>0</v>
      </c>
    </row>
    <row r="132" spans="1:12" x14ac:dyDescent="0.35">
      <c r="A132" t="s">
        <v>154</v>
      </c>
      <c r="B132" t="s">
        <v>17</v>
      </c>
      <c r="C132">
        <v>41</v>
      </c>
      <c r="D132">
        <v>22</v>
      </c>
      <c r="E132" t="s">
        <v>12</v>
      </c>
      <c r="F132" t="s">
        <v>22</v>
      </c>
      <c r="G132" t="s">
        <v>14</v>
      </c>
      <c r="H132">
        <v>67.16</v>
      </c>
      <c r="I132">
        <v>1482.43</v>
      </c>
      <c r="J132" t="s">
        <v>15</v>
      </c>
      <c r="K132" t="str">
        <f>IF(D132&lt;=12,"0-12 Months",IF(D132&lt;=24,"13-24 Months",IF(D132&lt;=48,"25-48 Months","49+ Months")))</f>
        <v>13-24 Months</v>
      </c>
      <c r="L132">
        <f>IF(Table1346[[#This Row],[Churn]]="Yes",1,0)</f>
        <v>0</v>
      </c>
    </row>
    <row r="133" spans="1:12" x14ac:dyDescent="0.35">
      <c r="A133" t="s">
        <v>155</v>
      </c>
      <c r="B133" t="s">
        <v>11</v>
      </c>
      <c r="C133">
        <v>22</v>
      </c>
      <c r="D133">
        <v>27</v>
      </c>
      <c r="E133" t="s">
        <v>12</v>
      </c>
      <c r="F133" t="s">
        <v>29</v>
      </c>
      <c r="G133" t="s">
        <v>19</v>
      </c>
      <c r="H133">
        <v>91.07</v>
      </c>
      <c r="I133">
        <v>2352.96</v>
      </c>
      <c r="J133" t="s">
        <v>27</v>
      </c>
      <c r="K133" t="str">
        <f>IF(D133&lt;=12,"0-12 Months",IF(D133&lt;=24,"13-24 Months",IF(D133&lt;=48,"25-48 Months","49+ Months")))</f>
        <v>25-48 Months</v>
      </c>
      <c r="L133">
        <f>IF(Table1346[[#This Row],[Churn]]="Yes",1,0)</f>
        <v>1</v>
      </c>
    </row>
    <row r="134" spans="1:12" x14ac:dyDescent="0.35">
      <c r="A134" t="s">
        <v>156</v>
      </c>
      <c r="B134" t="s">
        <v>11</v>
      </c>
      <c r="C134">
        <v>51</v>
      </c>
      <c r="D134">
        <v>67</v>
      </c>
      <c r="E134" t="s">
        <v>21</v>
      </c>
      <c r="F134" t="s">
        <v>22</v>
      </c>
      <c r="G134" t="s">
        <v>23</v>
      </c>
      <c r="H134">
        <v>129.18</v>
      </c>
      <c r="I134">
        <v>8684.85</v>
      </c>
      <c r="J134" t="s">
        <v>27</v>
      </c>
      <c r="K134" t="str">
        <f>IF(D134&lt;=12,"0-12 Months",IF(D134&lt;=24,"13-24 Months",IF(D134&lt;=48,"25-48 Months","49+ Months")))</f>
        <v>49+ Months</v>
      </c>
      <c r="L134">
        <f>IF(Table1346[[#This Row],[Churn]]="Yes",1,0)</f>
        <v>1</v>
      </c>
    </row>
    <row r="135" spans="1:12" x14ac:dyDescent="0.35">
      <c r="A135" t="s">
        <v>157</v>
      </c>
      <c r="B135" t="s">
        <v>11</v>
      </c>
      <c r="C135">
        <v>23</v>
      </c>
      <c r="D135">
        <v>56</v>
      </c>
      <c r="E135" t="s">
        <v>18</v>
      </c>
      <c r="F135" t="s">
        <v>33</v>
      </c>
      <c r="G135" t="s">
        <v>19</v>
      </c>
      <c r="H135">
        <v>36.57</v>
      </c>
      <c r="I135">
        <v>2190.5300000000002</v>
      </c>
      <c r="J135" t="s">
        <v>15</v>
      </c>
      <c r="K135" t="str">
        <f>IF(D135&lt;=12,"0-12 Months",IF(D135&lt;=24,"13-24 Months",IF(D135&lt;=48,"25-48 Months","49+ Months")))</f>
        <v>49+ Months</v>
      </c>
      <c r="L135">
        <f>IF(Table1346[[#This Row],[Churn]]="Yes",1,0)</f>
        <v>0</v>
      </c>
    </row>
    <row r="136" spans="1:12" x14ac:dyDescent="0.35">
      <c r="A136" t="s">
        <v>158</v>
      </c>
      <c r="B136" t="s">
        <v>11</v>
      </c>
      <c r="C136">
        <v>70</v>
      </c>
      <c r="D136">
        <v>21</v>
      </c>
      <c r="E136" t="s">
        <v>12</v>
      </c>
      <c r="F136" t="s">
        <v>29</v>
      </c>
      <c r="G136" t="s">
        <v>23</v>
      </c>
      <c r="H136">
        <v>124.03</v>
      </c>
      <c r="I136">
        <v>2701.09</v>
      </c>
      <c r="J136" t="s">
        <v>15</v>
      </c>
      <c r="K136" t="str">
        <f>IF(D136&lt;=12,"0-12 Months",IF(D136&lt;=24,"13-24 Months",IF(D136&lt;=48,"25-48 Months","49+ Months")))</f>
        <v>13-24 Months</v>
      </c>
      <c r="L136">
        <f>IF(Table1346[[#This Row],[Churn]]="Yes",1,0)</f>
        <v>0</v>
      </c>
    </row>
    <row r="137" spans="1:12" x14ac:dyDescent="0.35">
      <c r="A137" t="s">
        <v>159</v>
      </c>
      <c r="B137" t="s">
        <v>11</v>
      </c>
      <c r="C137">
        <v>19</v>
      </c>
      <c r="D137">
        <v>47</v>
      </c>
      <c r="E137" t="s">
        <v>21</v>
      </c>
      <c r="F137" t="s">
        <v>33</v>
      </c>
      <c r="G137" t="s">
        <v>19</v>
      </c>
      <c r="H137">
        <v>132.19</v>
      </c>
      <c r="I137">
        <v>5952.04</v>
      </c>
      <c r="J137" t="s">
        <v>15</v>
      </c>
      <c r="K137" t="str">
        <f>IF(D137&lt;=12,"0-12 Months",IF(D137&lt;=24,"13-24 Months",IF(D137&lt;=48,"25-48 Months","49+ Months")))</f>
        <v>25-48 Months</v>
      </c>
      <c r="L137">
        <f>IF(Table1346[[#This Row],[Churn]]="Yes",1,0)</f>
        <v>0</v>
      </c>
    </row>
    <row r="138" spans="1:12" x14ac:dyDescent="0.35">
      <c r="A138" t="s">
        <v>160</v>
      </c>
      <c r="B138" t="s">
        <v>11</v>
      </c>
      <c r="C138">
        <v>30</v>
      </c>
      <c r="D138">
        <v>59</v>
      </c>
      <c r="E138" t="s">
        <v>18</v>
      </c>
      <c r="F138" t="s">
        <v>29</v>
      </c>
      <c r="G138" t="s">
        <v>14</v>
      </c>
      <c r="H138">
        <v>39.590000000000003</v>
      </c>
      <c r="I138">
        <v>2196.35</v>
      </c>
      <c r="J138" t="s">
        <v>27</v>
      </c>
      <c r="K138" t="str">
        <f>IF(D138&lt;=12,"0-12 Months",IF(D138&lt;=24,"13-24 Months",IF(D138&lt;=48,"25-48 Months","49+ Months")))</f>
        <v>49+ Months</v>
      </c>
      <c r="L138">
        <f>IF(Table1346[[#This Row],[Churn]]="Yes",1,0)</f>
        <v>1</v>
      </c>
    </row>
    <row r="139" spans="1:12" x14ac:dyDescent="0.35">
      <c r="A139" t="s">
        <v>161</v>
      </c>
      <c r="B139" t="s">
        <v>11</v>
      </c>
      <c r="C139">
        <v>60</v>
      </c>
      <c r="D139">
        <v>6</v>
      </c>
      <c r="E139" t="s">
        <v>18</v>
      </c>
      <c r="F139" t="s">
        <v>13</v>
      </c>
      <c r="G139" t="s">
        <v>23</v>
      </c>
      <c r="H139">
        <v>130.71</v>
      </c>
      <c r="I139">
        <v>747.43</v>
      </c>
      <c r="J139" t="s">
        <v>15</v>
      </c>
      <c r="K139" t="str">
        <f>IF(D139&lt;=12,"0-12 Months",IF(D139&lt;=24,"13-24 Months",IF(D139&lt;=48,"25-48 Months","49+ Months")))</f>
        <v>0-12 Months</v>
      </c>
      <c r="L139">
        <f>IF(Table1346[[#This Row],[Churn]]="Yes",1,0)</f>
        <v>0</v>
      </c>
    </row>
    <row r="140" spans="1:12" x14ac:dyDescent="0.35">
      <c r="A140" t="s">
        <v>162</v>
      </c>
      <c r="B140" t="s">
        <v>11</v>
      </c>
      <c r="C140">
        <v>60</v>
      </c>
      <c r="D140">
        <v>19</v>
      </c>
      <c r="E140" t="s">
        <v>12</v>
      </c>
      <c r="F140" t="s">
        <v>29</v>
      </c>
      <c r="G140" t="s">
        <v>23</v>
      </c>
      <c r="H140">
        <v>148.88999999999999</v>
      </c>
      <c r="I140">
        <v>2642.07</v>
      </c>
      <c r="J140" t="s">
        <v>15</v>
      </c>
      <c r="K140" t="str">
        <f>IF(D140&lt;=12,"0-12 Months",IF(D140&lt;=24,"13-24 Months",IF(D140&lt;=48,"25-48 Months","49+ Months")))</f>
        <v>13-24 Months</v>
      </c>
      <c r="L140">
        <f>IF(Table1346[[#This Row],[Churn]]="Yes",1,0)</f>
        <v>0</v>
      </c>
    </row>
    <row r="141" spans="1:12" x14ac:dyDescent="0.35">
      <c r="A141" t="s">
        <v>163</v>
      </c>
      <c r="B141" t="s">
        <v>11</v>
      </c>
      <c r="C141">
        <v>65</v>
      </c>
      <c r="D141">
        <v>57</v>
      </c>
      <c r="E141" t="s">
        <v>21</v>
      </c>
      <c r="F141" t="s">
        <v>29</v>
      </c>
      <c r="G141" t="s">
        <v>23</v>
      </c>
      <c r="H141">
        <v>114.49</v>
      </c>
      <c r="I141">
        <v>5998.17</v>
      </c>
      <c r="J141" t="s">
        <v>27</v>
      </c>
      <c r="K141" t="str">
        <f>IF(D141&lt;=12,"0-12 Months",IF(D141&lt;=24,"13-24 Months",IF(D141&lt;=48,"25-48 Months","49+ Months")))</f>
        <v>49+ Months</v>
      </c>
      <c r="L141">
        <f>IF(Table1346[[#This Row],[Churn]]="Yes",1,0)</f>
        <v>1</v>
      </c>
    </row>
    <row r="142" spans="1:12" x14ac:dyDescent="0.35">
      <c r="A142" t="s">
        <v>164</v>
      </c>
      <c r="B142" t="s">
        <v>17</v>
      </c>
      <c r="C142">
        <v>28</v>
      </c>
      <c r="D142">
        <v>69</v>
      </c>
      <c r="E142" t="s">
        <v>12</v>
      </c>
      <c r="F142" t="s">
        <v>33</v>
      </c>
      <c r="G142" t="s">
        <v>19</v>
      </c>
      <c r="H142">
        <v>122.02</v>
      </c>
      <c r="I142">
        <v>8283.2199999999993</v>
      </c>
      <c r="J142" t="s">
        <v>27</v>
      </c>
      <c r="K142" t="str">
        <f>IF(D142&lt;=12,"0-12 Months",IF(D142&lt;=24,"13-24 Months",IF(D142&lt;=48,"25-48 Months","49+ Months")))</f>
        <v>49+ Months</v>
      </c>
      <c r="L142">
        <f>IF(Table1346[[#This Row],[Churn]]="Yes",1,0)</f>
        <v>1</v>
      </c>
    </row>
    <row r="143" spans="1:12" x14ac:dyDescent="0.35">
      <c r="A143" t="s">
        <v>165</v>
      </c>
      <c r="B143" t="s">
        <v>11</v>
      </c>
      <c r="C143">
        <v>68</v>
      </c>
      <c r="D143">
        <v>3</v>
      </c>
      <c r="E143" t="s">
        <v>18</v>
      </c>
      <c r="F143" t="s">
        <v>13</v>
      </c>
      <c r="G143" t="s">
        <v>23</v>
      </c>
      <c r="H143">
        <v>149.27000000000001</v>
      </c>
      <c r="I143">
        <v>413.18</v>
      </c>
      <c r="J143" t="s">
        <v>15</v>
      </c>
      <c r="K143" t="str">
        <f>IF(D143&lt;=12,"0-12 Months",IF(D143&lt;=24,"13-24 Months",IF(D143&lt;=48,"25-48 Months","49+ Months")))</f>
        <v>0-12 Months</v>
      </c>
      <c r="L143">
        <f>IF(Table1346[[#This Row],[Churn]]="Yes",1,0)</f>
        <v>0</v>
      </c>
    </row>
    <row r="144" spans="1:12" x14ac:dyDescent="0.35">
      <c r="A144" t="s">
        <v>166</v>
      </c>
      <c r="B144" t="s">
        <v>17</v>
      </c>
      <c r="C144">
        <v>64</v>
      </c>
      <c r="D144">
        <v>1</v>
      </c>
      <c r="E144" t="s">
        <v>12</v>
      </c>
      <c r="F144" t="s">
        <v>13</v>
      </c>
      <c r="G144" t="s">
        <v>23</v>
      </c>
      <c r="H144">
        <v>98.71</v>
      </c>
      <c r="I144">
        <v>92.23</v>
      </c>
      <c r="J144" t="s">
        <v>15</v>
      </c>
      <c r="K144" t="str">
        <f>IF(D144&lt;=12,"0-12 Months",IF(D144&lt;=24,"13-24 Months",IF(D144&lt;=48,"25-48 Months","49+ Months")))</f>
        <v>0-12 Months</v>
      </c>
      <c r="L144">
        <f>IF(Table1346[[#This Row],[Churn]]="Yes",1,0)</f>
        <v>0</v>
      </c>
    </row>
    <row r="145" spans="1:12" x14ac:dyDescent="0.35">
      <c r="A145" t="s">
        <v>167</v>
      </c>
      <c r="B145" t="s">
        <v>17</v>
      </c>
      <c r="C145">
        <v>40</v>
      </c>
      <c r="D145">
        <v>58</v>
      </c>
      <c r="E145" t="s">
        <v>12</v>
      </c>
      <c r="F145" t="s">
        <v>29</v>
      </c>
      <c r="G145" t="s">
        <v>14</v>
      </c>
      <c r="H145">
        <v>60.03</v>
      </c>
      <c r="I145">
        <v>3514.69</v>
      </c>
      <c r="J145" t="s">
        <v>15</v>
      </c>
      <c r="K145" t="str">
        <f>IF(D145&lt;=12,"0-12 Months",IF(D145&lt;=24,"13-24 Months",IF(D145&lt;=48,"25-48 Months","49+ Months")))</f>
        <v>49+ Months</v>
      </c>
      <c r="L145">
        <f>IF(Table1346[[#This Row],[Churn]]="Yes",1,0)</f>
        <v>0</v>
      </c>
    </row>
    <row r="146" spans="1:12" x14ac:dyDescent="0.35">
      <c r="A146" t="s">
        <v>168</v>
      </c>
      <c r="B146" t="s">
        <v>17</v>
      </c>
      <c r="C146">
        <v>33</v>
      </c>
      <c r="D146">
        <v>38</v>
      </c>
      <c r="E146" t="s">
        <v>21</v>
      </c>
      <c r="F146" t="s">
        <v>13</v>
      </c>
      <c r="G146" t="s">
        <v>14</v>
      </c>
      <c r="H146">
        <v>128.88</v>
      </c>
      <c r="I146">
        <v>4568.92</v>
      </c>
      <c r="J146" t="s">
        <v>15</v>
      </c>
      <c r="K146" t="str">
        <f>IF(D146&lt;=12,"0-12 Months",IF(D146&lt;=24,"13-24 Months",IF(D146&lt;=48,"25-48 Months","49+ Months")))</f>
        <v>25-48 Months</v>
      </c>
      <c r="L146">
        <f>IF(Table1346[[#This Row],[Churn]]="Yes",1,0)</f>
        <v>0</v>
      </c>
    </row>
    <row r="147" spans="1:12" x14ac:dyDescent="0.35">
      <c r="A147" t="s">
        <v>169</v>
      </c>
      <c r="B147" t="s">
        <v>11</v>
      </c>
      <c r="C147">
        <v>48</v>
      </c>
      <c r="D147">
        <v>15</v>
      </c>
      <c r="E147" t="s">
        <v>12</v>
      </c>
      <c r="F147" t="s">
        <v>13</v>
      </c>
      <c r="G147" t="s">
        <v>14</v>
      </c>
      <c r="H147">
        <v>99.88</v>
      </c>
      <c r="I147">
        <v>1367.52</v>
      </c>
      <c r="J147" t="s">
        <v>15</v>
      </c>
      <c r="K147" t="str">
        <f>IF(D147&lt;=12,"0-12 Months",IF(D147&lt;=24,"13-24 Months",IF(D147&lt;=48,"25-48 Months","49+ Months")))</f>
        <v>13-24 Months</v>
      </c>
      <c r="L147">
        <f>IF(Table1346[[#This Row],[Churn]]="Yes",1,0)</f>
        <v>0</v>
      </c>
    </row>
    <row r="148" spans="1:12" x14ac:dyDescent="0.35">
      <c r="A148" t="s">
        <v>170</v>
      </c>
      <c r="B148" t="s">
        <v>11</v>
      </c>
      <c r="C148">
        <v>28</v>
      </c>
      <c r="D148">
        <v>34</v>
      </c>
      <c r="E148" t="s">
        <v>18</v>
      </c>
      <c r="F148" t="s">
        <v>13</v>
      </c>
      <c r="G148" t="s">
        <v>19</v>
      </c>
      <c r="H148">
        <v>95.56</v>
      </c>
      <c r="I148">
        <v>3130.38</v>
      </c>
      <c r="J148" t="s">
        <v>15</v>
      </c>
      <c r="K148" t="str">
        <f>IF(D148&lt;=12,"0-12 Months",IF(D148&lt;=24,"13-24 Months",IF(D148&lt;=48,"25-48 Months","49+ Months")))</f>
        <v>25-48 Months</v>
      </c>
      <c r="L148">
        <f>IF(Table1346[[#This Row],[Churn]]="Yes",1,0)</f>
        <v>0</v>
      </c>
    </row>
    <row r="149" spans="1:12" x14ac:dyDescent="0.35">
      <c r="A149" t="s">
        <v>171</v>
      </c>
      <c r="B149" t="s">
        <v>11</v>
      </c>
      <c r="C149">
        <v>33</v>
      </c>
      <c r="D149">
        <v>61</v>
      </c>
      <c r="E149" t="s">
        <v>18</v>
      </c>
      <c r="F149" t="s">
        <v>29</v>
      </c>
      <c r="G149" t="s">
        <v>14</v>
      </c>
      <c r="H149">
        <v>52.97</v>
      </c>
      <c r="I149">
        <v>3050.43</v>
      </c>
      <c r="J149" t="s">
        <v>15</v>
      </c>
      <c r="K149" t="str">
        <f>IF(D149&lt;=12,"0-12 Months",IF(D149&lt;=24,"13-24 Months",IF(D149&lt;=48,"25-48 Months","49+ Months")))</f>
        <v>49+ Months</v>
      </c>
      <c r="L149">
        <f>IF(Table1346[[#This Row],[Churn]]="Yes",1,0)</f>
        <v>0</v>
      </c>
    </row>
    <row r="150" spans="1:12" x14ac:dyDescent="0.35">
      <c r="A150" t="s">
        <v>172</v>
      </c>
      <c r="B150" t="s">
        <v>11</v>
      </c>
      <c r="C150">
        <v>25</v>
      </c>
      <c r="D150">
        <v>35</v>
      </c>
      <c r="E150" t="s">
        <v>21</v>
      </c>
      <c r="F150" t="s">
        <v>33</v>
      </c>
      <c r="G150" t="s">
        <v>19</v>
      </c>
      <c r="H150">
        <v>118.32</v>
      </c>
      <c r="I150">
        <v>4153.88</v>
      </c>
      <c r="J150" t="s">
        <v>15</v>
      </c>
      <c r="K150" t="str">
        <f>IF(D150&lt;=12,"0-12 Months",IF(D150&lt;=24,"13-24 Months",IF(D150&lt;=48,"25-48 Months","49+ Months")))</f>
        <v>25-48 Months</v>
      </c>
      <c r="L150">
        <f>IF(Table1346[[#This Row],[Churn]]="Yes",1,0)</f>
        <v>0</v>
      </c>
    </row>
    <row r="151" spans="1:12" x14ac:dyDescent="0.35">
      <c r="A151" t="s">
        <v>173</v>
      </c>
      <c r="B151" t="s">
        <v>17</v>
      </c>
      <c r="C151">
        <v>21</v>
      </c>
      <c r="D151">
        <v>64</v>
      </c>
      <c r="E151" t="s">
        <v>12</v>
      </c>
      <c r="F151" t="s">
        <v>13</v>
      </c>
      <c r="G151" t="s">
        <v>19</v>
      </c>
      <c r="H151">
        <v>30.62</v>
      </c>
      <c r="I151">
        <v>1803.83</v>
      </c>
      <c r="J151" t="s">
        <v>27</v>
      </c>
      <c r="K151" t="str">
        <f>IF(D151&lt;=12,"0-12 Months",IF(D151&lt;=24,"13-24 Months",IF(D151&lt;=48,"25-48 Months","49+ Months")))</f>
        <v>49+ Months</v>
      </c>
      <c r="L151">
        <f>IF(Table1346[[#This Row],[Churn]]="Yes",1,0)</f>
        <v>1</v>
      </c>
    </row>
    <row r="152" spans="1:12" x14ac:dyDescent="0.35">
      <c r="A152" t="s">
        <v>174</v>
      </c>
      <c r="B152" t="s">
        <v>11</v>
      </c>
      <c r="C152">
        <v>57</v>
      </c>
      <c r="D152">
        <v>25</v>
      </c>
      <c r="E152" t="s">
        <v>21</v>
      </c>
      <c r="F152" t="s">
        <v>13</v>
      </c>
      <c r="G152" t="s">
        <v>23</v>
      </c>
      <c r="H152">
        <v>140.16</v>
      </c>
      <c r="I152">
        <v>3680.44</v>
      </c>
      <c r="J152" t="s">
        <v>15</v>
      </c>
      <c r="K152" t="str">
        <f>IF(D152&lt;=12,"0-12 Months",IF(D152&lt;=24,"13-24 Months",IF(D152&lt;=48,"25-48 Months","49+ Months")))</f>
        <v>25-48 Months</v>
      </c>
      <c r="L152">
        <f>IF(Table1346[[#This Row],[Churn]]="Yes",1,0)</f>
        <v>0</v>
      </c>
    </row>
    <row r="153" spans="1:12" x14ac:dyDescent="0.35">
      <c r="A153" t="s">
        <v>175</v>
      </c>
      <c r="B153" t="s">
        <v>11</v>
      </c>
      <c r="C153">
        <v>21</v>
      </c>
      <c r="D153">
        <v>24</v>
      </c>
      <c r="E153" t="s">
        <v>12</v>
      </c>
      <c r="F153" t="s">
        <v>29</v>
      </c>
      <c r="G153" t="s">
        <v>19</v>
      </c>
      <c r="H153">
        <v>62.36</v>
      </c>
      <c r="I153">
        <v>1618.24</v>
      </c>
      <c r="J153" t="s">
        <v>27</v>
      </c>
      <c r="K153" t="str">
        <f>IF(D153&lt;=12,"0-12 Months",IF(D153&lt;=24,"13-24 Months",IF(D153&lt;=48,"25-48 Months","49+ Months")))</f>
        <v>13-24 Months</v>
      </c>
      <c r="L153">
        <f>IF(Table1346[[#This Row],[Churn]]="Yes",1,0)</f>
        <v>1</v>
      </c>
    </row>
    <row r="154" spans="1:12" x14ac:dyDescent="0.35">
      <c r="A154" t="s">
        <v>176</v>
      </c>
      <c r="B154" t="s">
        <v>11</v>
      </c>
      <c r="C154">
        <v>42</v>
      </c>
      <c r="D154">
        <v>12</v>
      </c>
      <c r="E154" t="s">
        <v>12</v>
      </c>
      <c r="F154" t="s">
        <v>22</v>
      </c>
      <c r="G154" t="s">
        <v>14</v>
      </c>
      <c r="H154">
        <v>36.61</v>
      </c>
      <c r="I154">
        <v>460.71</v>
      </c>
      <c r="J154" t="s">
        <v>27</v>
      </c>
      <c r="K154" t="str">
        <f>IF(D154&lt;=12,"0-12 Months",IF(D154&lt;=24,"13-24 Months",IF(D154&lt;=48,"25-48 Months","49+ Months")))</f>
        <v>0-12 Months</v>
      </c>
      <c r="L154">
        <f>IF(Table1346[[#This Row],[Churn]]="Yes",1,0)</f>
        <v>1</v>
      </c>
    </row>
    <row r="155" spans="1:12" x14ac:dyDescent="0.35">
      <c r="A155" t="s">
        <v>177</v>
      </c>
      <c r="B155" t="s">
        <v>11</v>
      </c>
      <c r="C155">
        <v>20</v>
      </c>
      <c r="D155">
        <v>18</v>
      </c>
      <c r="E155" t="s">
        <v>18</v>
      </c>
      <c r="F155" t="s">
        <v>13</v>
      </c>
      <c r="G155" t="s">
        <v>19</v>
      </c>
      <c r="H155">
        <v>77.510000000000005</v>
      </c>
      <c r="I155">
        <v>1404.34</v>
      </c>
      <c r="J155" t="s">
        <v>15</v>
      </c>
      <c r="K155" t="str">
        <f>IF(D155&lt;=12,"0-12 Months",IF(D155&lt;=24,"13-24 Months",IF(D155&lt;=48,"25-48 Months","49+ Months")))</f>
        <v>13-24 Months</v>
      </c>
      <c r="L155">
        <f>IF(Table1346[[#This Row],[Churn]]="Yes",1,0)</f>
        <v>0</v>
      </c>
    </row>
    <row r="156" spans="1:12" x14ac:dyDescent="0.35">
      <c r="A156" t="s">
        <v>178</v>
      </c>
      <c r="B156" t="s">
        <v>11</v>
      </c>
      <c r="C156">
        <v>49</v>
      </c>
      <c r="D156">
        <v>15</v>
      </c>
      <c r="E156" t="s">
        <v>12</v>
      </c>
      <c r="F156" t="s">
        <v>13</v>
      </c>
      <c r="G156" t="s">
        <v>14</v>
      </c>
      <c r="H156">
        <v>25.52</v>
      </c>
      <c r="I156">
        <v>410.41</v>
      </c>
      <c r="J156" t="s">
        <v>15</v>
      </c>
      <c r="K156" t="str">
        <f>IF(D156&lt;=12,"0-12 Months",IF(D156&lt;=24,"13-24 Months",IF(D156&lt;=48,"25-48 Months","49+ Months")))</f>
        <v>13-24 Months</v>
      </c>
      <c r="L156">
        <f>IF(Table1346[[#This Row],[Churn]]="Yes",1,0)</f>
        <v>0</v>
      </c>
    </row>
    <row r="157" spans="1:12" x14ac:dyDescent="0.35">
      <c r="A157" t="s">
        <v>179</v>
      </c>
      <c r="B157" t="s">
        <v>17</v>
      </c>
      <c r="C157">
        <v>20</v>
      </c>
      <c r="D157">
        <v>27</v>
      </c>
      <c r="E157" t="s">
        <v>12</v>
      </c>
      <c r="F157" t="s">
        <v>29</v>
      </c>
      <c r="G157" t="s">
        <v>19</v>
      </c>
      <c r="H157">
        <v>109</v>
      </c>
      <c r="I157">
        <v>3057.73</v>
      </c>
      <c r="J157" t="s">
        <v>15</v>
      </c>
      <c r="K157" t="str">
        <f>IF(D157&lt;=12,"0-12 Months",IF(D157&lt;=24,"13-24 Months",IF(D157&lt;=48,"25-48 Months","49+ Months")))</f>
        <v>25-48 Months</v>
      </c>
      <c r="L157">
        <f>IF(Table1346[[#This Row],[Churn]]="Yes",1,0)</f>
        <v>0</v>
      </c>
    </row>
    <row r="158" spans="1:12" x14ac:dyDescent="0.35">
      <c r="A158" t="s">
        <v>180</v>
      </c>
      <c r="B158" t="s">
        <v>11</v>
      </c>
      <c r="C158">
        <v>44</v>
      </c>
      <c r="D158">
        <v>72</v>
      </c>
      <c r="E158" t="s">
        <v>18</v>
      </c>
      <c r="F158" t="s">
        <v>33</v>
      </c>
      <c r="G158" t="s">
        <v>14</v>
      </c>
      <c r="H158">
        <v>137.35</v>
      </c>
      <c r="I158">
        <v>8921.15</v>
      </c>
      <c r="J158" t="s">
        <v>27</v>
      </c>
      <c r="K158" t="str">
        <f>IF(D158&lt;=12,"0-12 Months",IF(D158&lt;=24,"13-24 Months",IF(D158&lt;=48,"25-48 Months","49+ Months")))</f>
        <v>49+ Months</v>
      </c>
      <c r="L158">
        <f>IF(Table1346[[#This Row],[Churn]]="Yes",1,0)</f>
        <v>1</v>
      </c>
    </row>
    <row r="159" spans="1:12" x14ac:dyDescent="0.35">
      <c r="A159" t="s">
        <v>181</v>
      </c>
      <c r="B159" t="s">
        <v>17</v>
      </c>
      <c r="C159">
        <v>46</v>
      </c>
      <c r="D159">
        <v>60</v>
      </c>
      <c r="E159" t="s">
        <v>12</v>
      </c>
      <c r="F159" t="s">
        <v>29</v>
      </c>
      <c r="G159" t="s">
        <v>14</v>
      </c>
      <c r="H159">
        <v>128.84</v>
      </c>
      <c r="I159">
        <v>7566.65</v>
      </c>
      <c r="J159" t="s">
        <v>15</v>
      </c>
      <c r="K159" t="str">
        <f>IF(D159&lt;=12,"0-12 Months",IF(D159&lt;=24,"13-24 Months",IF(D159&lt;=48,"25-48 Months","49+ Months")))</f>
        <v>49+ Months</v>
      </c>
      <c r="L159">
        <f>IF(Table1346[[#This Row],[Churn]]="Yes",1,0)</f>
        <v>0</v>
      </c>
    </row>
    <row r="160" spans="1:12" x14ac:dyDescent="0.35">
      <c r="A160" t="s">
        <v>182</v>
      </c>
      <c r="B160" t="s">
        <v>11</v>
      </c>
      <c r="C160">
        <v>49</v>
      </c>
      <c r="D160">
        <v>46</v>
      </c>
      <c r="E160" t="s">
        <v>12</v>
      </c>
      <c r="F160" t="s">
        <v>22</v>
      </c>
      <c r="G160" t="s">
        <v>14</v>
      </c>
      <c r="H160">
        <v>36.56</v>
      </c>
      <c r="I160">
        <v>1799.8</v>
      </c>
      <c r="J160" t="s">
        <v>15</v>
      </c>
      <c r="K160" t="str">
        <f>IF(D160&lt;=12,"0-12 Months",IF(D160&lt;=24,"13-24 Months",IF(D160&lt;=48,"25-48 Months","49+ Months")))</f>
        <v>25-48 Months</v>
      </c>
      <c r="L160">
        <f>IF(Table1346[[#This Row],[Churn]]="Yes",1,0)</f>
        <v>0</v>
      </c>
    </row>
    <row r="161" spans="1:12" x14ac:dyDescent="0.35">
      <c r="A161" t="s">
        <v>183</v>
      </c>
      <c r="B161" t="s">
        <v>17</v>
      </c>
      <c r="C161">
        <v>67</v>
      </c>
      <c r="D161">
        <v>17</v>
      </c>
      <c r="E161" t="s">
        <v>18</v>
      </c>
      <c r="F161" t="s">
        <v>13</v>
      </c>
      <c r="G161" t="s">
        <v>23</v>
      </c>
      <c r="H161">
        <v>36.42</v>
      </c>
      <c r="I161">
        <v>600.04999999999995</v>
      </c>
      <c r="J161" t="s">
        <v>15</v>
      </c>
      <c r="K161" t="str">
        <f>IF(D161&lt;=12,"0-12 Months",IF(D161&lt;=24,"13-24 Months",IF(D161&lt;=48,"25-48 Months","49+ Months")))</f>
        <v>13-24 Months</v>
      </c>
      <c r="L161">
        <f>IF(Table1346[[#This Row],[Churn]]="Yes",1,0)</f>
        <v>0</v>
      </c>
    </row>
    <row r="162" spans="1:12" x14ac:dyDescent="0.35">
      <c r="A162" t="s">
        <v>184</v>
      </c>
      <c r="B162" t="s">
        <v>11</v>
      </c>
      <c r="C162">
        <v>68</v>
      </c>
      <c r="D162">
        <v>53</v>
      </c>
      <c r="E162" t="s">
        <v>12</v>
      </c>
      <c r="F162" t="s">
        <v>29</v>
      </c>
      <c r="G162" t="s">
        <v>23</v>
      </c>
      <c r="H162">
        <v>125.75</v>
      </c>
      <c r="I162">
        <v>6045.22</v>
      </c>
      <c r="J162" t="s">
        <v>15</v>
      </c>
      <c r="K162" t="str">
        <f>IF(D162&lt;=12,"0-12 Months",IF(D162&lt;=24,"13-24 Months",IF(D162&lt;=48,"25-48 Months","49+ Months")))</f>
        <v>49+ Months</v>
      </c>
      <c r="L162">
        <f>IF(Table1346[[#This Row],[Churn]]="Yes",1,0)</f>
        <v>0</v>
      </c>
    </row>
    <row r="163" spans="1:12" x14ac:dyDescent="0.35">
      <c r="A163" t="s">
        <v>185</v>
      </c>
      <c r="B163" t="s">
        <v>11</v>
      </c>
      <c r="C163">
        <v>36</v>
      </c>
      <c r="D163">
        <v>8</v>
      </c>
      <c r="E163" t="s">
        <v>21</v>
      </c>
      <c r="F163" t="s">
        <v>22</v>
      </c>
      <c r="G163" t="s">
        <v>14</v>
      </c>
      <c r="H163">
        <v>140.15</v>
      </c>
      <c r="I163">
        <v>1176.4000000000001</v>
      </c>
      <c r="J163" t="s">
        <v>15</v>
      </c>
      <c r="K163" t="str">
        <f>IF(D163&lt;=12,"0-12 Months",IF(D163&lt;=24,"13-24 Months",IF(D163&lt;=48,"25-48 Months","49+ Months")))</f>
        <v>0-12 Months</v>
      </c>
      <c r="L163">
        <f>IF(Table1346[[#This Row],[Churn]]="Yes",1,0)</f>
        <v>0</v>
      </c>
    </row>
    <row r="164" spans="1:12" x14ac:dyDescent="0.35">
      <c r="A164" t="s">
        <v>186</v>
      </c>
      <c r="B164" t="s">
        <v>17</v>
      </c>
      <c r="C164">
        <v>38</v>
      </c>
      <c r="D164">
        <v>27</v>
      </c>
      <c r="E164" t="s">
        <v>18</v>
      </c>
      <c r="F164" t="s">
        <v>29</v>
      </c>
      <c r="G164" t="s">
        <v>14</v>
      </c>
      <c r="H164">
        <v>79.89</v>
      </c>
      <c r="I164">
        <v>2287.33</v>
      </c>
      <c r="J164" t="s">
        <v>27</v>
      </c>
      <c r="K164" t="str">
        <f>IF(D164&lt;=12,"0-12 Months",IF(D164&lt;=24,"13-24 Months",IF(D164&lt;=48,"25-48 Months","49+ Months")))</f>
        <v>25-48 Months</v>
      </c>
      <c r="L164">
        <f>IF(Table1346[[#This Row],[Churn]]="Yes",1,0)</f>
        <v>1</v>
      </c>
    </row>
    <row r="165" spans="1:12" x14ac:dyDescent="0.35">
      <c r="A165" t="s">
        <v>187</v>
      </c>
      <c r="B165" t="s">
        <v>17</v>
      </c>
      <c r="C165">
        <v>22</v>
      </c>
      <c r="D165">
        <v>46</v>
      </c>
      <c r="E165" t="s">
        <v>18</v>
      </c>
      <c r="F165" t="s">
        <v>33</v>
      </c>
      <c r="G165" t="s">
        <v>19</v>
      </c>
      <c r="H165">
        <v>84.87</v>
      </c>
      <c r="I165">
        <v>3639.01</v>
      </c>
      <c r="J165" t="s">
        <v>15</v>
      </c>
      <c r="K165" t="str">
        <f>IF(D165&lt;=12,"0-12 Months",IF(D165&lt;=24,"13-24 Months",IF(D165&lt;=48,"25-48 Months","49+ Months")))</f>
        <v>25-48 Months</v>
      </c>
      <c r="L165">
        <f>IF(Table1346[[#This Row],[Churn]]="Yes",1,0)</f>
        <v>0</v>
      </c>
    </row>
    <row r="166" spans="1:12" x14ac:dyDescent="0.35">
      <c r="A166" t="s">
        <v>188</v>
      </c>
      <c r="B166" t="s">
        <v>17</v>
      </c>
      <c r="C166">
        <v>35</v>
      </c>
      <c r="D166">
        <v>50</v>
      </c>
      <c r="E166" t="s">
        <v>21</v>
      </c>
      <c r="F166" t="s">
        <v>33</v>
      </c>
      <c r="G166" t="s">
        <v>14</v>
      </c>
      <c r="H166">
        <v>61.37</v>
      </c>
      <c r="I166">
        <v>3091.42</v>
      </c>
      <c r="J166" t="s">
        <v>27</v>
      </c>
      <c r="K166" t="str">
        <f>IF(D166&lt;=12,"0-12 Months",IF(D166&lt;=24,"13-24 Months",IF(D166&lt;=48,"25-48 Months","49+ Months")))</f>
        <v>49+ Months</v>
      </c>
      <c r="L166">
        <f>IF(Table1346[[#This Row],[Churn]]="Yes",1,0)</f>
        <v>1</v>
      </c>
    </row>
    <row r="167" spans="1:12" x14ac:dyDescent="0.35">
      <c r="A167" t="s">
        <v>189</v>
      </c>
      <c r="B167" t="s">
        <v>11</v>
      </c>
      <c r="C167">
        <v>45</v>
      </c>
      <c r="D167">
        <v>71</v>
      </c>
      <c r="E167" t="s">
        <v>12</v>
      </c>
      <c r="F167" t="s">
        <v>33</v>
      </c>
      <c r="G167" t="s">
        <v>14</v>
      </c>
      <c r="H167">
        <v>136.25</v>
      </c>
      <c r="I167">
        <v>9077.76</v>
      </c>
      <c r="J167" t="s">
        <v>27</v>
      </c>
      <c r="K167" t="str">
        <f>IF(D167&lt;=12,"0-12 Months",IF(D167&lt;=24,"13-24 Months",IF(D167&lt;=48,"25-48 Months","49+ Months")))</f>
        <v>49+ Months</v>
      </c>
      <c r="L167">
        <f>IF(Table1346[[#This Row],[Churn]]="Yes",1,0)</f>
        <v>1</v>
      </c>
    </row>
    <row r="168" spans="1:12" x14ac:dyDescent="0.35">
      <c r="A168" t="s">
        <v>190</v>
      </c>
      <c r="B168" t="s">
        <v>17</v>
      </c>
      <c r="C168">
        <v>59</v>
      </c>
      <c r="D168">
        <v>3</v>
      </c>
      <c r="E168" t="s">
        <v>12</v>
      </c>
      <c r="F168" t="s">
        <v>29</v>
      </c>
      <c r="G168" t="s">
        <v>23</v>
      </c>
      <c r="H168">
        <v>103.84</v>
      </c>
      <c r="I168">
        <v>325.18</v>
      </c>
      <c r="J168" t="s">
        <v>27</v>
      </c>
      <c r="K168" t="str">
        <f>IF(D168&lt;=12,"0-12 Months",IF(D168&lt;=24,"13-24 Months",IF(D168&lt;=48,"25-48 Months","49+ Months")))</f>
        <v>0-12 Months</v>
      </c>
      <c r="L168">
        <f>IF(Table1346[[#This Row],[Churn]]="Yes",1,0)</f>
        <v>1</v>
      </c>
    </row>
    <row r="169" spans="1:12" x14ac:dyDescent="0.35">
      <c r="A169" t="s">
        <v>191</v>
      </c>
      <c r="B169" t="s">
        <v>11</v>
      </c>
      <c r="C169">
        <v>39</v>
      </c>
      <c r="D169">
        <v>64</v>
      </c>
      <c r="E169" t="s">
        <v>18</v>
      </c>
      <c r="F169" t="s">
        <v>22</v>
      </c>
      <c r="G169" t="s">
        <v>14</v>
      </c>
      <c r="H169">
        <v>57.47</v>
      </c>
      <c r="I169">
        <v>3510.03</v>
      </c>
      <c r="J169" t="s">
        <v>15</v>
      </c>
      <c r="K169" t="str">
        <f>IF(D169&lt;=12,"0-12 Months",IF(D169&lt;=24,"13-24 Months",IF(D169&lt;=48,"25-48 Months","49+ Months")))</f>
        <v>49+ Months</v>
      </c>
      <c r="L169">
        <f>IF(Table1346[[#This Row],[Churn]]="Yes",1,0)</f>
        <v>0</v>
      </c>
    </row>
    <row r="170" spans="1:12" x14ac:dyDescent="0.35">
      <c r="A170" t="s">
        <v>192</v>
      </c>
      <c r="B170" t="s">
        <v>11</v>
      </c>
      <c r="C170">
        <v>38</v>
      </c>
      <c r="D170">
        <v>44</v>
      </c>
      <c r="E170" t="s">
        <v>18</v>
      </c>
      <c r="F170" t="s">
        <v>13</v>
      </c>
      <c r="G170" t="s">
        <v>14</v>
      </c>
      <c r="H170">
        <v>58.84</v>
      </c>
      <c r="I170">
        <v>2493.8000000000002</v>
      </c>
      <c r="J170" t="s">
        <v>15</v>
      </c>
      <c r="K170" t="str">
        <f>IF(D170&lt;=12,"0-12 Months",IF(D170&lt;=24,"13-24 Months",IF(D170&lt;=48,"25-48 Months","49+ Months")))</f>
        <v>25-48 Months</v>
      </c>
      <c r="L170">
        <f>IF(Table1346[[#This Row],[Churn]]="Yes",1,0)</f>
        <v>0</v>
      </c>
    </row>
    <row r="171" spans="1:12" x14ac:dyDescent="0.35">
      <c r="A171" t="s">
        <v>193</v>
      </c>
      <c r="B171" t="s">
        <v>17</v>
      </c>
      <c r="C171">
        <v>23</v>
      </c>
      <c r="D171">
        <v>53</v>
      </c>
      <c r="E171" t="s">
        <v>12</v>
      </c>
      <c r="F171" t="s">
        <v>33</v>
      </c>
      <c r="G171" t="s">
        <v>19</v>
      </c>
      <c r="H171">
        <v>135.86000000000001</v>
      </c>
      <c r="I171">
        <v>7697.38</v>
      </c>
      <c r="J171" t="s">
        <v>15</v>
      </c>
      <c r="K171" t="str">
        <f>IF(D171&lt;=12,"0-12 Months",IF(D171&lt;=24,"13-24 Months",IF(D171&lt;=48,"25-48 Months","49+ Months")))</f>
        <v>49+ Months</v>
      </c>
      <c r="L171">
        <f>IF(Table1346[[#This Row],[Churn]]="Yes",1,0)</f>
        <v>0</v>
      </c>
    </row>
    <row r="172" spans="1:12" x14ac:dyDescent="0.35">
      <c r="A172" t="s">
        <v>194</v>
      </c>
      <c r="B172" t="s">
        <v>17</v>
      </c>
      <c r="C172">
        <v>18</v>
      </c>
      <c r="D172">
        <v>24</v>
      </c>
      <c r="E172" t="s">
        <v>12</v>
      </c>
      <c r="F172" t="s">
        <v>22</v>
      </c>
      <c r="G172" t="s">
        <v>19</v>
      </c>
      <c r="H172">
        <v>21.77</v>
      </c>
      <c r="I172">
        <v>520.01</v>
      </c>
      <c r="J172" t="s">
        <v>27</v>
      </c>
      <c r="K172" t="str">
        <f>IF(D172&lt;=12,"0-12 Months",IF(D172&lt;=24,"13-24 Months",IF(D172&lt;=48,"25-48 Months","49+ Months")))</f>
        <v>13-24 Months</v>
      </c>
      <c r="L172">
        <f>IF(Table1346[[#This Row],[Churn]]="Yes",1,0)</f>
        <v>1</v>
      </c>
    </row>
    <row r="173" spans="1:12" x14ac:dyDescent="0.35">
      <c r="A173" t="s">
        <v>195</v>
      </c>
      <c r="B173" t="s">
        <v>11</v>
      </c>
      <c r="C173">
        <v>22</v>
      </c>
      <c r="D173">
        <v>60</v>
      </c>
      <c r="E173" t="s">
        <v>12</v>
      </c>
      <c r="F173" t="s">
        <v>33</v>
      </c>
      <c r="G173" t="s">
        <v>19</v>
      </c>
      <c r="H173">
        <v>61.95</v>
      </c>
      <c r="I173">
        <v>3843.2</v>
      </c>
      <c r="J173" t="s">
        <v>15</v>
      </c>
      <c r="K173" t="str">
        <f>IF(D173&lt;=12,"0-12 Months",IF(D173&lt;=24,"13-24 Months",IF(D173&lt;=48,"25-48 Months","49+ Months")))</f>
        <v>49+ Months</v>
      </c>
      <c r="L173">
        <f>IF(Table1346[[#This Row],[Churn]]="Yes",1,0)</f>
        <v>0</v>
      </c>
    </row>
    <row r="174" spans="1:12" x14ac:dyDescent="0.35">
      <c r="A174" t="s">
        <v>196</v>
      </c>
      <c r="B174" t="s">
        <v>11</v>
      </c>
      <c r="C174">
        <v>58</v>
      </c>
      <c r="D174">
        <v>3</v>
      </c>
      <c r="E174" t="s">
        <v>12</v>
      </c>
      <c r="F174" t="s">
        <v>13</v>
      </c>
      <c r="G174" t="s">
        <v>23</v>
      </c>
      <c r="H174">
        <v>92.07</v>
      </c>
      <c r="I174">
        <v>270.82</v>
      </c>
      <c r="J174" t="s">
        <v>15</v>
      </c>
      <c r="K174" t="str">
        <f>IF(D174&lt;=12,"0-12 Months",IF(D174&lt;=24,"13-24 Months",IF(D174&lt;=48,"25-48 Months","49+ Months")))</f>
        <v>0-12 Months</v>
      </c>
      <c r="L174">
        <f>IF(Table1346[[#This Row],[Churn]]="Yes",1,0)</f>
        <v>0</v>
      </c>
    </row>
    <row r="175" spans="1:12" x14ac:dyDescent="0.35">
      <c r="A175" t="s">
        <v>197</v>
      </c>
      <c r="B175" t="s">
        <v>17</v>
      </c>
      <c r="C175">
        <v>29</v>
      </c>
      <c r="D175">
        <v>20</v>
      </c>
      <c r="E175" t="s">
        <v>21</v>
      </c>
      <c r="F175" t="s">
        <v>13</v>
      </c>
      <c r="G175" t="s">
        <v>19</v>
      </c>
      <c r="H175">
        <v>39.270000000000003</v>
      </c>
      <c r="I175">
        <v>753.67</v>
      </c>
      <c r="J175" t="s">
        <v>15</v>
      </c>
      <c r="K175" t="str">
        <f>IF(D175&lt;=12,"0-12 Months",IF(D175&lt;=24,"13-24 Months",IF(D175&lt;=48,"25-48 Months","49+ Months")))</f>
        <v>13-24 Months</v>
      </c>
      <c r="L175">
        <f>IF(Table1346[[#This Row],[Churn]]="Yes",1,0)</f>
        <v>0</v>
      </c>
    </row>
    <row r="176" spans="1:12" x14ac:dyDescent="0.35">
      <c r="A176" t="s">
        <v>198</v>
      </c>
      <c r="B176" t="s">
        <v>17</v>
      </c>
      <c r="C176">
        <v>43</v>
      </c>
      <c r="D176">
        <v>46</v>
      </c>
      <c r="E176" t="s">
        <v>12</v>
      </c>
      <c r="F176" t="s">
        <v>29</v>
      </c>
      <c r="G176" t="s">
        <v>14</v>
      </c>
      <c r="H176">
        <v>31.97</v>
      </c>
      <c r="I176">
        <v>1507.53</v>
      </c>
      <c r="J176" t="s">
        <v>27</v>
      </c>
      <c r="K176" t="str">
        <f>IF(D176&lt;=12,"0-12 Months",IF(D176&lt;=24,"13-24 Months",IF(D176&lt;=48,"25-48 Months","49+ Months")))</f>
        <v>25-48 Months</v>
      </c>
      <c r="L176">
        <f>IF(Table1346[[#This Row],[Churn]]="Yes",1,0)</f>
        <v>1</v>
      </c>
    </row>
    <row r="177" spans="1:12" x14ac:dyDescent="0.35">
      <c r="A177" t="s">
        <v>199</v>
      </c>
      <c r="B177" t="s">
        <v>17</v>
      </c>
      <c r="C177">
        <v>63</v>
      </c>
      <c r="D177">
        <v>15</v>
      </c>
      <c r="E177" t="s">
        <v>18</v>
      </c>
      <c r="F177" t="s">
        <v>22</v>
      </c>
      <c r="G177" t="s">
        <v>23</v>
      </c>
      <c r="H177">
        <v>125.99</v>
      </c>
      <c r="I177">
        <v>1759.4</v>
      </c>
      <c r="J177" t="s">
        <v>15</v>
      </c>
      <c r="K177" t="str">
        <f>IF(D177&lt;=12,"0-12 Months",IF(D177&lt;=24,"13-24 Months",IF(D177&lt;=48,"25-48 Months","49+ Months")))</f>
        <v>13-24 Months</v>
      </c>
      <c r="L177">
        <f>IF(Table1346[[#This Row],[Churn]]="Yes",1,0)</f>
        <v>0</v>
      </c>
    </row>
    <row r="178" spans="1:12" x14ac:dyDescent="0.35">
      <c r="A178" t="s">
        <v>200</v>
      </c>
      <c r="B178" t="s">
        <v>11</v>
      </c>
      <c r="C178">
        <v>51</v>
      </c>
      <c r="D178">
        <v>25</v>
      </c>
      <c r="E178" t="s">
        <v>21</v>
      </c>
      <c r="F178" t="s">
        <v>13</v>
      </c>
      <c r="G178" t="s">
        <v>23</v>
      </c>
      <c r="H178">
        <v>136.27000000000001</v>
      </c>
      <c r="I178">
        <v>3320.22</v>
      </c>
      <c r="J178" t="s">
        <v>15</v>
      </c>
      <c r="K178" t="str">
        <f>IF(D178&lt;=12,"0-12 Months",IF(D178&lt;=24,"13-24 Months",IF(D178&lt;=48,"25-48 Months","49+ Months")))</f>
        <v>25-48 Months</v>
      </c>
      <c r="L178">
        <f>IF(Table1346[[#This Row],[Churn]]="Yes",1,0)</f>
        <v>0</v>
      </c>
    </row>
    <row r="179" spans="1:12" x14ac:dyDescent="0.35">
      <c r="A179" t="s">
        <v>201</v>
      </c>
      <c r="B179" t="s">
        <v>11</v>
      </c>
      <c r="C179">
        <v>66</v>
      </c>
      <c r="D179">
        <v>71</v>
      </c>
      <c r="E179" t="s">
        <v>12</v>
      </c>
      <c r="F179" t="s">
        <v>13</v>
      </c>
      <c r="G179" t="s">
        <v>23</v>
      </c>
      <c r="H179">
        <v>127.07</v>
      </c>
      <c r="I179">
        <v>8496.9599999999991</v>
      </c>
      <c r="J179" t="s">
        <v>15</v>
      </c>
      <c r="K179" t="str">
        <f>IF(D179&lt;=12,"0-12 Months",IF(D179&lt;=24,"13-24 Months",IF(D179&lt;=48,"25-48 Months","49+ Months")))</f>
        <v>49+ Months</v>
      </c>
      <c r="L179">
        <f>IF(Table1346[[#This Row],[Churn]]="Yes",1,0)</f>
        <v>0</v>
      </c>
    </row>
    <row r="180" spans="1:12" x14ac:dyDescent="0.35">
      <c r="A180" t="s">
        <v>202</v>
      </c>
      <c r="B180" t="s">
        <v>11</v>
      </c>
      <c r="C180">
        <v>31</v>
      </c>
      <c r="D180">
        <v>17</v>
      </c>
      <c r="E180" t="s">
        <v>21</v>
      </c>
      <c r="F180" t="s">
        <v>22</v>
      </c>
      <c r="G180" t="s">
        <v>14</v>
      </c>
      <c r="H180">
        <v>136.84</v>
      </c>
      <c r="I180">
        <v>2417.37</v>
      </c>
      <c r="J180" t="s">
        <v>15</v>
      </c>
      <c r="K180" t="str">
        <f>IF(D180&lt;=12,"0-12 Months",IF(D180&lt;=24,"13-24 Months",IF(D180&lt;=48,"25-48 Months","49+ Months")))</f>
        <v>13-24 Months</v>
      </c>
      <c r="L180">
        <f>IF(Table1346[[#This Row],[Churn]]="Yes",1,0)</f>
        <v>0</v>
      </c>
    </row>
    <row r="181" spans="1:12" x14ac:dyDescent="0.35">
      <c r="A181" t="s">
        <v>203</v>
      </c>
      <c r="B181" t="s">
        <v>11</v>
      </c>
      <c r="C181">
        <v>43</v>
      </c>
      <c r="D181">
        <v>9</v>
      </c>
      <c r="E181" t="s">
        <v>12</v>
      </c>
      <c r="F181" t="s">
        <v>13</v>
      </c>
      <c r="G181" t="s">
        <v>14</v>
      </c>
      <c r="H181">
        <v>91.9</v>
      </c>
      <c r="I181">
        <v>900.58</v>
      </c>
      <c r="J181" t="s">
        <v>15</v>
      </c>
      <c r="K181" t="str">
        <f>IF(D181&lt;=12,"0-12 Months",IF(D181&lt;=24,"13-24 Months",IF(D181&lt;=48,"25-48 Months","49+ Months")))</f>
        <v>0-12 Months</v>
      </c>
      <c r="L181">
        <f>IF(Table1346[[#This Row],[Churn]]="Yes",1,0)</f>
        <v>0</v>
      </c>
    </row>
    <row r="182" spans="1:12" x14ac:dyDescent="0.35">
      <c r="A182" t="s">
        <v>204</v>
      </c>
      <c r="B182" t="s">
        <v>11</v>
      </c>
      <c r="C182">
        <v>62</v>
      </c>
      <c r="D182">
        <v>38</v>
      </c>
      <c r="E182" t="s">
        <v>21</v>
      </c>
      <c r="F182" t="s">
        <v>29</v>
      </c>
      <c r="G182" t="s">
        <v>23</v>
      </c>
      <c r="H182">
        <v>125.59</v>
      </c>
      <c r="I182">
        <v>5245.38</v>
      </c>
      <c r="J182" t="s">
        <v>27</v>
      </c>
      <c r="K182" t="str">
        <f>IF(D182&lt;=12,"0-12 Months",IF(D182&lt;=24,"13-24 Months",IF(D182&lt;=48,"25-48 Months","49+ Months")))</f>
        <v>25-48 Months</v>
      </c>
      <c r="L182">
        <f>IF(Table1346[[#This Row],[Churn]]="Yes",1,0)</f>
        <v>1</v>
      </c>
    </row>
    <row r="183" spans="1:12" x14ac:dyDescent="0.35">
      <c r="A183" t="s">
        <v>205</v>
      </c>
      <c r="B183" t="s">
        <v>11</v>
      </c>
      <c r="C183">
        <v>44</v>
      </c>
      <c r="D183">
        <v>48</v>
      </c>
      <c r="E183" t="s">
        <v>21</v>
      </c>
      <c r="F183" t="s">
        <v>13</v>
      </c>
      <c r="G183" t="s">
        <v>14</v>
      </c>
      <c r="H183">
        <v>69.930000000000007</v>
      </c>
      <c r="I183">
        <v>3323.26</v>
      </c>
      <c r="J183" t="s">
        <v>15</v>
      </c>
      <c r="K183" t="str">
        <f>IF(D183&lt;=12,"0-12 Months",IF(D183&lt;=24,"13-24 Months",IF(D183&lt;=48,"25-48 Months","49+ Months")))</f>
        <v>25-48 Months</v>
      </c>
      <c r="L183">
        <f>IF(Table1346[[#This Row],[Churn]]="Yes",1,0)</f>
        <v>0</v>
      </c>
    </row>
    <row r="184" spans="1:12" x14ac:dyDescent="0.35">
      <c r="A184" t="s">
        <v>206</v>
      </c>
      <c r="B184" t="s">
        <v>17</v>
      </c>
      <c r="C184">
        <v>26</v>
      </c>
      <c r="D184">
        <v>60</v>
      </c>
      <c r="E184" t="s">
        <v>18</v>
      </c>
      <c r="F184" t="s">
        <v>13</v>
      </c>
      <c r="G184" t="s">
        <v>19</v>
      </c>
      <c r="H184">
        <v>106.61</v>
      </c>
      <c r="I184">
        <v>6080.01</v>
      </c>
      <c r="J184" t="s">
        <v>15</v>
      </c>
      <c r="K184" t="str">
        <f>IF(D184&lt;=12,"0-12 Months",IF(D184&lt;=24,"13-24 Months",IF(D184&lt;=48,"25-48 Months","49+ Months")))</f>
        <v>49+ Months</v>
      </c>
      <c r="L184">
        <f>IF(Table1346[[#This Row],[Churn]]="Yes",1,0)</f>
        <v>0</v>
      </c>
    </row>
    <row r="185" spans="1:12" x14ac:dyDescent="0.35">
      <c r="A185" t="s">
        <v>207</v>
      </c>
      <c r="B185" t="s">
        <v>11</v>
      </c>
      <c r="C185">
        <v>43</v>
      </c>
      <c r="D185">
        <v>63</v>
      </c>
      <c r="E185" t="s">
        <v>18</v>
      </c>
      <c r="F185" t="s">
        <v>13</v>
      </c>
      <c r="G185" t="s">
        <v>14</v>
      </c>
      <c r="H185">
        <v>148.55000000000001</v>
      </c>
      <c r="I185">
        <v>9251.64</v>
      </c>
      <c r="J185" t="s">
        <v>27</v>
      </c>
      <c r="K185" t="str">
        <f>IF(D185&lt;=12,"0-12 Months",IF(D185&lt;=24,"13-24 Months",IF(D185&lt;=48,"25-48 Months","49+ Months")))</f>
        <v>49+ Months</v>
      </c>
      <c r="L185">
        <f>IF(Table1346[[#This Row],[Churn]]="Yes",1,0)</f>
        <v>1</v>
      </c>
    </row>
    <row r="186" spans="1:12" x14ac:dyDescent="0.35">
      <c r="A186" t="s">
        <v>208</v>
      </c>
      <c r="B186" t="s">
        <v>11</v>
      </c>
      <c r="C186">
        <v>64</v>
      </c>
      <c r="D186">
        <v>2</v>
      </c>
      <c r="E186" t="s">
        <v>12</v>
      </c>
      <c r="F186" t="s">
        <v>29</v>
      </c>
      <c r="G186" t="s">
        <v>23</v>
      </c>
      <c r="H186">
        <v>49.34</v>
      </c>
      <c r="I186">
        <v>105.53</v>
      </c>
      <c r="J186" t="s">
        <v>27</v>
      </c>
      <c r="K186" t="str">
        <f>IF(D186&lt;=12,"0-12 Months",IF(D186&lt;=24,"13-24 Months",IF(D186&lt;=48,"25-48 Months","49+ Months")))</f>
        <v>0-12 Months</v>
      </c>
      <c r="L186">
        <f>IF(Table1346[[#This Row],[Churn]]="Yes",1,0)</f>
        <v>1</v>
      </c>
    </row>
    <row r="187" spans="1:12" x14ac:dyDescent="0.35">
      <c r="A187" t="s">
        <v>209</v>
      </c>
      <c r="B187" t="s">
        <v>11</v>
      </c>
      <c r="C187">
        <v>39</v>
      </c>
      <c r="D187">
        <v>72</v>
      </c>
      <c r="E187" t="s">
        <v>12</v>
      </c>
      <c r="F187" t="s">
        <v>29</v>
      </c>
      <c r="G187" t="s">
        <v>14</v>
      </c>
      <c r="H187">
        <v>70.69</v>
      </c>
      <c r="I187">
        <v>4790.41</v>
      </c>
      <c r="J187" t="s">
        <v>27</v>
      </c>
      <c r="K187" t="str">
        <f>IF(D187&lt;=12,"0-12 Months",IF(D187&lt;=24,"13-24 Months",IF(D187&lt;=48,"25-48 Months","49+ Months")))</f>
        <v>49+ Months</v>
      </c>
      <c r="L187">
        <f>IF(Table1346[[#This Row],[Churn]]="Yes",1,0)</f>
        <v>1</v>
      </c>
    </row>
    <row r="188" spans="1:12" x14ac:dyDescent="0.35">
      <c r="A188" t="s">
        <v>210</v>
      </c>
      <c r="B188" t="s">
        <v>17</v>
      </c>
      <c r="C188">
        <v>64</v>
      </c>
      <c r="D188">
        <v>11</v>
      </c>
      <c r="E188" t="s">
        <v>21</v>
      </c>
      <c r="F188" t="s">
        <v>29</v>
      </c>
      <c r="G188" t="s">
        <v>23</v>
      </c>
      <c r="H188">
        <v>82.41</v>
      </c>
      <c r="I188">
        <v>988.48</v>
      </c>
      <c r="J188" t="s">
        <v>15</v>
      </c>
      <c r="K188" t="str">
        <f>IF(D188&lt;=12,"0-12 Months",IF(D188&lt;=24,"13-24 Months",IF(D188&lt;=48,"25-48 Months","49+ Months")))</f>
        <v>0-12 Months</v>
      </c>
      <c r="L188">
        <f>IF(Table1346[[#This Row],[Churn]]="Yes",1,0)</f>
        <v>0</v>
      </c>
    </row>
    <row r="189" spans="1:12" x14ac:dyDescent="0.35">
      <c r="A189" t="s">
        <v>211</v>
      </c>
      <c r="B189" t="s">
        <v>11</v>
      </c>
      <c r="C189">
        <v>47</v>
      </c>
      <c r="D189">
        <v>64</v>
      </c>
      <c r="E189" t="s">
        <v>12</v>
      </c>
      <c r="F189" t="s">
        <v>22</v>
      </c>
      <c r="G189" t="s">
        <v>14</v>
      </c>
      <c r="H189">
        <v>37.94</v>
      </c>
      <c r="I189">
        <v>2351.36</v>
      </c>
      <c r="J189" t="s">
        <v>15</v>
      </c>
      <c r="K189" t="str">
        <f>IF(D189&lt;=12,"0-12 Months",IF(D189&lt;=24,"13-24 Months",IF(D189&lt;=48,"25-48 Months","49+ Months")))</f>
        <v>49+ Months</v>
      </c>
      <c r="L189">
        <f>IF(Table1346[[#This Row],[Churn]]="Yes",1,0)</f>
        <v>0</v>
      </c>
    </row>
    <row r="190" spans="1:12" x14ac:dyDescent="0.35">
      <c r="A190" t="s">
        <v>212</v>
      </c>
      <c r="B190" t="s">
        <v>11</v>
      </c>
      <c r="C190">
        <v>60</v>
      </c>
      <c r="D190">
        <v>72</v>
      </c>
      <c r="E190" t="s">
        <v>12</v>
      </c>
      <c r="F190" t="s">
        <v>29</v>
      </c>
      <c r="G190" t="s">
        <v>23</v>
      </c>
      <c r="H190">
        <v>30.54</v>
      </c>
      <c r="I190">
        <v>2412.52</v>
      </c>
      <c r="J190" t="s">
        <v>27</v>
      </c>
      <c r="K190" t="str">
        <f>IF(D190&lt;=12,"0-12 Months",IF(D190&lt;=24,"13-24 Months",IF(D190&lt;=48,"25-48 Months","49+ Months")))</f>
        <v>49+ Months</v>
      </c>
      <c r="L190">
        <f>IF(Table1346[[#This Row],[Churn]]="Yes",1,0)</f>
        <v>1</v>
      </c>
    </row>
    <row r="191" spans="1:12" x14ac:dyDescent="0.35">
      <c r="A191" t="s">
        <v>213</v>
      </c>
      <c r="B191" t="s">
        <v>17</v>
      </c>
      <c r="C191">
        <v>65</v>
      </c>
      <c r="D191">
        <v>21</v>
      </c>
      <c r="E191" t="s">
        <v>12</v>
      </c>
      <c r="F191" t="s">
        <v>13</v>
      </c>
      <c r="G191" t="s">
        <v>23</v>
      </c>
      <c r="H191">
        <v>127.86</v>
      </c>
      <c r="I191">
        <v>2866.9</v>
      </c>
      <c r="J191" t="s">
        <v>15</v>
      </c>
      <c r="K191" t="str">
        <f>IF(D191&lt;=12,"0-12 Months",IF(D191&lt;=24,"13-24 Months",IF(D191&lt;=48,"25-48 Months","49+ Months")))</f>
        <v>13-24 Months</v>
      </c>
      <c r="L191">
        <f>IF(Table1346[[#This Row],[Churn]]="Yes",1,0)</f>
        <v>0</v>
      </c>
    </row>
    <row r="192" spans="1:12" x14ac:dyDescent="0.35">
      <c r="A192" t="s">
        <v>214</v>
      </c>
      <c r="B192" t="s">
        <v>11</v>
      </c>
      <c r="C192">
        <v>34</v>
      </c>
      <c r="D192">
        <v>18</v>
      </c>
      <c r="E192" t="s">
        <v>21</v>
      </c>
      <c r="F192" t="s">
        <v>33</v>
      </c>
      <c r="G192" t="s">
        <v>14</v>
      </c>
      <c r="H192">
        <v>146.97999999999999</v>
      </c>
      <c r="I192">
        <v>2808.91</v>
      </c>
      <c r="J192" t="s">
        <v>15</v>
      </c>
      <c r="K192" t="str">
        <f>IF(D192&lt;=12,"0-12 Months",IF(D192&lt;=24,"13-24 Months",IF(D192&lt;=48,"25-48 Months","49+ Months")))</f>
        <v>13-24 Months</v>
      </c>
      <c r="L192">
        <f>IF(Table1346[[#This Row],[Churn]]="Yes",1,0)</f>
        <v>0</v>
      </c>
    </row>
    <row r="193" spans="1:12" x14ac:dyDescent="0.35">
      <c r="A193" t="s">
        <v>215</v>
      </c>
      <c r="B193" t="s">
        <v>11</v>
      </c>
      <c r="C193">
        <v>43</v>
      </c>
      <c r="D193">
        <v>64</v>
      </c>
      <c r="E193" t="s">
        <v>12</v>
      </c>
      <c r="F193" t="s">
        <v>29</v>
      </c>
      <c r="G193" t="s">
        <v>14</v>
      </c>
      <c r="H193">
        <v>72.61</v>
      </c>
      <c r="I193">
        <v>4477.8</v>
      </c>
      <c r="J193" t="s">
        <v>15</v>
      </c>
      <c r="K193" t="str">
        <f>IF(D193&lt;=12,"0-12 Months",IF(D193&lt;=24,"13-24 Months",IF(D193&lt;=48,"25-48 Months","49+ Months")))</f>
        <v>49+ Months</v>
      </c>
      <c r="L193">
        <f>IF(Table1346[[#This Row],[Churn]]="Yes",1,0)</f>
        <v>0</v>
      </c>
    </row>
    <row r="194" spans="1:12" x14ac:dyDescent="0.35">
      <c r="A194" t="s">
        <v>216</v>
      </c>
      <c r="B194" t="s">
        <v>11</v>
      </c>
      <c r="C194">
        <v>53</v>
      </c>
      <c r="D194">
        <v>38</v>
      </c>
      <c r="E194" t="s">
        <v>21</v>
      </c>
      <c r="F194" t="s">
        <v>13</v>
      </c>
      <c r="G194" t="s">
        <v>23</v>
      </c>
      <c r="H194">
        <v>31.39</v>
      </c>
      <c r="I194">
        <v>1075.6300000000001</v>
      </c>
      <c r="J194" t="s">
        <v>15</v>
      </c>
      <c r="K194" t="str">
        <f>IF(D194&lt;=12,"0-12 Months",IF(D194&lt;=24,"13-24 Months",IF(D194&lt;=48,"25-48 Months","49+ Months")))</f>
        <v>25-48 Months</v>
      </c>
      <c r="L194">
        <f>IF(Table1346[[#This Row],[Churn]]="Yes",1,0)</f>
        <v>0</v>
      </c>
    </row>
    <row r="195" spans="1:12" x14ac:dyDescent="0.35">
      <c r="A195" t="s">
        <v>217</v>
      </c>
      <c r="B195" t="s">
        <v>11</v>
      </c>
      <c r="C195">
        <v>18</v>
      </c>
      <c r="D195">
        <v>32</v>
      </c>
      <c r="E195" t="s">
        <v>18</v>
      </c>
      <c r="F195" t="s">
        <v>22</v>
      </c>
      <c r="G195" t="s">
        <v>19</v>
      </c>
      <c r="H195">
        <v>28.56</v>
      </c>
      <c r="I195">
        <v>892.38</v>
      </c>
      <c r="J195" t="s">
        <v>15</v>
      </c>
      <c r="K195" t="str">
        <f>IF(D195&lt;=12,"0-12 Months",IF(D195&lt;=24,"13-24 Months",IF(D195&lt;=48,"25-48 Months","49+ Months")))</f>
        <v>25-48 Months</v>
      </c>
      <c r="L195">
        <f>IF(Table1346[[#This Row],[Churn]]="Yes",1,0)</f>
        <v>0</v>
      </c>
    </row>
    <row r="196" spans="1:12" x14ac:dyDescent="0.35">
      <c r="A196" t="s">
        <v>218</v>
      </c>
      <c r="B196" t="s">
        <v>11</v>
      </c>
      <c r="C196">
        <v>25</v>
      </c>
      <c r="D196">
        <v>11</v>
      </c>
      <c r="E196" t="s">
        <v>12</v>
      </c>
      <c r="F196" t="s">
        <v>33</v>
      </c>
      <c r="G196" t="s">
        <v>19</v>
      </c>
      <c r="H196">
        <v>135.87</v>
      </c>
      <c r="I196">
        <v>1435.33</v>
      </c>
      <c r="J196" t="s">
        <v>27</v>
      </c>
      <c r="K196" t="str">
        <f>IF(D196&lt;=12,"0-12 Months",IF(D196&lt;=24,"13-24 Months",IF(D196&lt;=48,"25-48 Months","49+ Months")))</f>
        <v>0-12 Months</v>
      </c>
      <c r="L196">
        <f>IF(Table1346[[#This Row],[Churn]]="Yes",1,0)</f>
        <v>1</v>
      </c>
    </row>
    <row r="197" spans="1:12" x14ac:dyDescent="0.35">
      <c r="A197" t="s">
        <v>219</v>
      </c>
      <c r="B197" t="s">
        <v>17</v>
      </c>
      <c r="C197">
        <v>66</v>
      </c>
      <c r="D197">
        <v>45</v>
      </c>
      <c r="E197" t="s">
        <v>12</v>
      </c>
      <c r="F197" t="s">
        <v>22</v>
      </c>
      <c r="G197" t="s">
        <v>23</v>
      </c>
      <c r="H197">
        <v>80.3</v>
      </c>
      <c r="I197">
        <v>3279.18</v>
      </c>
      <c r="J197" t="s">
        <v>15</v>
      </c>
      <c r="K197" t="str">
        <f>IF(D197&lt;=12,"0-12 Months",IF(D197&lt;=24,"13-24 Months",IF(D197&lt;=48,"25-48 Months","49+ Months")))</f>
        <v>25-48 Months</v>
      </c>
      <c r="L197">
        <f>IF(Table1346[[#This Row],[Churn]]="Yes",1,0)</f>
        <v>0</v>
      </c>
    </row>
    <row r="198" spans="1:12" x14ac:dyDescent="0.35">
      <c r="A198" t="s">
        <v>220</v>
      </c>
      <c r="B198" t="s">
        <v>17</v>
      </c>
      <c r="C198">
        <v>52</v>
      </c>
      <c r="D198">
        <v>33</v>
      </c>
      <c r="E198" t="s">
        <v>12</v>
      </c>
      <c r="F198" t="s">
        <v>22</v>
      </c>
      <c r="G198" t="s">
        <v>23</v>
      </c>
      <c r="H198">
        <v>61.6</v>
      </c>
      <c r="I198">
        <v>2034.98</v>
      </c>
      <c r="J198" t="s">
        <v>15</v>
      </c>
      <c r="K198" t="str">
        <f>IF(D198&lt;=12,"0-12 Months",IF(D198&lt;=24,"13-24 Months",IF(D198&lt;=48,"25-48 Months","49+ Months")))</f>
        <v>25-48 Months</v>
      </c>
      <c r="L198">
        <f>IF(Table1346[[#This Row],[Churn]]="Yes",1,0)</f>
        <v>0</v>
      </c>
    </row>
    <row r="199" spans="1:12" x14ac:dyDescent="0.35">
      <c r="A199" t="s">
        <v>221</v>
      </c>
      <c r="B199" t="s">
        <v>17</v>
      </c>
      <c r="C199">
        <v>69</v>
      </c>
      <c r="D199">
        <v>41</v>
      </c>
      <c r="E199" t="s">
        <v>18</v>
      </c>
      <c r="F199" t="s">
        <v>33</v>
      </c>
      <c r="G199" t="s">
        <v>23</v>
      </c>
      <c r="H199">
        <v>81.94</v>
      </c>
      <c r="I199">
        <v>3294.39</v>
      </c>
      <c r="J199" t="s">
        <v>15</v>
      </c>
      <c r="K199" t="str">
        <f>IF(D199&lt;=12,"0-12 Months",IF(D199&lt;=24,"13-24 Months",IF(D199&lt;=48,"25-48 Months","49+ Months")))</f>
        <v>25-48 Months</v>
      </c>
      <c r="L199">
        <f>IF(Table1346[[#This Row],[Churn]]="Yes",1,0)</f>
        <v>0</v>
      </c>
    </row>
    <row r="200" spans="1:12" x14ac:dyDescent="0.35">
      <c r="A200" t="s">
        <v>222</v>
      </c>
      <c r="B200" t="s">
        <v>11</v>
      </c>
      <c r="C200">
        <v>32</v>
      </c>
      <c r="D200">
        <v>8</v>
      </c>
      <c r="E200" t="s">
        <v>12</v>
      </c>
      <c r="F200" t="s">
        <v>13</v>
      </c>
      <c r="G200" t="s">
        <v>14</v>
      </c>
      <c r="H200">
        <v>61.38</v>
      </c>
      <c r="I200">
        <v>504.25</v>
      </c>
      <c r="J200" t="s">
        <v>15</v>
      </c>
      <c r="K200" t="str">
        <f>IF(D200&lt;=12,"0-12 Months",IF(D200&lt;=24,"13-24 Months",IF(D200&lt;=48,"25-48 Months","49+ Months")))</f>
        <v>0-12 Months</v>
      </c>
      <c r="L200">
        <f>IF(Table1346[[#This Row],[Churn]]="Yes",1,0)</f>
        <v>0</v>
      </c>
    </row>
    <row r="201" spans="1:12" x14ac:dyDescent="0.35">
      <c r="A201" t="s">
        <v>223</v>
      </c>
      <c r="B201" t="s">
        <v>11</v>
      </c>
      <c r="C201">
        <v>64</v>
      </c>
      <c r="D201">
        <v>11</v>
      </c>
      <c r="E201" t="s">
        <v>12</v>
      </c>
      <c r="F201" t="s">
        <v>33</v>
      </c>
      <c r="G201" t="s">
        <v>23</v>
      </c>
      <c r="H201">
        <v>83.57</v>
      </c>
      <c r="I201">
        <v>941.55</v>
      </c>
      <c r="J201" t="s">
        <v>15</v>
      </c>
      <c r="K201" t="str">
        <f>IF(D201&lt;=12,"0-12 Months",IF(D201&lt;=24,"13-24 Months",IF(D201&lt;=48,"25-48 Months","49+ Months")))</f>
        <v>0-12 Months</v>
      </c>
      <c r="L201">
        <f>IF(Table1346[[#This Row],[Churn]]="Yes",1,0)</f>
        <v>0</v>
      </c>
    </row>
    <row r="202" spans="1:12" x14ac:dyDescent="0.35">
      <c r="A202" t="s">
        <v>224</v>
      </c>
      <c r="B202" t="s">
        <v>11</v>
      </c>
      <c r="C202">
        <v>39</v>
      </c>
      <c r="D202">
        <v>51</v>
      </c>
      <c r="E202" t="s">
        <v>12</v>
      </c>
      <c r="F202" t="s">
        <v>29</v>
      </c>
      <c r="G202" t="s">
        <v>14</v>
      </c>
      <c r="H202">
        <v>131.74</v>
      </c>
      <c r="I202">
        <v>6209.12</v>
      </c>
      <c r="J202" t="s">
        <v>15</v>
      </c>
      <c r="K202" t="str">
        <f>IF(D202&lt;=12,"0-12 Months",IF(D202&lt;=24,"13-24 Months",IF(D202&lt;=48,"25-48 Months","49+ Months")))</f>
        <v>49+ Months</v>
      </c>
      <c r="L202">
        <f>IF(Table1346[[#This Row],[Churn]]="Yes",1,0)</f>
        <v>0</v>
      </c>
    </row>
    <row r="203" spans="1:12" x14ac:dyDescent="0.35">
      <c r="A203" t="s">
        <v>225</v>
      </c>
      <c r="B203" t="s">
        <v>17</v>
      </c>
      <c r="C203">
        <v>31</v>
      </c>
      <c r="D203">
        <v>41</v>
      </c>
      <c r="E203" t="s">
        <v>21</v>
      </c>
      <c r="F203" t="s">
        <v>33</v>
      </c>
      <c r="G203" t="s">
        <v>14</v>
      </c>
      <c r="H203">
        <v>97</v>
      </c>
      <c r="I203">
        <v>4356.38</v>
      </c>
      <c r="J203" t="s">
        <v>15</v>
      </c>
      <c r="K203" t="str">
        <f>IF(D203&lt;=12,"0-12 Months",IF(D203&lt;=24,"13-24 Months",IF(D203&lt;=48,"25-48 Months","49+ Months")))</f>
        <v>25-48 Months</v>
      </c>
      <c r="L203">
        <f>IF(Table1346[[#This Row],[Churn]]="Yes",1,0)</f>
        <v>0</v>
      </c>
    </row>
    <row r="204" spans="1:12" x14ac:dyDescent="0.35">
      <c r="A204" t="s">
        <v>226</v>
      </c>
      <c r="B204" t="s">
        <v>11</v>
      </c>
      <c r="C204">
        <v>43</v>
      </c>
      <c r="D204">
        <v>17</v>
      </c>
      <c r="E204" t="s">
        <v>12</v>
      </c>
      <c r="F204" t="s">
        <v>13</v>
      </c>
      <c r="G204" t="s">
        <v>14</v>
      </c>
      <c r="H204">
        <v>110.3</v>
      </c>
      <c r="I204">
        <v>1757.69</v>
      </c>
      <c r="J204" t="s">
        <v>15</v>
      </c>
      <c r="K204" t="str">
        <f>IF(D204&lt;=12,"0-12 Months",IF(D204&lt;=24,"13-24 Months",IF(D204&lt;=48,"25-48 Months","49+ Months")))</f>
        <v>13-24 Months</v>
      </c>
      <c r="L204">
        <f>IF(Table1346[[#This Row],[Churn]]="Yes",1,0)</f>
        <v>0</v>
      </c>
    </row>
    <row r="205" spans="1:12" x14ac:dyDescent="0.35">
      <c r="A205" t="s">
        <v>227</v>
      </c>
      <c r="B205" t="s">
        <v>11</v>
      </c>
      <c r="C205">
        <v>45</v>
      </c>
      <c r="D205">
        <v>46</v>
      </c>
      <c r="E205" t="s">
        <v>21</v>
      </c>
      <c r="F205" t="s">
        <v>13</v>
      </c>
      <c r="G205" t="s">
        <v>14</v>
      </c>
      <c r="H205">
        <v>67.41</v>
      </c>
      <c r="I205">
        <v>3066.92</v>
      </c>
      <c r="J205" t="s">
        <v>15</v>
      </c>
      <c r="K205" t="str">
        <f>IF(D205&lt;=12,"0-12 Months",IF(D205&lt;=24,"13-24 Months",IF(D205&lt;=48,"25-48 Months","49+ Months")))</f>
        <v>25-48 Months</v>
      </c>
      <c r="L205">
        <f>IF(Table1346[[#This Row],[Churn]]="Yes",1,0)</f>
        <v>0</v>
      </c>
    </row>
    <row r="206" spans="1:12" x14ac:dyDescent="0.35">
      <c r="A206" t="s">
        <v>228</v>
      </c>
      <c r="B206" t="s">
        <v>17</v>
      </c>
      <c r="C206">
        <v>40</v>
      </c>
      <c r="D206">
        <v>32</v>
      </c>
      <c r="E206" t="s">
        <v>18</v>
      </c>
      <c r="F206" t="s">
        <v>29</v>
      </c>
      <c r="G206" t="s">
        <v>14</v>
      </c>
      <c r="H206">
        <v>116.01</v>
      </c>
      <c r="I206">
        <v>3703.5</v>
      </c>
      <c r="J206" t="s">
        <v>27</v>
      </c>
      <c r="K206" t="str">
        <f>IF(D206&lt;=12,"0-12 Months",IF(D206&lt;=24,"13-24 Months",IF(D206&lt;=48,"25-48 Months","49+ Months")))</f>
        <v>25-48 Months</v>
      </c>
      <c r="L206">
        <f>IF(Table1346[[#This Row],[Churn]]="Yes",1,0)</f>
        <v>1</v>
      </c>
    </row>
    <row r="207" spans="1:12" x14ac:dyDescent="0.35">
      <c r="A207" t="s">
        <v>229</v>
      </c>
      <c r="B207" t="s">
        <v>11</v>
      </c>
      <c r="C207">
        <v>31</v>
      </c>
      <c r="D207">
        <v>54</v>
      </c>
      <c r="E207" t="s">
        <v>12</v>
      </c>
      <c r="F207" t="s">
        <v>22</v>
      </c>
      <c r="G207" t="s">
        <v>14</v>
      </c>
      <c r="H207">
        <v>106.66</v>
      </c>
      <c r="I207">
        <v>6120.27</v>
      </c>
      <c r="J207" t="s">
        <v>15</v>
      </c>
      <c r="K207" t="str">
        <f>IF(D207&lt;=12,"0-12 Months",IF(D207&lt;=24,"13-24 Months",IF(D207&lt;=48,"25-48 Months","49+ Months")))</f>
        <v>49+ Months</v>
      </c>
      <c r="L207">
        <f>IF(Table1346[[#This Row],[Churn]]="Yes",1,0)</f>
        <v>0</v>
      </c>
    </row>
    <row r="208" spans="1:12" x14ac:dyDescent="0.35">
      <c r="A208" t="s">
        <v>230</v>
      </c>
      <c r="B208" t="s">
        <v>17</v>
      </c>
      <c r="C208">
        <v>41</v>
      </c>
      <c r="D208">
        <v>20</v>
      </c>
      <c r="E208" t="s">
        <v>18</v>
      </c>
      <c r="F208" t="s">
        <v>29</v>
      </c>
      <c r="G208" t="s">
        <v>14</v>
      </c>
      <c r="H208">
        <v>35.54</v>
      </c>
      <c r="I208">
        <v>653.83000000000004</v>
      </c>
      <c r="J208" t="s">
        <v>27</v>
      </c>
      <c r="K208" t="str">
        <f>IF(D208&lt;=12,"0-12 Months",IF(D208&lt;=24,"13-24 Months",IF(D208&lt;=48,"25-48 Months","49+ Months")))</f>
        <v>13-24 Months</v>
      </c>
      <c r="L208">
        <f>IF(Table1346[[#This Row],[Churn]]="Yes",1,0)</f>
        <v>1</v>
      </c>
    </row>
    <row r="209" spans="1:12" x14ac:dyDescent="0.35">
      <c r="A209" t="s">
        <v>231</v>
      </c>
      <c r="B209" t="s">
        <v>17</v>
      </c>
      <c r="C209">
        <v>19</v>
      </c>
      <c r="D209">
        <v>33</v>
      </c>
      <c r="E209" t="s">
        <v>12</v>
      </c>
      <c r="F209" t="s">
        <v>33</v>
      </c>
      <c r="G209" t="s">
        <v>19</v>
      </c>
      <c r="H209">
        <v>94.44</v>
      </c>
      <c r="I209">
        <v>3072.04</v>
      </c>
      <c r="J209" t="s">
        <v>15</v>
      </c>
      <c r="K209" t="str">
        <f>IF(D209&lt;=12,"0-12 Months",IF(D209&lt;=24,"13-24 Months",IF(D209&lt;=48,"25-48 Months","49+ Months")))</f>
        <v>25-48 Months</v>
      </c>
      <c r="L209">
        <f>IF(Table1346[[#This Row],[Churn]]="Yes",1,0)</f>
        <v>0</v>
      </c>
    </row>
    <row r="210" spans="1:12" x14ac:dyDescent="0.35">
      <c r="A210" t="s">
        <v>232</v>
      </c>
      <c r="B210" t="s">
        <v>17</v>
      </c>
      <c r="C210">
        <v>62</v>
      </c>
      <c r="D210">
        <v>40</v>
      </c>
      <c r="E210" t="s">
        <v>18</v>
      </c>
      <c r="F210" t="s">
        <v>33</v>
      </c>
      <c r="G210" t="s">
        <v>23</v>
      </c>
      <c r="H210">
        <v>53.38</v>
      </c>
      <c r="I210">
        <v>2190.08</v>
      </c>
      <c r="J210" t="s">
        <v>27</v>
      </c>
      <c r="K210" t="str">
        <f>IF(D210&lt;=12,"0-12 Months",IF(D210&lt;=24,"13-24 Months",IF(D210&lt;=48,"25-48 Months","49+ Months")))</f>
        <v>25-48 Months</v>
      </c>
      <c r="L210">
        <f>IF(Table1346[[#This Row],[Churn]]="Yes",1,0)</f>
        <v>1</v>
      </c>
    </row>
    <row r="211" spans="1:12" x14ac:dyDescent="0.35">
      <c r="A211" t="s">
        <v>233</v>
      </c>
      <c r="B211" t="s">
        <v>11</v>
      </c>
      <c r="C211">
        <v>43</v>
      </c>
      <c r="D211">
        <v>32</v>
      </c>
      <c r="E211" t="s">
        <v>21</v>
      </c>
      <c r="F211" t="s">
        <v>29</v>
      </c>
      <c r="G211" t="s">
        <v>14</v>
      </c>
      <c r="H211">
        <v>124.53</v>
      </c>
      <c r="I211">
        <v>3757.94</v>
      </c>
      <c r="J211" t="s">
        <v>27</v>
      </c>
      <c r="K211" t="str">
        <f>IF(D211&lt;=12,"0-12 Months",IF(D211&lt;=24,"13-24 Months",IF(D211&lt;=48,"25-48 Months","49+ Months")))</f>
        <v>25-48 Months</v>
      </c>
      <c r="L211">
        <f>IF(Table1346[[#This Row],[Churn]]="Yes",1,0)</f>
        <v>1</v>
      </c>
    </row>
    <row r="212" spans="1:12" x14ac:dyDescent="0.35">
      <c r="A212" t="s">
        <v>234</v>
      </c>
      <c r="B212" t="s">
        <v>11</v>
      </c>
      <c r="C212">
        <v>31</v>
      </c>
      <c r="D212">
        <v>2</v>
      </c>
      <c r="E212" t="s">
        <v>18</v>
      </c>
      <c r="F212" t="s">
        <v>33</v>
      </c>
      <c r="G212" t="s">
        <v>14</v>
      </c>
      <c r="H212">
        <v>75.37</v>
      </c>
      <c r="I212">
        <v>154.58000000000001</v>
      </c>
      <c r="J212" t="s">
        <v>27</v>
      </c>
      <c r="K212" t="str">
        <f>IF(D212&lt;=12,"0-12 Months",IF(D212&lt;=24,"13-24 Months",IF(D212&lt;=48,"25-48 Months","49+ Months")))</f>
        <v>0-12 Months</v>
      </c>
      <c r="L212">
        <f>IF(Table1346[[#This Row],[Churn]]="Yes",1,0)</f>
        <v>1</v>
      </c>
    </row>
    <row r="213" spans="1:12" x14ac:dyDescent="0.35">
      <c r="A213" t="s">
        <v>235</v>
      </c>
      <c r="B213" t="s">
        <v>11</v>
      </c>
      <c r="C213">
        <v>68</v>
      </c>
      <c r="D213">
        <v>33</v>
      </c>
      <c r="E213" t="s">
        <v>12</v>
      </c>
      <c r="F213" t="s">
        <v>22</v>
      </c>
      <c r="G213" t="s">
        <v>23</v>
      </c>
      <c r="H213">
        <v>149.31</v>
      </c>
      <c r="I213">
        <v>5344.73</v>
      </c>
      <c r="J213" t="s">
        <v>15</v>
      </c>
      <c r="K213" t="str">
        <f>IF(D213&lt;=12,"0-12 Months",IF(D213&lt;=24,"13-24 Months",IF(D213&lt;=48,"25-48 Months","49+ Months")))</f>
        <v>25-48 Months</v>
      </c>
      <c r="L213">
        <f>IF(Table1346[[#This Row],[Churn]]="Yes",1,0)</f>
        <v>0</v>
      </c>
    </row>
    <row r="214" spans="1:12" x14ac:dyDescent="0.35">
      <c r="A214" t="s">
        <v>236</v>
      </c>
      <c r="B214" t="s">
        <v>11</v>
      </c>
      <c r="C214">
        <v>24</v>
      </c>
      <c r="D214">
        <v>30</v>
      </c>
      <c r="E214" t="s">
        <v>12</v>
      </c>
      <c r="F214" t="s">
        <v>22</v>
      </c>
      <c r="G214" t="s">
        <v>19</v>
      </c>
      <c r="H214">
        <v>32.03</v>
      </c>
      <c r="I214">
        <v>1056.51</v>
      </c>
      <c r="J214" t="s">
        <v>27</v>
      </c>
      <c r="K214" t="str">
        <f>IF(D214&lt;=12,"0-12 Months",IF(D214&lt;=24,"13-24 Months",IF(D214&lt;=48,"25-48 Months","49+ Months")))</f>
        <v>25-48 Months</v>
      </c>
      <c r="L214">
        <f>IF(Table1346[[#This Row],[Churn]]="Yes",1,0)</f>
        <v>1</v>
      </c>
    </row>
    <row r="215" spans="1:12" x14ac:dyDescent="0.35">
      <c r="A215" t="s">
        <v>237</v>
      </c>
      <c r="B215" t="s">
        <v>11</v>
      </c>
      <c r="C215">
        <v>20</v>
      </c>
      <c r="D215">
        <v>33</v>
      </c>
      <c r="E215" t="s">
        <v>12</v>
      </c>
      <c r="F215" t="s">
        <v>13</v>
      </c>
      <c r="G215" t="s">
        <v>19</v>
      </c>
      <c r="H215">
        <v>121.45</v>
      </c>
      <c r="I215">
        <v>3633.08</v>
      </c>
      <c r="J215" t="s">
        <v>15</v>
      </c>
      <c r="K215" t="str">
        <f>IF(D215&lt;=12,"0-12 Months",IF(D215&lt;=24,"13-24 Months",IF(D215&lt;=48,"25-48 Months","49+ Months")))</f>
        <v>25-48 Months</v>
      </c>
      <c r="L215">
        <f>IF(Table1346[[#This Row],[Churn]]="Yes",1,0)</f>
        <v>0</v>
      </c>
    </row>
    <row r="216" spans="1:12" x14ac:dyDescent="0.35">
      <c r="A216" t="s">
        <v>238</v>
      </c>
      <c r="B216" t="s">
        <v>11</v>
      </c>
      <c r="C216">
        <v>64</v>
      </c>
      <c r="D216">
        <v>26</v>
      </c>
      <c r="E216" t="s">
        <v>12</v>
      </c>
      <c r="F216" t="s">
        <v>29</v>
      </c>
      <c r="G216" t="s">
        <v>23</v>
      </c>
      <c r="H216">
        <v>107.58</v>
      </c>
      <c r="I216">
        <v>2649.16</v>
      </c>
      <c r="J216" t="s">
        <v>27</v>
      </c>
      <c r="K216" t="str">
        <f>IF(D216&lt;=12,"0-12 Months",IF(D216&lt;=24,"13-24 Months",IF(D216&lt;=48,"25-48 Months","49+ Months")))</f>
        <v>25-48 Months</v>
      </c>
      <c r="L216">
        <f>IF(Table1346[[#This Row],[Churn]]="Yes",1,0)</f>
        <v>1</v>
      </c>
    </row>
    <row r="217" spans="1:12" x14ac:dyDescent="0.35">
      <c r="A217" t="s">
        <v>239</v>
      </c>
      <c r="B217" t="s">
        <v>11</v>
      </c>
      <c r="C217">
        <v>40</v>
      </c>
      <c r="D217">
        <v>22</v>
      </c>
      <c r="E217" t="s">
        <v>12</v>
      </c>
      <c r="F217" t="s">
        <v>29</v>
      </c>
      <c r="G217" t="s">
        <v>14</v>
      </c>
      <c r="H217">
        <v>119.77</v>
      </c>
      <c r="I217">
        <v>2534.9699999999998</v>
      </c>
      <c r="J217" t="s">
        <v>15</v>
      </c>
      <c r="K217" t="str">
        <f>IF(D217&lt;=12,"0-12 Months",IF(D217&lt;=24,"13-24 Months",IF(D217&lt;=48,"25-48 Months","49+ Months")))</f>
        <v>13-24 Months</v>
      </c>
      <c r="L217">
        <f>IF(Table1346[[#This Row],[Churn]]="Yes",1,0)</f>
        <v>0</v>
      </c>
    </row>
    <row r="218" spans="1:12" x14ac:dyDescent="0.35">
      <c r="A218" t="s">
        <v>240</v>
      </c>
      <c r="B218" t="s">
        <v>17</v>
      </c>
      <c r="C218">
        <v>63</v>
      </c>
      <c r="D218">
        <v>66</v>
      </c>
      <c r="E218" t="s">
        <v>12</v>
      </c>
      <c r="F218" t="s">
        <v>29</v>
      </c>
      <c r="G218" t="s">
        <v>23</v>
      </c>
      <c r="H218">
        <v>59.98</v>
      </c>
      <c r="I218">
        <v>3878.81</v>
      </c>
      <c r="J218" t="s">
        <v>27</v>
      </c>
      <c r="K218" t="str">
        <f>IF(D218&lt;=12,"0-12 Months",IF(D218&lt;=24,"13-24 Months",IF(D218&lt;=48,"25-48 Months","49+ Months")))</f>
        <v>49+ Months</v>
      </c>
      <c r="L218">
        <f>IF(Table1346[[#This Row],[Churn]]="Yes",1,0)</f>
        <v>1</v>
      </c>
    </row>
    <row r="219" spans="1:12" x14ac:dyDescent="0.35">
      <c r="A219" t="s">
        <v>241</v>
      </c>
      <c r="B219" t="s">
        <v>11</v>
      </c>
      <c r="C219">
        <v>60</v>
      </c>
      <c r="D219">
        <v>38</v>
      </c>
      <c r="E219" t="s">
        <v>12</v>
      </c>
      <c r="F219" t="s">
        <v>33</v>
      </c>
      <c r="G219" t="s">
        <v>23</v>
      </c>
      <c r="H219">
        <v>83.97</v>
      </c>
      <c r="I219">
        <v>3026.38</v>
      </c>
      <c r="J219" t="s">
        <v>15</v>
      </c>
      <c r="K219" t="str">
        <f>IF(D219&lt;=12,"0-12 Months",IF(D219&lt;=24,"13-24 Months",IF(D219&lt;=48,"25-48 Months","49+ Months")))</f>
        <v>25-48 Months</v>
      </c>
      <c r="L219">
        <f>IF(Table1346[[#This Row],[Churn]]="Yes",1,0)</f>
        <v>0</v>
      </c>
    </row>
    <row r="220" spans="1:12" x14ac:dyDescent="0.35">
      <c r="A220" t="s">
        <v>242</v>
      </c>
      <c r="B220" t="s">
        <v>17</v>
      </c>
      <c r="C220">
        <v>64</v>
      </c>
      <c r="D220">
        <v>46</v>
      </c>
      <c r="E220" t="s">
        <v>12</v>
      </c>
      <c r="F220" t="s">
        <v>29</v>
      </c>
      <c r="G220" t="s">
        <v>23</v>
      </c>
      <c r="H220">
        <v>123.55</v>
      </c>
      <c r="I220">
        <v>5346.27</v>
      </c>
      <c r="J220" t="s">
        <v>15</v>
      </c>
      <c r="K220" t="str">
        <f>IF(D220&lt;=12,"0-12 Months",IF(D220&lt;=24,"13-24 Months",IF(D220&lt;=48,"25-48 Months","49+ Months")))</f>
        <v>25-48 Months</v>
      </c>
      <c r="L220">
        <f>IF(Table1346[[#This Row],[Churn]]="Yes",1,0)</f>
        <v>0</v>
      </c>
    </row>
    <row r="221" spans="1:12" x14ac:dyDescent="0.35">
      <c r="A221" t="s">
        <v>243</v>
      </c>
      <c r="B221" t="s">
        <v>11</v>
      </c>
      <c r="C221">
        <v>62</v>
      </c>
      <c r="D221">
        <v>15</v>
      </c>
      <c r="E221" t="s">
        <v>18</v>
      </c>
      <c r="F221" t="s">
        <v>33</v>
      </c>
      <c r="G221" t="s">
        <v>23</v>
      </c>
      <c r="H221">
        <v>50.23</v>
      </c>
      <c r="I221">
        <v>821.95</v>
      </c>
      <c r="J221" t="s">
        <v>27</v>
      </c>
      <c r="K221" t="str">
        <f>IF(D221&lt;=12,"0-12 Months",IF(D221&lt;=24,"13-24 Months",IF(D221&lt;=48,"25-48 Months","49+ Months")))</f>
        <v>13-24 Months</v>
      </c>
      <c r="L221">
        <f>IF(Table1346[[#This Row],[Churn]]="Yes",1,0)</f>
        <v>1</v>
      </c>
    </row>
    <row r="222" spans="1:12" x14ac:dyDescent="0.35">
      <c r="A222" t="s">
        <v>244</v>
      </c>
      <c r="B222" t="s">
        <v>11</v>
      </c>
      <c r="C222">
        <v>35</v>
      </c>
      <c r="D222">
        <v>44</v>
      </c>
      <c r="E222" t="s">
        <v>12</v>
      </c>
      <c r="F222" t="s">
        <v>29</v>
      </c>
      <c r="G222" t="s">
        <v>14</v>
      </c>
      <c r="H222">
        <v>49.38</v>
      </c>
      <c r="I222">
        <v>2354.59</v>
      </c>
      <c r="J222" t="s">
        <v>15</v>
      </c>
      <c r="K222" t="str">
        <f>IF(D222&lt;=12,"0-12 Months",IF(D222&lt;=24,"13-24 Months",IF(D222&lt;=48,"25-48 Months","49+ Months")))</f>
        <v>25-48 Months</v>
      </c>
      <c r="L222">
        <f>IF(Table1346[[#This Row],[Churn]]="Yes",1,0)</f>
        <v>0</v>
      </c>
    </row>
    <row r="223" spans="1:12" x14ac:dyDescent="0.35">
      <c r="A223" t="s">
        <v>245</v>
      </c>
      <c r="B223" t="s">
        <v>11</v>
      </c>
      <c r="C223">
        <v>55</v>
      </c>
      <c r="D223">
        <v>49</v>
      </c>
      <c r="E223" t="s">
        <v>12</v>
      </c>
      <c r="F223" t="s">
        <v>13</v>
      </c>
      <c r="G223" t="s">
        <v>23</v>
      </c>
      <c r="H223">
        <v>91.64</v>
      </c>
      <c r="I223">
        <v>4083.53</v>
      </c>
      <c r="J223" t="s">
        <v>15</v>
      </c>
      <c r="K223" t="str">
        <f>IF(D223&lt;=12,"0-12 Months",IF(D223&lt;=24,"13-24 Months",IF(D223&lt;=48,"25-48 Months","49+ Months")))</f>
        <v>49+ Months</v>
      </c>
      <c r="L223">
        <f>IF(Table1346[[#This Row],[Churn]]="Yes",1,0)</f>
        <v>0</v>
      </c>
    </row>
    <row r="224" spans="1:12" x14ac:dyDescent="0.35">
      <c r="A224" t="s">
        <v>246</v>
      </c>
      <c r="B224" t="s">
        <v>17</v>
      </c>
      <c r="C224">
        <v>52</v>
      </c>
      <c r="D224">
        <v>61</v>
      </c>
      <c r="E224" t="s">
        <v>12</v>
      </c>
      <c r="F224" t="s">
        <v>22</v>
      </c>
      <c r="G224" t="s">
        <v>23</v>
      </c>
      <c r="H224">
        <v>88.06</v>
      </c>
      <c r="I224">
        <v>5198.49</v>
      </c>
      <c r="J224" t="s">
        <v>27</v>
      </c>
      <c r="K224" t="str">
        <f>IF(D224&lt;=12,"0-12 Months",IF(D224&lt;=24,"13-24 Months",IF(D224&lt;=48,"25-48 Months","49+ Months")))</f>
        <v>49+ Months</v>
      </c>
      <c r="L224">
        <f>IF(Table1346[[#This Row],[Churn]]="Yes",1,0)</f>
        <v>1</v>
      </c>
    </row>
    <row r="225" spans="1:12" x14ac:dyDescent="0.35">
      <c r="A225" t="s">
        <v>247</v>
      </c>
      <c r="B225" t="s">
        <v>17</v>
      </c>
      <c r="C225">
        <v>68</v>
      </c>
      <c r="D225">
        <v>67</v>
      </c>
      <c r="E225" t="s">
        <v>12</v>
      </c>
      <c r="F225" t="s">
        <v>33</v>
      </c>
      <c r="G225" t="s">
        <v>23</v>
      </c>
      <c r="H225">
        <v>56.69</v>
      </c>
      <c r="I225">
        <v>3726.18</v>
      </c>
      <c r="J225" t="s">
        <v>15</v>
      </c>
      <c r="K225" t="str">
        <f>IF(D225&lt;=12,"0-12 Months",IF(D225&lt;=24,"13-24 Months",IF(D225&lt;=48,"25-48 Months","49+ Months")))</f>
        <v>49+ Months</v>
      </c>
      <c r="L225">
        <f>IF(Table1346[[#This Row],[Churn]]="Yes",1,0)</f>
        <v>0</v>
      </c>
    </row>
    <row r="226" spans="1:12" x14ac:dyDescent="0.35">
      <c r="A226" t="s">
        <v>248</v>
      </c>
      <c r="B226" t="s">
        <v>17</v>
      </c>
      <c r="C226">
        <v>32</v>
      </c>
      <c r="D226">
        <v>6</v>
      </c>
      <c r="E226" t="s">
        <v>18</v>
      </c>
      <c r="F226" t="s">
        <v>29</v>
      </c>
      <c r="G226" t="s">
        <v>14</v>
      </c>
      <c r="H226">
        <v>58.75</v>
      </c>
      <c r="I226">
        <v>334.1</v>
      </c>
      <c r="J226" t="s">
        <v>15</v>
      </c>
      <c r="K226" t="str">
        <f>IF(D226&lt;=12,"0-12 Months",IF(D226&lt;=24,"13-24 Months",IF(D226&lt;=48,"25-48 Months","49+ Months")))</f>
        <v>0-12 Months</v>
      </c>
      <c r="L226">
        <f>IF(Table1346[[#This Row],[Churn]]="Yes",1,0)</f>
        <v>0</v>
      </c>
    </row>
    <row r="227" spans="1:12" x14ac:dyDescent="0.35">
      <c r="A227" t="s">
        <v>249</v>
      </c>
      <c r="B227" t="s">
        <v>17</v>
      </c>
      <c r="C227">
        <v>42</v>
      </c>
      <c r="D227">
        <v>9</v>
      </c>
      <c r="E227" t="s">
        <v>12</v>
      </c>
      <c r="F227" t="s">
        <v>13</v>
      </c>
      <c r="G227" t="s">
        <v>14</v>
      </c>
      <c r="H227">
        <v>56.12</v>
      </c>
      <c r="I227">
        <v>518.1</v>
      </c>
      <c r="J227" t="s">
        <v>15</v>
      </c>
      <c r="K227" t="str">
        <f>IF(D227&lt;=12,"0-12 Months",IF(D227&lt;=24,"13-24 Months",IF(D227&lt;=48,"25-48 Months","49+ Months")))</f>
        <v>0-12 Months</v>
      </c>
      <c r="L227">
        <f>IF(Table1346[[#This Row],[Churn]]="Yes",1,0)</f>
        <v>0</v>
      </c>
    </row>
    <row r="228" spans="1:12" x14ac:dyDescent="0.35">
      <c r="A228" t="s">
        <v>250</v>
      </c>
      <c r="B228" t="s">
        <v>11</v>
      </c>
      <c r="C228">
        <v>54</v>
      </c>
      <c r="D228">
        <v>6</v>
      </c>
      <c r="E228" t="s">
        <v>21</v>
      </c>
      <c r="F228" t="s">
        <v>13</v>
      </c>
      <c r="G228" t="s">
        <v>23</v>
      </c>
      <c r="H228">
        <v>120.3</v>
      </c>
      <c r="I228">
        <v>742.07</v>
      </c>
      <c r="J228" t="s">
        <v>27</v>
      </c>
      <c r="K228" t="str">
        <f>IF(D228&lt;=12,"0-12 Months",IF(D228&lt;=24,"13-24 Months",IF(D228&lt;=48,"25-48 Months","49+ Months")))</f>
        <v>0-12 Months</v>
      </c>
      <c r="L228">
        <f>IF(Table1346[[#This Row],[Churn]]="Yes",1,0)</f>
        <v>1</v>
      </c>
    </row>
    <row r="229" spans="1:12" x14ac:dyDescent="0.35">
      <c r="A229" t="s">
        <v>251</v>
      </c>
      <c r="B229" t="s">
        <v>17</v>
      </c>
      <c r="C229">
        <v>45</v>
      </c>
      <c r="D229">
        <v>32</v>
      </c>
      <c r="E229" t="s">
        <v>18</v>
      </c>
      <c r="F229" t="s">
        <v>29</v>
      </c>
      <c r="G229" t="s">
        <v>14</v>
      </c>
      <c r="H229">
        <v>104.75</v>
      </c>
      <c r="I229">
        <v>3586.98</v>
      </c>
      <c r="J229" t="s">
        <v>15</v>
      </c>
      <c r="K229" t="str">
        <f>IF(D229&lt;=12,"0-12 Months",IF(D229&lt;=24,"13-24 Months",IF(D229&lt;=48,"25-48 Months","49+ Months")))</f>
        <v>25-48 Months</v>
      </c>
      <c r="L229">
        <f>IF(Table1346[[#This Row],[Churn]]="Yes",1,0)</f>
        <v>0</v>
      </c>
    </row>
    <row r="230" spans="1:12" x14ac:dyDescent="0.35">
      <c r="A230" t="s">
        <v>252</v>
      </c>
      <c r="B230" t="s">
        <v>11</v>
      </c>
      <c r="C230">
        <v>27</v>
      </c>
      <c r="D230">
        <v>41</v>
      </c>
      <c r="E230" t="s">
        <v>18</v>
      </c>
      <c r="F230" t="s">
        <v>29</v>
      </c>
      <c r="G230" t="s">
        <v>19</v>
      </c>
      <c r="H230">
        <v>128.21</v>
      </c>
      <c r="I230">
        <v>5509.84</v>
      </c>
      <c r="J230" t="s">
        <v>15</v>
      </c>
      <c r="K230" t="str">
        <f>IF(D230&lt;=12,"0-12 Months",IF(D230&lt;=24,"13-24 Months",IF(D230&lt;=48,"25-48 Months","49+ Months")))</f>
        <v>25-48 Months</v>
      </c>
      <c r="L230">
        <f>IF(Table1346[[#This Row],[Churn]]="Yes",1,0)</f>
        <v>0</v>
      </c>
    </row>
    <row r="231" spans="1:12" x14ac:dyDescent="0.35">
      <c r="A231" t="s">
        <v>253</v>
      </c>
      <c r="B231" t="s">
        <v>11</v>
      </c>
      <c r="C231">
        <v>56</v>
      </c>
      <c r="D231">
        <v>8</v>
      </c>
      <c r="E231" t="s">
        <v>21</v>
      </c>
      <c r="F231" t="s">
        <v>13</v>
      </c>
      <c r="G231" t="s">
        <v>23</v>
      </c>
      <c r="H231">
        <v>146.81</v>
      </c>
      <c r="I231">
        <v>1184.48</v>
      </c>
      <c r="J231" t="s">
        <v>15</v>
      </c>
      <c r="K231" t="str">
        <f>IF(D231&lt;=12,"0-12 Months",IF(D231&lt;=24,"13-24 Months",IF(D231&lt;=48,"25-48 Months","49+ Months")))</f>
        <v>0-12 Months</v>
      </c>
      <c r="L231">
        <f>IF(Table1346[[#This Row],[Churn]]="Yes",1,0)</f>
        <v>0</v>
      </c>
    </row>
    <row r="232" spans="1:12" x14ac:dyDescent="0.35">
      <c r="A232" t="s">
        <v>254</v>
      </c>
      <c r="B232" t="s">
        <v>17</v>
      </c>
      <c r="C232">
        <v>34</v>
      </c>
      <c r="D232">
        <v>72</v>
      </c>
      <c r="E232" t="s">
        <v>18</v>
      </c>
      <c r="F232" t="s">
        <v>13</v>
      </c>
      <c r="G232" t="s">
        <v>14</v>
      </c>
      <c r="H232">
        <v>81.64</v>
      </c>
      <c r="I232">
        <v>6058.64</v>
      </c>
      <c r="J232" t="s">
        <v>15</v>
      </c>
      <c r="K232" t="str">
        <f>IF(D232&lt;=12,"0-12 Months",IF(D232&lt;=24,"13-24 Months",IF(D232&lt;=48,"25-48 Months","49+ Months")))</f>
        <v>49+ Months</v>
      </c>
      <c r="L232">
        <f>IF(Table1346[[#This Row],[Churn]]="Yes",1,0)</f>
        <v>0</v>
      </c>
    </row>
    <row r="233" spans="1:12" x14ac:dyDescent="0.35">
      <c r="A233" t="s">
        <v>255</v>
      </c>
      <c r="B233" t="s">
        <v>17</v>
      </c>
      <c r="C233">
        <v>56</v>
      </c>
      <c r="D233">
        <v>50</v>
      </c>
      <c r="E233" t="s">
        <v>18</v>
      </c>
      <c r="F233" t="s">
        <v>22</v>
      </c>
      <c r="G233" t="s">
        <v>23</v>
      </c>
      <c r="H233">
        <v>28.67</v>
      </c>
      <c r="I233">
        <v>1368.7</v>
      </c>
      <c r="J233" t="s">
        <v>15</v>
      </c>
      <c r="K233" t="str">
        <f>IF(D233&lt;=12,"0-12 Months",IF(D233&lt;=24,"13-24 Months",IF(D233&lt;=48,"25-48 Months","49+ Months")))</f>
        <v>49+ Months</v>
      </c>
      <c r="L233">
        <f>IF(Table1346[[#This Row],[Churn]]="Yes",1,0)</f>
        <v>0</v>
      </c>
    </row>
    <row r="234" spans="1:12" x14ac:dyDescent="0.35">
      <c r="A234" t="s">
        <v>256</v>
      </c>
      <c r="B234" t="s">
        <v>17</v>
      </c>
      <c r="C234">
        <v>39</v>
      </c>
      <c r="D234">
        <v>62</v>
      </c>
      <c r="E234" t="s">
        <v>21</v>
      </c>
      <c r="F234" t="s">
        <v>13</v>
      </c>
      <c r="G234" t="s">
        <v>14</v>
      </c>
      <c r="H234">
        <v>26.25</v>
      </c>
      <c r="I234">
        <v>1657.79</v>
      </c>
      <c r="J234" t="s">
        <v>15</v>
      </c>
      <c r="K234" t="str">
        <f>IF(D234&lt;=12,"0-12 Months",IF(D234&lt;=24,"13-24 Months",IF(D234&lt;=48,"25-48 Months","49+ Months")))</f>
        <v>49+ Months</v>
      </c>
      <c r="L234">
        <f>IF(Table1346[[#This Row],[Churn]]="Yes",1,0)</f>
        <v>0</v>
      </c>
    </row>
    <row r="235" spans="1:12" x14ac:dyDescent="0.35">
      <c r="A235" t="s">
        <v>257</v>
      </c>
      <c r="B235" t="s">
        <v>17</v>
      </c>
      <c r="C235">
        <v>43</v>
      </c>
      <c r="D235">
        <v>62</v>
      </c>
      <c r="E235" t="s">
        <v>21</v>
      </c>
      <c r="F235" t="s">
        <v>13</v>
      </c>
      <c r="G235" t="s">
        <v>14</v>
      </c>
      <c r="H235">
        <v>58.44</v>
      </c>
      <c r="I235">
        <v>3615.47</v>
      </c>
      <c r="J235" t="s">
        <v>15</v>
      </c>
      <c r="K235" t="str">
        <f>IF(D235&lt;=12,"0-12 Months",IF(D235&lt;=24,"13-24 Months",IF(D235&lt;=48,"25-48 Months","49+ Months")))</f>
        <v>49+ Months</v>
      </c>
      <c r="L235">
        <f>IF(Table1346[[#This Row],[Churn]]="Yes",1,0)</f>
        <v>0</v>
      </c>
    </row>
    <row r="236" spans="1:12" x14ac:dyDescent="0.35">
      <c r="A236" t="s">
        <v>258</v>
      </c>
      <c r="B236" t="s">
        <v>17</v>
      </c>
      <c r="C236">
        <v>61</v>
      </c>
      <c r="D236">
        <v>7</v>
      </c>
      <c r="E236" t="s">
        <v>21</v>
      </c>
      <c r="F236" t="s">
        <v>13</v>
      </c>
      <c r="G236" t="s">
        <v>23</v>
      </c>
      <c r="H236">
        <v>141.22999999999999</v>
      </c>
      <c r="I236">
        <v>916.11</v>
      </c>
      <c r="J236" t="s">
        <v>27</v>
      </c>
      <c r="K236" t="str">
        <f>IF(D236&lt;=12,"0-12 Months",IF(D236&lt;=24,"13-24 Months",IF(D236&lt;=48,"25-48 Months","49+ Months")))</f>
        <v>0-12 Months</v>
      </c>
      <c r="L236">
        <f>IF(Table1346[[#This Row],[Churn]]="Yes",1,0)</f>
        <v>1</v>
      </c>
    </row>
    <row r="237" spans="1:12" x14ac:dyDescent="0.35">
      <c r="A237" t="s">
        <v>259</v>
      </c>
      <c r="B237" t="s">
        <v>17</v>
      </c>
      <c r="C237">
        <v>42</v>
      </c>
      <c r="D237">
        <v>4</v>
      </c>
      <c r="E237" t="s">
        <v>12</v>
      </c>
      <c r="F237" t="s">
        <v>22</v>
      </c>
      <c r="G237" t="s">
        <v>14</v>
      </c>
      <c r="H237">
        <v>88.02</v>
      </c>
      <c r="I237">
        <v>333.95</v>
      </c>
      <c r="J237" t="s">
        <v>15</v>
      </c>
      <c r="K237" t="str">
        <f>IF(D237&lt;=12,"0-12 Months",IF(D237&lt;=24,"13-24 Months",IF(D237&lt;=48,"25-48 Months","49+ Months")))</f>
        <v>0-12 Months</v>
      </c>
      <c r="L237">
        <f>IF(Table1346[[#This Row],[Churn]]="Yes",1,0)</f>
        <v>0</v>
      </c>
    </row>
    <row r="238" spans="1:12" x14ac:dyDescent="0.35">
      <c r="A238" t="s">
        <v>260</v>
      </c>
      <c r="B238" t="s">
        <v>17</v>
      </c>
      <c r="C238">
        <v>34</v>
      </c>
      <c r="D238">
        <v>6</v>
      </c>
      <c r="E238" t="s">
        <v>21</v>
      </c>
      <c r="F238" t="s">
        <v>33</v>
      </c>
      <c r="G238" t="s">
        <v>14</v>
      </c>
      <c r="H238">
        <v>55.33</v>
      </c>
      <c r="I238">
        <v>318.14999999999998</v>
      </c>
      <c r="J238" t="s">
        <v>15</v>
      </c>
      <c r="K238" t="str">
        <f>IF(D238&lt;=12,"0-12 Months",IF(D238&lt;=24,"13-24 Months",IF(D238&lt;=48,"25-48 Months","49+ Months")))</f>
        <v>0-12 Months</v>
      </c>
      <c r="L238">
        <f>IF(Table1346[[#This Row],[Churn]]="Yes",1,0)</f>
        <v>0</v>
      </c>
    </row>
    <row r="239" spans="1:12" x14ac:dyDescent="0.35">
      <c r="A239" t="s">
        <v>261</v>
      </c>
      <c r="B239" t="s">
        <v>17</v>
      </c>
      <c r="C239">
        <v>30</v>
      </c>
      <c r="D239">
        <v>58</v>
      </c>
      <c r="E239" t="s">
        <v>12</v>
      </c>
      <c r="F239" t="s">
        <v>13</v>
      </c>
      <c r="G239" t="s">
        <v>14</v>
      </c>
      <c r="H239">
        <v>71.89</v>
      </c>
      <c r="I239">
        <v>4523.46</v>
      </c>
      <c r="J239" t="s">
        <v>27</v>
      </c>
      <c r="K239" t="str">
        <f>IF(D239&lt;=12,"0-12 Months",IF(D239&lt;=24,"13-24 Months",IF(D239&lt;=48,"25-48 Months","49+ Months")))</f>
        <v>49+ Months</v>
      </c>
      <c r="L239">
        <f>IF(Table1346[[#This Row],[Churn]]="Yes",1,0)</f>
        <v>1</v>
      </c>
    </row>
    <row r="240" spans="1:12" x14ac:dyDescent="0.35">
      <c r="A240" t="s">
        <v>262</v>
      </c>
      <c r="B240" t="s">
        <v>11</v>
      </c>
      <c r="C240">
        <v>37</v>
      </c>
      <c r="D240">
        <v>22</v>
      </c>
      <c r="E240" t="s">
        <v>12</v>
      </c>
      <c r="F240" t="s">
        <v>22</v>
      </c>
      <c r="G240" t="s">
        <v>14</v>
      </c>
      <c r="H240">
        <v>97.82</v>
      </c>
      <c r="I240">
        <v>2036</v>
      </c>
      <c r="J240" t="s">
        <v>15</v>
      </c>
      <c r="K240" t="str">
        <f>IF(D240&lt;=12,"0-12 Months",IF(D240&lt;=24,"13-24 Months",IF(D240&lt;=48,"25-48 Months","49+ Months")))</f>
        <v>13-24 Months</v>
      </c>
      <c r="L240">
        <f>IF(Table1346[[#This Row],[Churn]]="Yes",1,0)</f>
        <v>0</v>
      </c>
    </row>
    <row r="241" spans="1:12" x14ac:dyDescent="0.35">
      <c r="A241" t="s">
        <v>263</v>
      </c>
      <c r="B241" t="s">
        <v>17</v>
      </c>
      <c r="C241">
        <v>42</v>
      </c>
      <c r="D241">
        <v>26</v>
      </c>
      <c r="E241" t="s">
        <v>12</v>
      </c>
      <c r="F241" t="s">
        <v>29</v>
      </c>
      <c r="G241" t="s">
        <v>14</v>
      </c>
      <c r="H241">
        <v>104.88</v>
      </c>
      <c r="I241">
        <v>2611.94</v>
      </c>
      <c r="J241" t="s">
        <v>27</v>
      </c>
      <c r="K241" t="str">
        <f>IF(D241&lt;=12,"0-12 Months",IF(D241&lt;=24,"13-24 Months",IF(D241&lt;=48,"25-48 Months","49+ Months")))</f>
        <v>25-48 Months</v>
      </c>
      <c r="L241">
        <f>IF(Table1346[[#This Row],[Churn]]="Yes",1,0)</f>
        <v>1</v>
      </c>
    </row>
    <row r="242" spans="1:12" x14ac:dyDescent="0.35">
      <c r="A242" t="s">
        <v>264</v>
      </c>
      <c r="B242" t="s">
        <v>17</v>
      </c>
      <c r="C242">
        <v>21</v>
      </c>
      <c r="D242">
        <v>3</v>
      </c>
      <c r="E242" t="s">
        <v>12</v>
      </c>
      <c r="F242" t="s">
        <v>13</v>
      </c>
      <c r="G242" t="s">
        <v>19</v>
      </c>
      <c r="H242">
        <v>40.01</v>
      </c>
      <c r="I242">
        <v>116.89</v>
      </c>
      <c r="J242" t="s">
        <v>27</v>
      </c>
      <c r="K242" t="str">
        <f>IF(D242&lt;=12,"0-12 Months",IF(D242&lt;=24,"13-24 Months",IF(D242&lt;=48,"25-48 Months","49+ Months")))</f>
        <v>0-12 Months</v>
      </c>
      <c r="L242">
        <f>IF(Table1346[[#This Row],[Churn]]="Yes",1,0)</f>
        <v>1</v>
      </c>
    </row>
    <row r="243" spans="1:12" x14ac:dyDescent="0.35">
      <c r="A243" t="s">
        <v>265</v>
      </c>
      <c r="B243" t="s">
        <v>11</v>
      </c>
      <c r="C243">
        <v>27</v>
      </c>
      <c r="D243">
        <v>41</v>
      </c>
      <c r="E243" t="s">
        <v>12</v>
      </c>
      <c r="F243" t="s">
        <v>29</v>
      </c>
      <c r="G243" t="s">
        <v>19</v>
      </c>
      <c r="H243">
        <v>147.01</v>
      </c>
      <c r="I243">
        <v>6224.8</v>
      </c>
      <c r="J243" t="s">
        <v>15</v>
      </c>
      <c r="K243" t="str">
        <f>IF(D243&lt;=12,"0-12 Months",IF(D243&lt;=24,"13-24 Months",IF(D243&lt;=48,"25-48 Months","49+ Months")))</f>
        <v>25-48 Months</v>
      </c>
      <c r="L243">
        <f>IF(Table1346[[#This Row],[Churn]]="Yes",1,0)</f>
        <v>0</v>
      </c>
    </row>
    <row r="244" spans="1:12" x14ac:dyDescent="0.35">
      <c r="A244" t="s">
        <v>266</v>
      </c>
      <c r="B244" t="s">
        <v>17</v>
      </c>
      <c r="C244">
        <v>20</v>
      </c>
      <c r="D244">
        <v>60</v>
      </c>
      <c r="E244" t="s">
        <v>12</v>
      </c>
      <c r="F244" t="s">
        <v>13</v>
      </c>
      <c r="G244" t="s">
        <v>19</v>
      </c>
      <c r="H244">
        <v>90.82</v>
      </c>
      <c r="I244">
        <v>5033.1400000000003</v>
      </c>
      <c r="J244" t="s">
        <v>15</v>
      </c>
      <c r="K244" t="str">
        <f>IF(D244&lt;=12,"0-12 Months",IF(D244&lt;=24,"13-24 Months",IF(D244&lt;=48,"25-48 Months","49+ Months")))</f>
        <v>49+ Months</v>
      </c>
      <c r="L244">
        <f>IF(Table1346[[#This Row],[Churn]]="Yes",1,0)</f>
        <v>0</v>
      </c>
    </row>
    <row r="245" spans="1:12" x14ac:dyDescent="0.35">
      <c r="A245" t="s">
        <v>267</v>
      </c>
      <c r="B245" t="s">
        <v>11</v>
      </c>
      <c r="C245">
        <v>58</v>
      </c>
      <c r="D245">
        <v>14</v>
      </c>
      <c r="E245" t="s">
        <v>21</v>
      </c>
      <c r="F245" t="s">
        <v>22</v>
      </c>
      <c r="G245" t="s">
        <v>23</v>
      </c>
      <c r="H245">
        <v>37.64</v>
      </c>
      <c r="I245">
        <v>574.79999999999995</v>
      </c>
      <c r="J245" t="s">
        <v>27</v>
      </c>
      <c r="K245" t="str">
        <f>IF(D245&lt;=12,"0-12 Months",IF(D245&lt;=24,"13-24 Months",IF(D245&lt;=48,"25-48 Months","49+ Months")))</f>
        <v>13-24 Months</v>
      </c>
      <c r="L245">
        <f>IF(Table1346[[#This Row],[Churn]]="Yes",1,0)</f>
        <v>1</v>
      </c>
    </row>
    <row r="246" spans="1:12" x14ac:dyDescent="0.35">
      <c r="A246" t="s">
        <v>268</v>
      </c>
      <c r="B246" t="s">
        <v>11</v>
      </c>
      <c r="C246">
        <v>62</v>
      </c>
      <c r="D246">
        <v>12</v>
      </c>
      <c r="E246" t="s">
        <v>12</v>
      </c>
      <c r="F246" t="s">
        <v>33</v>
      </c>
      <c r="G246" t="s">
        <v>23</v>
      </c>
      <c r="H246">
        <v>136.16999999999999</v>
      </c>
      <c r="I246">
        <v>1753.51</v>
      </c>
      <c r="J246" t="s">
        <v>27</v>
      </c>
      <c r="K246" t="str">
        <f>IF(D246&lt;=12,"0-12 Months",IF(D246&lt;=24,"13-24 Months",IF(D246&lt;=48,"25-48 Months","49+ Months")))</f>
        <v>0-12 Months</v>
      </c>
      <c r="L246">
        <f>IF(Table1346[[#This Row],[Churn]]="Yes",1,0)</f>
        <v>1</v>
      </c>
    </row>
    <row r="247" spans="1:12" x14ac:dyDescent="0.35">
      <c r="A247" t="s">
        <v>269</v>
      </c>
      <c r="B247" t="s">
        <v>17</v>
      </c>
      <c r="C247">
        <v>35</v>
      </c>
      <c r="D247">
        <v>12</v>
      </c>
      <c r="E247" t="s">
        <v>18</v>
      </c>
      <c r="F247" t="s">
        <v>29</v>
      </c>
      <c r="G247" t="s">
        <v>14</v>
      </c>
      <c r="H247">
        <v>29.7</v>
      </c>
      <c r="I247">
        <v>361.9</v>
      </c>
      <c r="J247" t="s">
        <v>15</v>
      </c>
      <c r="K247" t="str">
        <f>IF(D247&lt;=12,"0-12 Months",IF(D247&lt;=24,"13-24 Months",IF(D247&lt;=48,"25-48 Months","49+ Months")))</f>
        <v>0-12 Months</v>
      </c>
      <c r="L247">
        <f>IF(Table1346[[#This Row],[Churn]]="Yes",1,0)</f>
        <v>0</v>
      </c>
    </row>
    <row r="248" spans="1:12" x14ac:dyDescent="0.35">
      <c r="A248" t="s">
        <v>270</v>
      </c>
      <c r="B248" t="s">
        <v>11</v>
      </c>
      <c r="C248">
        <v>64</v>
      </c>
      <c r="D248">
        <v>13</v>
      </c>
      <c r="E248" t="s">
        <v>12</v>
      </c>
      <c r="F248" t="s">
        <v>22</v>
      </c>
      <c r="G248" t="s">
        <v>23</v>
      </c>
      <c r="H248">
        <v>138.01</v>
      </c>
      <c r="I248">
        <v>1856.58</v>
      </c>
      <c r="J248" t="s">
        <v>27</v>
      </c>
      <c r="K248" t="str">
        <f>IF(D248&lt;=12,"0-12 Months",IF(D248&lt;=24,"13-24 Months",IF(D248&lt;=48,"25-48 Months","49+ Months")))</f>
        <v>13-24 Months</v>
      </c>
      <c r="L248">
        <f>IF(Table1346[[#This Row],[Churn]]="Yes",1,0)</f>
        <v>1</v>
      </c>
    </row>
    <row r="249" spans="1:12" x14ac:dyDescent="0.35">
      <c r="A249" t="s">
        <v>271</v>
      </c>
      <c r="B249" t="s">
        <v>11</v>
      </c>
      <c r="C249">
        <v>53</v>
      </c>
      <c r="D249">
        <v>25</v>
      </c>
      <c r="E249" t="s">
        <v>12</v>
      </c>
      <c r="F249" t="s">
        <v>13</v>
      </c>
      <c r="G249" t="s">
        <v>23</v>
      </c>
      <c r="H249">
        <v>149.55000000000001</v>
      </c>
      <c r="I249">
        <v>3377.33</v>
      </c>
      <c r="J249" t="s">
        <v>15</v>
      </c>
      <c r="K249" t="str">
        <f>IF(D249&lt;=12,"0-12 Months",IF(D249&lt;=24,"13-24 Months",IF(D249&lt;=48,"25-48 Months","49+ Months")))</f>
        <v>25-48 Months</v>
      </c>
      <c r="L249">
        <f>IF(Table1346[[#This Row],[Churn]]="Yes",1,0)</f>
        <v>0</v>
      </c>
    </row>
    <row r="250" spans="1:12" x14ac:dyDescent="0.35">
      <c r="A250" t="s">
        <v>272</v>
      </c>
      <c r="B250" t="s">
        <v>11</v>
      </c>
      <c r="C250">
        <v>64</v>
      </c>
      <c r="D250">
        <v>45</v>
      </c>
      <c r="E250" t="s">
        <v>21</v>
      </c>
      <c r="F250" t="s">
        <v>29</v>
      </c>
      <c r="G250" t="s">
        <v>23</v>
      </c>
      <c r="H250">
        <v>111.06</v>
      </c>
      <c r="I250">
        <v>4836.72</v>
      </c>
      <c r="J250" t="s">
        <v>15</v>
      </c>
      <c r="K250" t="str">
        <f>IF(D250&lt;=12,"0-12 Months",IF(D250&lt;=24,"13-24 Months",IF(D250&lt;=48,"25-48 Months","49+ Months")))</f>
        <v>25-48 Months</v>
      </c>
      <c r="L250">
        <f>IF(Table1346[[#This Row],[Churn]]="Yes",1,0)</f>
        <v>0</v>
      </c>
    </row>
    <row r="251" spans="1:12" x14ac:dyDescent="0.35">
      <c r="A251" t="s">
        <v>273</v>
      </c>
      <c r="B251" t="s">
        <v>11</v>
      </c>
      <c r="C251">
        <v>39</v>
      </c>
      <c r="D251">
        <v>19</v>
      </c>
      <c r="E251" t="s">
        <v>21</v>
      </c>
      <c r="F251" t="s">
        <v>29</v>
      </c>
      <c r="G251" t="s">
        <v>14</v>
      </c>
      <c r="H251">
        <v>120.16</v>
      </c>
      <c r="I251">
        <v>2418.04</v>
      </c>
      <c r="J251" t="s">
        <v>15</v>
      </c>
      <c r="K251" t="str">
        <f>IF(D251&lt;=12,"0-12 Months",IF(D251&lt;=24,"13-24 Months",IF(D251&lt;=48,"25-48 Months","49+ Months")))</f>
        <v>13-24 Months</v>
      </c>
      <c r="L251">
        <f>IF(Table1346[[#This Row],[Churn]]="Yes",1,0)</f>
        <v>0</v>
      </c>
    </row>
    <row r="252" spans="1:12" x14ac:dyDescent="0.35">
      <c r="A252" t="s">
        <v>274</v>
      </c>
      <c r="B252" t="s">
        <v>17</v>
      </c>
      <c r="C252">
        <v>51</v>
      </c>
      <c r="D252">
        <v>55</v>
      </c>
      <c r="E252" t="s">
        <v>12</v>
      </c>
      <c r="F252" t="s">
        <v>29</v>
      </c>
      <c r="G252" t="s">
        <v>23</v>
      </c>
      <c r="H252">
        <v>63.85</v>
      </c>
      <c r="I252">
        <v>3215</v>
      </c>
      <c r="J252" t="s">
        <v>27</v>
      </c>
      <c r="K252" t="str">
        <f>IF(D252&lt;=12,"0-12 Months",IF(D252&lt;=24,"13-24 Months",IF(D252&lt;=48,"25-48 Months","49+ Months")))</f>
        <v>49+ Months</v>
      </c>
      <c r="L252">
        <f>IF(Table1346[[#This Row],[Churn]]="Yes",1,0)</f>
        <v>1</v>
      </c>
    </row>
    <row r="253" spans="1:12" x14ac:dyDescent="0.35">
      <c r="A253" t="s">
        <v>275</v>
      </c>
      <c r="B253" t="s">
        <v>11</v>
      </c>
      <c r="C253">
        <v>64</v>
      </c>
      <c r="D253">
        <v>45</v>
      </c>
      <c r="E253" t="s">
        <v>18</v>
      </c>
      <c r="F253" t="s">
        <v>29</v>
      </c>
      <c r="G253" t="s">
        <v>23</v>
      </c>
      <c r="H253">
        <v>142.4</v>
      </c>
      <c r="I253">
        <v>6129.01</v>
      </c>
      <c r="J253" t="s">
        <v>15</v>
      </c>
      <c r="K253" t="str">
        <f>IF(D253&lt;=12,"0-12 Months",IF(D253&lt;=24,"13-24 Months",IF(D253&lt;=48,"25-48 Months","49+ Months")))</f>
        <v>25-48 Months</v>
      </c>
      <c r="L253">
        <f>IF(Table1346[[#This Row],[Churn]]="Yes",1,0)</f>
        <v>0</v>
      </c>
    </row>
    <row r="254" spans="1:12" x14ac:dyDescent="0.35">
      <c r="A254" t="s">
        <v>276</v>
      </c>
      <c r="B254" t="s">
        <v>17</v>
      </c>
      <c r="C254">
        <v>25</v>
      </c>
      <c r="D254">
        <v>8</v>
      </c>
      <c r="E254" t="s">
        <v>18</v>
      </c>
      <c r="F254" t="s">
        <v>29</v>
      </c>
      <c r="G254" t="s">
        <v>19</v>
      </c>
      <c r="H254">
        <v>88.86</v>
      </c>
      <c r="I254">
        <v>723.01</v>
      </c>
      <c r="J254" t="s">
        <v>15</v>
      </c>
      <c r="K254" t="str">
        <f>IF(D254&lt;=12,"0-12 Months",IF(D254&lt;=24,"13-24 Months",IF(D254&lt;=48,"25-48 Months","49+ Months")))</f>
        <v>0-12 Months</v>
      </c>
      <c r="L254">
        <f>IF(Table1346[[#This Row],[Churn]]="Yes",1,0)</f>
        <v>0</v>
      </c>
    </row>
    <row r="255" spans="1:12" x14ac:dyDescent="0.35">
      <c r="A255" t="s">
        <v>277</v>
      </c>
      <c r="B255" t="s">
        <v>11</v>
      </c>
      <c r="C255">
        <v>57</v>
      </c>
      <c r="D255">
        <v>53</v>
      </c>
      <c r="E255" t="s">
        <v>12</v>
      </c>
      <c r="F255" t="s">
        <v>29</v>
      </c>
      <c r="G255" t="s">
        <v>23</v>
      </c>
      <c r="H255">
        <v>115.21</v>
      </c>
      <c r="I255">
        <v>5808.66</v>
      </c>
      <c r="J255" t="s">
        <v>15</v>
      </c>
      <c r="K255" t="str">
        <f>IF(D255&lt;=12,"0-12 Months",IF(D255&lt;=24,"13-24 Months",IF(D255&lt;=48,"25-48 Months","49+ Months")))</f>
        <v>49+ Months</v>
      </c>
      <c r="L255">
        <f>IF(Table1346[[#This Row],[Churn]]="Yes",1,0)</f>
        <v>0</v>
      </c>
    </row>
    <row r="256" spans="1:12" x14ac:dyDescent="0.35">
      <c r="A256" t="s">
        <v>278</v>
      </c>
      <c r="B256" t="s">
        <v>11</v>
      </c>
      <c r="C256">
        <v>66</v>
      </c>
      <c r="D256">
        <v>55</v>
      </c>
      <c r="E256" t="s">
        <v>12</v>
      </c>
      <c r="F256" t="s">
        <v>29</v>
      </c>
      <c r="G256" t="s">
        <v>23</v>
      </c>
      <c r="H256">
        <v>140.13</v>
      </c>
      <c r="I256">
        <v>8376.1</v>
      </c>
      <c r="J256" t="s">
        <v>27</v>
      </c>
      <c r="K256" t="str">
        <f>IF(D256&lt;=12,"0-12 Months",IF(D256&lt;=24,"13-24 Months",IF(D256&lt;=48,"25-48 Months","49+ Months")))</f>
        <v>49+ Months</v>
      </c>
      <c r="L256">
        <f>IF(Table1346[[#This Row],[Churn]]="Yes",1,0)</f>
        <v>1</v>
      </c>
    </row>
    <row r="257" spans="1:12" x14ac:dyDescent="0.35">
      <c r="A257" t="s">
        <v>279</v>
      </c>
      <c r="B257" t="s">
        <v>11</v>
      </c>
      <c r="C257">
        <v>61</v>
      </c>
      <c r="D257">
        <v>32</v>
      </c>
      <c r="E257" t="s">
        <v>18</v>
      </c>
      <c r="F257" t="s">
        <v>22</v>
      </c>
      <c r="G257" t="s">
        <v>23</v>
      </c>
      <c r="H257">
        <v>146.77000000000001</v>
      </c>
      <c r="I257">
        <v>4350.08</v>
      </c>
      <c r="J257" t="s">
        <v>15</v>
      </c>
      <c r="K257" t="str">
        <f>IF(D257&lt;=12,"0-12 Months",IF(D257&lt;=24,"13-24 Months",IF(D257&lt;=48,"25-48 Months","49+ Months")))</f>
        <v>25-48 Months</v>
      </c>
      <c r="L257">
        <f>IF(Table1346[[#This Row],[Churn]]="Yes",1,0)</f>
        <v>0</v>
      </c>
    </row>
    <row r="258" spans="1:12" x14ac:dyDescent="0.35">
      <c r="A258" t="s">
        <v>280</v>
      </c>
      <c r="B258" t="s">
        <v>11</v>
      </c>
      <c r="C258">
        <v>36</v>
      </c>
      <c r="D258">
        <v>51</v>
      </c>
      <c r="E258" t="s">
        <v>21</v>
      </c>
      <c r="F258" t="s">
        <v>13</v>
      </c>
      <c r="G258" t="s">
        <v>14</v>
      </c>
      <c r="H258">
        <v>128.32</v>
      </c>
      <c r="I258">
        <v>6933.57</v>
      </c>
      <c r="J258" t="s">
        <v>15</v>
      </c>
      <c r="K258" t="str">
        <f>IF(D258&lt;=12,"0-12 Months",IF(D258&lt;=24,"13-24 Months",IF(D258&lt;=48,"25-48 Months","49+ Months")))</f>
        <v>49+ Months</v>
      </c>
      <c r="L258">
        <f>IF(Table1346[[#This Row],[Churn]]="Yes",1,0)</f>
        <v>0</v>
      </c>
    </row>
    <row r="259" spans="1:12" x14ac:dyDescent="0.35">
      <c r="A259" t="s">
        <v>281</v>
      </c>
      <c r="B259" t="s">
        <v>17</v>
      </c>
      <c r="C259">
        <v>59</v>
      </c>
      <c r="D259">
        <v>44</v>
      </c>
      <c r="E259" t="s">
        <v>12</v>
      </c>
      <c r="F259" t="s">
        <v>33</v>
      </c>
      <c r="G259" t="s">
        <v>23</v>
      </c>
      <c r="H259">
        <v>59.39</v>
      </c>
      <c r="I259">
        <v>2617.31</v>
      </c>
      <c r="J259" t="s">
        <v>15</v>
      </c>
      <c r="K259" t="str">
        <f>IF(D259&lt;=12,"0-12 Months",IF(D259&lt;=24,"13-24 Months",IF(D259&lt;=48,"25-48 Months","49+ Months")))</f>
        <v>25-48 Months</v>
      </c>
      <c r="L259">
        <f>IF(Table1346[[#This Row],[Churn]]="Yes",1,0)</f>
        <v>0</v>
      </c>
    </row>
    <row r="260" spans="1:12" x14ac:dyDescent="0.35">
      <c r="A260" t="s">
        <v>282</v>
      </c>
      <c r="B260" t="s">
        <v>17</v>
      </c>
      <c r="C260">
        <v>58</v>
      </c>
      <c r="D260">
        <v>70</v>
      </c>
      <c r="E260" t="s">
        <v>18</v>
      </c>
      <c r="F260" t="s">
        <v>13</v>
      </c>
      <c r="G260" t="s">
        <v>23</v>
      </c>
      <c r="H260">
        <v>145.65</v>
      </c>
      <c r="I260">
        <v>10705.95</v>
      </c>
      <c r="J260" t="s">
        <v>15</v>
      </c>
      <c r="K260" t="str">
        <f>IF(D260&lt;=12,"0-12 Months",IF(D260&lt;=24,"13-24 Months",IF(D260&lt;=48,"25-48 Months","49+ Months")))</f>
        <v>49+ Months</v>
      </c>
      <c r="L260">
        <f>IF(Table1346[[#This Row],[Churn]]="Yes",1,0)</f>
        <v>0</v>
      </c>
    </row>
    <row r="261" spans="1:12" x14ac:dyDescent="0.35">
      <c r="A261" t="s">
        <v>283</v>
      </c>
      <c r="B261" t="s">
        <v>11</v>
      </c>
      <c r="C261">
        <v>54</v>
      </c>
      <c r="D261">
        <v>18</v>
      </c>
      <c r="E261" t="s">
        <v>12</v>
      </c>
      <c r="F261" t="s">
        <v>22</v>
      </c>
      <c r="G261" t="s">
        <v>23</v>
      </c>
      <c r="H261">
        <v>101.66</v>
      </c>
      <c r="I261">
        <v>1760.61</v>
      </c>
      <c r="J261" t="s">
        <v>27</v>
      </c>
      <c r="K261" t="str">
        <f>IF(D261&lt;=12,"0-12 Months",IF(D261&lt;=24,"13-24 Months",IF(D261&lt;=48,"25-48 Months","49+ Months")))</f>
        <v>13-24 Months</v>
      </c>
      <c r="L261">
        <f>IF(Table1346[[#This Row],[Churn]]="Yes",1,0)</f>
        <v>1</v>
      </c>
    </row>
    <row r="262" spans="1:12" x14ac:dyDescent="0.35">
      <c r="A262" t="s">
        <v>284</v>
      </c>
      <c r="B262" t="s">
        <v>11</v>
      </c>
      <c r="C262">
        <v>23</v>
      </c>
      <c r="D262">
        <v>22</v>
      </c>
      <c r="E262" t="s">
        <v>12</v>
      </c>
      <c r="F262" t="s">
        <v>33</v>
      </c>
      <c r="G262" t="s">
        <v>19</v>
      </c>
      <c r="H262">
        <v>140.97999999999999</v>
      </c>
      <c r="I262">
        <v>3110.55</v>
      </c>
      <c r="J262" t="s">
        <v>27</v>
      </c>
      <c r="K262" t="str">
        <f>IF(D262&lt;=12,"0-12 Months",IF(D262&lt;=24,"13-24 Months",IF(D262&lt;=48,"25-48 Months","49+ Months")))</f>
        <v>13-24 Months</v>
      </c>
      <c r="L262">
        <f>IF(Table1346[[#This Row],[Churn]]="Yes",1,0)</f>
        <v>1</v>
      </c>
    </row>
    <row r="263" spans="1:12" x14ac:dyDescent="0.35">
      <c r="A263" t="s">
        <v>285</v>
      </c>
      <c r="B263" t="s">
        <v>17</v>
      </c>
      <c r="C263">
        <v>69</v>
      </c>
      <c r="D263">
        <v>37</v>
      </c>
      <c r="E263" t="s">
        <v>12</v>
      </c>
      <c r="F263" t="s">
        <v>22</v>
      </c>
      <c r="G263" t="s">
        <v>23</v>
      </c>
      <c r="H263">
        <v>107.89</v>
      </c>
      <c r="I263">
        <v>4276.82</v>
      </c>
      <c r="J263" t="s">
        <v>15</v>
      </c>
      <c r="K263" t="str">
        <f>IF(D263&lt;=12,"0-12 Months",IF(D263&lt;=24,"13-24 Months",IF(D263&lt;=48,"25-48 Months","49+ Months")))</f>
        <v>25-48 Months</v>
      </c>
      <c r="L263">
        <f>IF(Table1346[[#This Row],[Churn]]="Yes",1,0)</f>
        <v>0</v>
      </c>
    </row>
    <row r="264" spans="1:12" x14ac:dyDescent="0.35">
      <c r="A264" t="s">
        <v>286</v>
      </c>
      <c r="B264" t="s">
        <v>11</v>
      </c>
      <c r="C264">
        <v>43</v>
      </c>
      <c r="D264">
        <v>56</v>
      </c>
      <c r="E264" t="s">
        <v>21</v>
      </c>
      <c r="F264" t="s">
        <v>13</v>
      </c>
      <c r="G264" t="s">
        <v>14</v>
      </c>
      <c r="H264">
        <v>59.94</v>
      </c>
      <c r="I264">
        <v>3334.4</v>
      </c>
      <c r="J264" t="s">
        <v>15</v>
      </c>
      <c r="K264" t="str">
        <f>IF(D264&lt;=12,"0-12 Months",IF(D264&lt;=24,"13-24 Months",IF(D264&lt;=48,"25-48 Months","49+ Months")))</f>
        <v>49+ Months</v>
      </c>
      <c r="L264">
        <f>IF(Table1346[[#This Row],[Churn]]="Yes",1,0)</f>
        <v>0</v>
      </c>
    </row>
    <row r="265" spans="1:12" x14ac:dyDescent="0.35">
      <c r="A265" t="s">
        <v>287</v>
      </c>
      <c r="B265" t="s">
        <v>11</v>
      </c>
      <c r="C265">
        <v>51</v>
      </c>
      <c r="D265">
        <v>59</v>
      </c>
      <c r="E265" t="s">
        <v>21</v>
      </c>
      <c r="F265" t="s">
        <v>22</v>
      </c>
      <c r="G265" t="s">
        <v>23</v>
      </c>
      <c r="H265">
        <v>68.099999999999994</v>
      </c>
      <c r="I265">
        <v>3905.17</v>
      </c>
      <c r="J265" t="s">
        <v>15</v>
      </c>
      <c r="K265" t="str">
        <f>IF(D265&lt;=12,"0-12 Months",IF(D265&lt;=24,"13-24 Months",IF(D265&lt;=48,"25-48 Months","49+ Months")))</f>
        <v>49+ Months</v>
      </c>
      <c r="L265">
        <f>IF(Table1346[[#This Row],[Churn]]="Yes",1,0)</f>
        <v>0</v>
      </c>
    </row>
    <row r="266" spans="1:12" x14ac:dyDescent="0.35">
      <c r="A266" t="s">
        <v>288</v>
      </c>
      <c r="B266" t="s">
        <v>11</v>
      </c>
      <c r="C266">
        <v>62</v>
      </c>
      <c r="D266">
        <v>3</v>
      </c>
      <c r="E266" t="s">
        <v>21</v>
      </c>
      <c r="F266" t="s">
        <v>29</v>
      </c>
      <c r="G266" t="s">
        <v>23</v>
      </c>
      <c r="H266">
        <v>91.56</v>
      </c>
      <c r="I266">
        <v>276.67</v>
      </c>
      <c r="J266" t="s">
        <v>27</v>
      </c>
      <c r="K266" t="str">
        <f>IF(D266&lt;=12,"0-12 Months",IF(D266&lt;=24,"13-24 Months",IF(D266&lt;=48,"25-48 Months","49+ Months")))</f>
        <v>0-12 Months</v>
      </c>
      <c r="L266">
        <f>IF(Table1346[[#This Row],[Churn]]="Yes",1,0)</f>
        <v>1</v>
      </c>
    </row>
    <row r="267" spans="1:12" x14ac:dyDescent="0.35">
      <c r="A267" t="s">
        <v>289</v>
      </c>
      <c r="B267" t="s">
        <v>17</v>
      </c>
      <c r="C267">
        <v>23</v>
      </c>
      <c r="D267">
        <v>28</v>
      </c>
      <c r="E267" t="s">
        <v>12</v>
      </c>
      <c r="F267" t="s">
        <v>29</v>
      </c>
      <c r="G267" t="s">
        <v>19</v>
      </c>
      <c r="H267">
        <v>122.7</v>
      </c>
      <c r="I267">
        <v>3584.95</v>
      </c>
      <c r="J267" t="s">
        <v>27</v>
      </c>
      <c r="K267" t="str">
        <f>IF(D267&lt;=12,"0-12 Months",IF(D267&lt;=24,"13-24 Months",IF(D267&lt;=48,"25-48 Months","49+ Months")))</f>
        <v>25-48 Months</v>
      </c>
      <c r="L267">
        <f>IF(Table1346[[#This Row],[Churn]]="Yes",1,0)</f>
        <v>1</v>
      </c>
    </row>
    <row r="268" spans="1:12" x14ac:dyDescent="0.35">
      <c r="A268" t="s">
        <v>290</v>
      </c>
      <c r="B268" t="s">
        <v>17</v>
      </c>
      <c r="C268">
        <v>54</v>
      </c>
      <c r="D268">
        <v>35</v>
      </c>
      <c r="E268" t="s">
        <v>12</v>
      </c>
      <c r="F268" t="s">
        <v>13</v>
      </c>
      <c r="G268" t="s">
        <v>23</v>
      </c>
      <c r="H268">
        <v>61.34</v>
      </c>
      <c r="I268">
        <v>2122.67</v>
      </c>
      <c r="J268" t="s">
        <v>27</v>
      </c>
      <c r="K268" t="str">
        <f>IF(D268&lt;=12,"0-12 Months",IF(D268&lt;=24,"13-24 Months",IF(D268&lt;=48,"25-48 Months","49+ Months")))</f>
        <v>25-48 Months</v>
      </c>
      <c r="L268">
        <f>IF(Table1346[[#This Row],[Churn]]="Yes",1,0)</f>
        <v>1</v>
      </c>
    </row>
    <row r="269" spans="1:12" x14ac:dyDescent="0.35">
      <c r="A269" t="s">
        <v>291</v>
      </c>
      <c r="B269" t="s">
        <v>17</v>
      </c>
      <c r="C269">
        <v>50</v>
      </c>
      <c r="D269">
        <v>61</v>
      </c>
      <c r="E269" t="s">
        <v>12</v>
      </c>
      <c r="F269" t="s">
        <v>13</v>
      </c>
      <c r="G269" t="s">
        <v>23</v>
      </c>
      <c r="H269">
        <v>95.37</v>
      </c>
      <c r="I269">
        <v>6328.21</v>
      </c>
      <c r="J269" t="s">
        <v>27</v>
      </c>
      <c r="K269" t="str">
        <f>IF(D269&lt;=12,"0-12 Months",IF(D269&lt;=24,"13-24 Months",IF(D269&lt;=48,"25-48 Months","49+ Months")))</f>
        <v>49+ Months</v>
      </c>
      <c r="L269">
        <f>IF(Table1346[[#This Row],[Churn]]="Yes",1,0)</f>
        <v>1</v>
      </c>
    </row>
    <row r="270" spans="1:12" x14ac:dyDescent="0.35">
      <c r="A270" t="s">
        <v>292</v>
      </c>
      <c r="B270" t="s">
        <v>11</v>
      </c>
      <c r="C270">
        <v>70</v>
      </c>
      <c r="D270">
        <v>54</v>
      </c>
      <c r="E270" t="s">
        <v>21</v>
      </c>
      <c r="F270" t="s">
        <v>29</v>
      </c>
      <c r="G270" t="s">
        <v>23</v>
      </c>
      <c r="H270">
        <v>64.930000000000007</v>
      </c>
      <c r="I270">
        <v>3362.43</v>
      </c>
      <c r="J270" t="s">
        <v>15</v>
      </c>
      <c r="K270" t="str">
        <f>IF(D270&lt;=12,"0-12 Months",IF(D270&lt;=24,"13-24 Months",IF(D270&lt;=48,"25-48 Months","49+ Months")))</f>
        <v>49+ Months</v>
      </c>
      <c r="L270">
        <f>IF(Table1346[[#This Row],[Churn]]="Yes",1,0)</f>
        <v>0</v>
      </c>
    </row>
    <row r="271" spans="1:12" x14ac:dyDescent="0.35">
      <c r="A271" t="s">
        <v>293</v>
      </c>
      <c r="B271" t="s">
        <v>11</v>
      </c>
      <c r="C271">
        <v>39</v>
      </c>
      <c r="D271">
        <v>63</v>
      </c>
      <c r="E271" t="s">
        <v>12</v>
      </c>
      <c r="F271" t="s">
        <v>33</v>
      </c>
      <c r="G271" t="s">
        <v>14</v>
      </c>
      <c r="H271">
        <v>126.05</v>
      </c>
      <c r="I271">
        <v>7902.18</v>
      </c>
      <c r="J271" t="s">
        <v>15</v>
      </c>
      <c r="K271" t="str">
        <f>IF(D271&lt;=12,"0-12 Months",IF(D271&lt;=24,"13-24 Months",IF(D271&lt;=48,"25-48 Months","49+ Months")))</f>
        <v>49+ Months</v>
      </c>
      <c r="L271">
        <f>IF(Table1346[[#This Row],[Churn]]="Yes",1,0)</f>
        <v>0</v>
      </c>
    </row>
    <row r="272" spans="1:12" x14ac:dyDescent="0.35">
      <c r="A272" t="s">
        <v>294</v>
      </c>
      <c r="B272" t="s">
        <v>17</v>
      </c>
      <c r="C272">
        <v>38</v>
      </c>
      <c r="D272">
        <v>7</v>
      </c>
      <c r="E272" t="s">
        <v>12</v>
      </c>
      <c r="F272" t="s">
        <v>22</v>
      </c>
      <c r="G272" t="s">
        <v>14</v>
      </c>
      <c r="H272">
        <v>80.67</v>
      </c>
      <c r="I272">
        <v>593.71</v>
      </c>
      <c r="J272" t="s">
        <v>27</v>
      </c>
      <c r="K272" t="str">
        <f>IF(D272&lt;=12,"0-12 Months",IF(D272&lt;=24,"13-24 Months",IF(D272&lt;=48,"25-48 Months","49+ Months")))</f>
        <v>0-12 Months</v>
      </c>
      <c r="L272">
        <f>IF(Table1346[[#This Row],[Churn]]="Yes",1,0)</f>
        <v>1</v>
      </c>
    </row>
    <row r="273" spans="1:12" x14ac:dyDescent="0.35">
      <c r="A273" t="s">
        <v>295</v>
      </c>
      <c r="B273" t="s">
        <v>17</v>
      </c>
      <c r="C273">
        <v>23</v>
      </c>
      <c r="D273">
        <v>49</v>
      </c>
      <c r="E273" t="s">
        <v>18</v>
      </c>
      <c r="F273" t="s">
        <v>13</v>
      </c>
      <c r="G273" t="s">
        <v>19</v>
      </c>
      <c r="H273">
        <v>29.97</v>
      </c>
      <c r="I273">
        <v>1524.08</v>
      </c>
      <c r="J273" t="s">
        <v>15</v>
      </c>
      <c r="K273" t="str">
        <f>IF(D273&lt;=12,"0-12 Months",IF(D273&lt;=24,"13-24 Months",IF(D273&lt;=48,"25-48 Months","49+ Months")))</f>
        <v>49+ Months</v>
      </c>
      <c r="L273">
        <f>IF(Table1346[[#This Row],[Churn]]="Yes",1,0)</f>
        <v>0</v>
      </c>
    </row>
    <row r="274" spans="1:12" x14ac:dyDescent="0.35">
      <c r="A274" t="s">
        <v>296</v>
      </c>
      <c r="B274" t="s">
        <v>17</v>
      </c>
      <c r="C274">
        <v>23</v>
      </c>
      <c r="D274">
        <v>31</v>
      </c>
      <c r="E274" t="s">
        <v>12</v>
      </c>
      <c r="F274" t="s">
        <v>33</v>
      </c>
      <c r="G274" t="s">
        <v>19</v>
      </c>
      <c r="H274">
        <v>41.59</v>
      </c>
      <c r="I274">
        <v>1383.06</v>
      </c>
      <c r="J274" t="s">
        <v>27</v>
      </c>
      <c r="K274" t="str">
        <f>IF(D274&lt;=12,"0-12 Months",IF(D274&lt;=24,"13-24 Months",IF(D274&lt;=48,"25-48 Months","49+ Months")))</f>
        <v>25-48 Months</v>
      </c>
      <c r="L274">
        <f>IF(Table1346[[#This Row],[Churn]]="Yes",1,0)</f>
        <v>1</v>
      </c>
    </row>
    <row r="275" spans="1:12" x14ac:dyDescent="0.35">
      <c r="A275" t="s">
        <v>297</v>
      </c>
      <c r="B275" t="s">
        <v>17</v>
      </c>
      <c r="C275">
        <v>65</v>
      </c>
      <c r="D275">
        <v>58</v>
      </c>
      <c r="E275" t="s">
        <v>18</v>
      </c>
      <c r="F275" t="s">
        <v>13</v>
      </c>
      <c r="G275" t="s">
        <v>23</v>
      </c>
      <c r="H275">
        <v>27.94</v>
      </c>
      <c r="I275">
        <v>1781.54</v>
      </c>
      <c r="J275" t="s">
        <v>15</v>
      </c>
      <c r="K275" t="str">
        <f>IF(D275&lt;=12,"0-12 Months",IF(D275&lt;=24,"13-24 Months",IF(D275&lt;=48,"25-48 Months","49+ Months")))</f>
        <v>49+ Months</v>
      </c>
      <c r="L275">
        <f>IF(Table1346[[#This Row],[Churn]]="Yes",1,0)</f>
        <v>0</v>
      </c>
    </row>
    <row r="276" spans="1:12" x14ac:dyDescent="0.35">
      <c r="A276" t="s">
        <v>298</v>
      </c>
      <c r="B276" t="s">
        <v>11</v>
      </c>
      <c r="C276">
        <v>21</v>
      </c>
      <c r="D276">
        <v>61</v>
      </c>
      <c r="E276" t="s">
        <v>12</v>
      </c>
      <c r="F276" t="s">
        <v>33</v>
      </c>
      <c r="G276" t="s">
        <v>19</v>
      </c>
      <c r="H276">
        <v>84.91</v>
      </c>
      <c r="I276">
        <v>5103.74</v>
      </c>
      <c r="J276" t="s">
        <v>27</v>
      </c>
      <c r="K276" t="str">
        <f>IF(D276&lt;=12,"0-12 Months",IF(D276&lt;=24,"13-24 Months",IF(D276&lt;=48,"25-48 Months","49+ Months")))</f>
        <v>49+ Months</v>
      </c>
      <c r="L276">
        <f>IF(Table1346[[#This Row],[Churn]]="Yes",1,0)</f>
        <v>1</v>
      </c>
    </row>
    <row r="277" spans="1:12" x14ac:dyDescent="0.35">
      <c r="A277" t="s">
        <v>299</v>
      </c>
      <c r="B277" t="s">
        <v>17</v>
      </c>
      <c r="C277">
        <v>47</v>
      </c>
      <c r="D277">
        <v>24</v>
      </c>
      <c r="E277" t="s">
        <v>21</v>
      </c>
      <c r="F277" t="s">
        <v>13</v>
      </c>
      <c r="G277" t="s">
        <v>14</v>
      </c>
      <c r="H277">
        <v>33.82</v>
      </c>
      <c r="I277">
        <v>748.56</v>
      </c>
      <c r="J277" t="s">
        <v>15</v>
      </c>
      <c r="K277" t="str">
        <f>IF(D277&lt;=12,"0-12 Months",IF(D277&lt;=24,"13-24 Months",IF(D277&lt;=48,"25-48 Months","49+ Months")))</f>
        <v>13-24 Months</v>
      </c>
      <c r="L277">
        <f>IF(Table1346[[#This Row],[Churn]]="Yes",1,0)</f>
        <v>0</v>
      </c>
    </row>
    <row r="278" spans="1:12" x14ac:dyDescent="0.35">
      <c r="A278" t="s">
        <v>300</v>
      </c>
      <c r="B278" t="s">
        <v>11</v>
      </c>
      <c r="C278">
        <v>28</v>
      </c>
      <c r="D278">
        <v>20</v>
      </c>
      <c r="E278" t="s">
        <v>12</v>
      </c>
      <c r="F278" t="s">
        <v>29</v>
      </c>
      <c r="G278" t="s">
        <v>19</v>
      </c>
      <c r="H278">
        <v>34.840000000000003</v>
      </c>
      <c r="I278">
        <v>631.36</v>
      </c>
      <c r="J278" t="s">
        <v>15</v>
      </c>
      <c r="K278" t="str">
        <f>IF(D278&lt;=12,"0-12 Months",IF(D278&lt;=24,"13-24 Months",IF(D278&lt;=48,"25-48 Months","49+ Months")))</f>
        <v>13-24 Months</v>
      </c>
      <c r="L278">
        <f>IF(Table1346[[#This Row],[Churn]]="Yes",1,0)</f>
        <v>0</v>
      </c>
    </row>
    <row r="279" spans="1:12" x14ac:dyDescent="0.35">
      <c r="A279" t="s">
        <v>301</v>
      </c>
      <c r="B279" t="s">
        <v>17</v>
      </c>
      <c r="C279">
        <v>47</v>
      </c>
      <c r="D279">
        <v>37</v>
      </c>
      <c r="E279" t="s">
        <v>18</v>
      </c>
      <c r="F279" t="s">
        <v>22</v>
      </c>
      <c r="G279" t="s">
        <v>14</v>
      </c>
      <c r="H279">
        <v>142.34</v>
      </c>
      <c r="I279">
        <v>5505.55</v>
      </c>
      <c r="J279" t="s">
        <v>15</v>
      </c>
      <c r="K279" t="str">
        <f>IF(D279&lt;=12,"0-12 Months",IF(D279&lt;=24,"13-24 Months",IF(D279&lt;=48,"25-48 Months","49+ Months")))</f>
        <v>25-48 Months</v>
      </c>
      <c r="L279">
        <f>IF(Table1346[[#This Row],[Churn]]="Yes",1,0)</f>
        <v>0</v>
      </c>
    </row>
    <row r="280" spans="1:12" x14ac:dyDescent="0.35">
      <c r="A280" t="s">
        <v>302</v>
      </c>
      <c r="B280" t="s">
        <v>11</v>
      </c>
      <c r="C280">
        <v>48</v>
      </c>
      <c r="D280">
        <v>4</v>
      </c>
      <c r="E280" t="s">
        <v>12</v>
      </c>
      <c r="F280" t="s">
        <v>22</v>
      </c>
      <c r="G280" t="s">
        <v>14</v>
      </c>
      <c r="H280">
        <v>133.44999999999999</v>
      </c>
      <c r="I280">
        <v>573.73</v>
      </c>
      <c r="J280" t="s">
        <v>15</v>
      </c>
      <c r="K280" t="str">
        <f>IF(D280&lt;=12,"0-12 Months",IF(D280&lt;=24,"13-24 Months",IF(D280&lt;=48,"25-48 Months","49+ Months")))</f>
        <v>0-12 Months</v>
      </c>
      <c r="L280">
        <f>IF(Table1346[[#This Row],[Churn]]="Yes",1,0)</f>
        <v>0</v>
      </c>
    </row>
    <row r="281" spans="1:12" x14ac:dyDescent="0.35">
      <c r="A281" t="s">
        <v>303</v>
      </c>
      <c r="B281" t="s">
        <v>17</v>
      </c>
      <c r="C281">
        <v>41</v>
      </c>
      <c r="D281">
        <v>20</v>
      </c>
      <c r="E281" t="s">
        <v>12</v>
      </c>
      <c r="F281" t="s">
        <v>22</v>
      </c>
      <c r="G281" t="s">
        <v>14</v>
      </c>
      <c r="H281">
        <v>78.77</v>
      </c>
      <c r="I281">
        <v>1487.4</v>
      </c>
      <c r="J281" t="s">
        <v>15</v>
      </c>
      <c r="K281" t="str">
        <f>IF(D281&lt;=12,"0-12 Months",IF(D281&lt;=24,"13-24 Months",IF(D281&lt;=48,"25-48 Months","49+ Months")))</f>
        <v>13-24 Months</v>
      </c>
      <c r="L281">
        <f>IF(Table1346[[#This Row],[Churn]]="Yes",1,0)</f>
        <v>0</v>
      </c>
    </row>
    <row r="282" spans="1:12" x14ac:dyDescent="0.35">
      <c r="A282" t="s">
        <v>304</v>
      </c>
      <c r="B282" t="s">
        <v>17</v>
      </c>
      <c r="C282">
        <v>26</v>
      </c>
      <c r="D282">
        <v>60</v>
      </c>
      <c r="E282" t="s">
        <v>12</v>
      </c>
      <c r="F282" t="s">
        <v>33</v>
      </c>
      <c r="G282" t="s">
        <v>19</v>
      </c>
      <c r="H282">
        <v>148.15</v>
      </c>
      <c r="I282">
        <v>8281.7900000000009</v>
      </c>
      <c r="J282" t="s">
        <v>15</v>
      </c>
      <c r="K282" t="str">
        <f>IF(D282&lt;=12,"0-12 Months",IF(D282&lt;=24,"13-24 Months",IF(D282&lt;=48,"25-48 Months","49+ Months")))</f>
        <v>49+ Months</v>
      </c>
      <c r="L282">
        <f>IF(Table1346[[#This Row],[Churn]]="Yes",1,0)</f>
        <v>0</v>
      </c>
    </row>
    <row r="283" spans="1:12" x14ac:dyDescent="0.35">
      <c r="A283" t="s">
        <v>305</v>
      </c>
      <c r="B283" t="s">
        <v>17</v>
      </c>
      <c r="C283">
        <v>20</v>
      </c>
      <c r="D283">
        <v>24</v>
      </c>
      <c r="E283" t="s">
        <v>12</v>
      </c>
      <c r="F283" t="s">
        <v>22</v>
      </c>
      <c r="G283" t="s">
        <v>19</v>
      </c>
      <c r="H283">
        <v>20.02</v>
      </c>
      <c r="I283">
        <v>438.41</v>
      </c>
      <c r="J283" t="s">
        <v>27</v>
      </c>
      <c r="K283" t="str">
        <f>IF(D283&lt;=12,"0-12 Months",IF(D283&lt;=24,"13-24 Months",IF(D283&lt;=48,"25-48 Months","49+ Months")))</f>
        <v>13-24 Months</v>
      </c>
      <c r="L283">
        <f>IF(Table1346[[#This Row],[Churn]]="Yes",1,0)</f>
        <v>1</v>
      </c>
    </row>
    <row r="284" spans="1:12" x14ac:dyDescent="0.35">
      <c r="A284" t="s">
        <v>306</v>
      </c>
      <c r="B284" t="s">
        <v>17</v>
      </c>
      <c r="C284">
        <v>68</v>
      </c>
      <c r="D284">
        <v>50</v>
      </c>
      <c r="E284" t="s">
        <v>12</v>
      </c>
      <c r="F284" t="s">
        <v>22</v>
      </c>
      <c r="G284" t="s">
        <v>23</v>
      </c>
      <c r="H284">
        <v>99.82</v>
      </c>
      <c r="I284">
        <v>5313.12</v>
      </c>
      <c r="J284" t="s">
        <v>15</v>
      </c>
      <c r="K284" t="str">
        <f>IF(D284&lt;=12,"0-12 Months",IF(D284&lt;=24,"13-24 Months",IF(D284&lt;=48,"25-48 Months","49+ Months")))</f>
        <v>49+ Months</v>
      </c>
      <c r="L284">
        <f>IF(Table1346[[#This Row],[Churn]]="Yes",1,0)</f>
        <v>0</v>
      </c>
    </row>
    <row r="285" spans="1:12" x14ac:dyDescent="0.35">
      <c r="A285" t="s">
        <v>307</v>
      </c>
      <c r="B285" t="s">
        <v>11</v>
      </c>
      <c r="C285">
        <v>48</v>
      </c>
      <c r="D285">
        <v>49</v>
      </c>
      <c r="E285" t="s">
        <v>18</v>
      </c>
      <c r="F285" t="s">
        <v>33</v>
      </c>
      <c r="G285" t="s">
        <v>14</v>
      </c>
      <c r="H285">
        <v>83.07</v>
      </c>
      <c r="I285">
        <v>4721.76</v>
      </c>
      <c r="J285" t="s">
        <v>15</v>
      </c>
      <c r="K285" t="str">
        <f>IF(D285&lt;=12,"0-12 Months",IF(D285&lt;=24,"13-24 Months",IF(D285&lt;=48,"25-48 Months","49+ Months")))</f>
        <v>49+ Months</v>
      </c>
      <c r="L285">
        <f>IF(Table1346[[#This Row],[Churn]]="Yes",1,0)</f>
        <v>0</v>
      </c>
    </row>
    <row r="286" spans="1:12" x14ac:dyDescent="0.35">
      <c r="A286" t="s">
        <v>308</v>
      </c>
      <c r="B286" t="s">
        <v>17</v>
      </c>
      <c r="C286">
        <v>57</v>
      </c>
      <c r="D286">
        <v>51</v>
      </c>
      <c r="E286" t="s">
        <v>12</v>
      </c>
      <c r="F286" t="s">
        <v>22</v>
      </c>
      <c r="G286" t="s">
        <v>23</v>
      </c>
      <c r="H286">
        <v>79.47</v>
      </c>
      <c r="I286">
        <v>3973.29</v>
      </c>
      <c r="J286" t="s">
        <v>27</v>
      </c>
      <c r="K286" t="str">
        <f>IF(D286&lt;=12,"0-12 Months",IF(D286&lt;=24,"13-24 Months",IF(D286&lt;=48,"25-48 Months","49+ Months")))</f>
        <v>49+ Months</v>
      </c>
      <c r="L286">
        <f>IF(Table1346[[#This Row],[Churn]]="Yes",1,0)</f>
        <v>1</v>
      </c>
    </row>
    <row r="287" spans="1:12" x14ac:dyDescent="0.35">
      <c r="A287" t="s">
        <v>309</v>
      </c>
      <c r="B287" t="s">
        <v>11</v>
      </c>
      <c r="C287">
        <v>54</v>
      </c>
      <c r="D287">
        <v>36</v>
      </c>
      <c r="E287" t="s">
        <v>21</v>
      </c>
      <c r="F287" t="s">
        <v>13</v>
      </c>
      <c r="G287" t="s">
        <v>23</v>
      </c>
      <c r="H287">
        <v>71.599999999999994</v>
      </c>
      <c r="I287">
        <v>2579.02</v>
      </c>
      <c r="J287" t="s">
        <v>15</v>
      </c>
      <c r="K287" t="str">
        <f>IF(D287&lt;=12,"0-12 Months",IF(D287&lt;=24,"13-24 Months",IF(D287&lt;=48,"25-48 Months","49+ Months")))</f>
        <v>25-48 Months</v>
      </c>
      <c r="L287">
        <f>IF(Table1346[[#This Row],[Churn]]="Yes",1,0)</f>
        <v>0</v>
      </c>
    </row>
    <row r="288" spans="1:12" x14ac:dyDescent="0.35">
      <c r="A288" t="s">
        <v>310</v>
      </c>
      <c r="B288" t="s">
        <v>11</v>
      </c>
      <c r="C288">
        <v>53</v>
      </c>
      <c r="D288">
        <v>66</v>
      </c>
      <c r="E288" t="s">
        <v>21</v>
      </c>
      <c r="F288" t="s">
        <v>33</v>
      </c>
      <c r="G288" t="s">
        <v>23</v>
      </c>
      <c r="H288">
        <v>79.2</v>
      </c>
      <c r="I288">
        <v>5582.08</v>
      </c>
      <c r="J288" t="s">
        <v>15</v>
      </c>
      <c r="K288" t="str">
        <f>IF(D288&lt;=12,"0-12 Months",IF(D288&lt;=24,"13-24 Months",IF(D288&lt;=48,"25-48 Months","49+ Months")))</f>
        <v>49+ Months</v>
      </c>
      <c r="L288">
        <f>IF(Table1346[[#This Row],[Churn]]="Yes",1,0)</f>
        <v>0</v>
      </c>
    </row>
    <row r="289" spans="1:12" x14ac:dyDescent="0.35">
      <c r="A289" t="s">
        <v>311</v>
      </c>
      <c r="B289" t="s">
        <v>11</v>
      </c>
      <c r="C289">
        <v>41</v>
      </c>
      <c r="D289">
        <v>34</v>
      </c>
      <c r="E289" t="s">
        <v>21</v>
      </c>
      <c r="F289" t="s">
        <v>29</v>
      </c>
      <c r="G289" t="s">
        <v>14</v>
      </c>
      <c r="H289">
        <v>73.94</v>
      </c>
      <c r="I289">
        <v>2589.8000000000002</v>
      </c>
      <c r="J289" t="s">
        <v>15</v>
      </c>
      <c r="K289" t="str">
        <f>IF(D289&lt;=12,"0-12 Months",IF(D289&lt;=24,"13-24 Months",IF(D289&lt;=48,"25-48 Months","49+ Months")))</f>
        <v>25-48 Months</v>
      </c>
      <c r="L289">
        <f>IF(Table1346[[#This Row],[Churn]]="Yes",1,0)</f>
        <v>0</v>
      </c>
    </row>
    <row r="290" spans="1:12" x14ac:dyDescent="0.35">
      <c r="A290" t="s">
        <v>312</v>
      </c>
      <c r="B290" t="s">
        <v>11</v>
      </c>
      <c r="C290">
        <v>48</v>
      </c>
      <c r="D290">
        <v>36</v>
      </c>
      <c r="E290" t="s">
        <v>12</v>
      </c>
      <c r="F290" t="s">
        <v>22</v>
      </c>
      <c r="G290" t="s">
        <v>14</v>
      </c>
      <c r="H290">
        <v>114.96</v>
      </c>
      <c r="I290">
        <v>4233.8</v>
      </c>
      <c r="J290" t="s">
        <v>15</v>
      </c>
      <c r="K290" t="str">
        <f>IF(D290&lt;=12,"0-12 Months",IF(D290&lt;=24,"13-24 Months",IF(D290&lt;=48,"25-48 Months","49+ Months")))</f>
        <v>25-48 Months</v>
      </c>
      <c r="L290">
        <f>IF(Table1346[[#This Row],[Churn]]="Yes",1,0)</f>
        <v>0</v>
      </c>
    </row>
    <row r="291" spans="1:12" x14ac:dyDescent="0.35">
      <c r="A291" t="s">
        <v>313</v>
      </c>
      <c r="B291" t="s">
        <v>17</v>
      </c>
      <c r="C291">
        <v>23</v>
      </c>
      <c r="D291">
        <v>6</v>
      </c>
      <c r="E291" t="s">
        <v>12</v>
      </c>
      <c r="F291" t="s">
        <v>33</v>
      </c>
      <c r="G291" t="s">
        <v>19</v>
      </c>
      <c r="H291">
        <v>37.6</v>
      </c>
      <c r="I291">
        <v>210.97</v>
      </c>
      <c r="J291" t="s">
        <v>15</v>
      </c>
      <c r="K291" t="str">
        <f>IF(D291&lt;=12,"0-12 Months",IF(D291&lt;=24,"13-24 Months",IF(D291&lt;=48,"25-48 Months","49+ Months")))</f>
        <v>0-12 Months</v>
      </c>
      <c r="L291">
        <f>IF(Table1346[[#This Row],[Churn]]="Yes",1,0)</f>
        <v>0</v>
      </c>
    </row>
    <row r="292" spans="1:12" x14ac:dyDescent="0.35">
      <c r="A292" t="s">
        <v>314</v>
      </c>
      <c r="B292" t="s">
        <v>11</v>
      </c>
      <c r="C292">
        <v>19</v>
      </c>
      <c r="D292">
        <v>39</v>
      </c>
      <c r="E292" t="s">
        <v>21</v>
      </c>
      <c r="F292" t="s">
        <v>22</v>
      </c>
      <c r="G292" t="s">
        <v>19</v>
      </c>
      <c r="H292">
        <v>45.69</v>
      </c>
      <c r="I292">
        <v>1786.61</v>
      </c>
      <c r="J292" t="s">
        <v>15</v>
      </c>
      <c r="K292" t="str">
        <f>IF(D292&lt;=12,"0-12 Months",IF(D292&lt;=24,"13-24 Months",IF(D292&lt;=48,"25-48 Months","49+ Months")))</f>
        <v>25-48 Months</v>
      </c>
      <c r="L292">
        <f>IF(Table1346[[#This Row],[Churn]]="Yes",1,0)</f>
        <v>0</v>
      </c>
    </row>
    <row r="293" spans="1:12" x14ac:dyDescent="0.35">
      <c r="A293" t="s">
        <v>315</v>
      </c>
      <c r="B293" t="s">
        <v>11</v>
      </c>
      <c r="C293">
        <v>37</v>
      </c>
      <c r="D293">
        <v>42</v>
      </c>
      <c r="E293" t="s">
        <v>18</v>
      </c>
      <c r="F293" t="s">
        <v>22</v>
      </c>
      <c r="G293" t="s">
        <v>14</v>
      </c>
      <c r="H293">
        <v>43.47</v>
      </c>
      <c r="I293">
        <v>1904.39</v>
      </c>
      <c r="J293" t="s">
        <v>15</v>
      </c>
      <c r="K293" t="str">
        <f>IF(D293&lt;=12,"0-12 Months",IF(D293&lt;=24,"13-24 Months",IF(D293&lt;=48,"25-48 Months","49+ Months")))</f>
        <v>25-48 Months</v>
      </c>
      <c r="L293">
        <f>IF(Table1346[[#This Row],[Churn]]="Yes",1,0)</f>
        <v>0</v>
      </c>
    </row>
    <row r="294" spans="1:12" x14ac:dyDescent="0.35">
      <c r="A294" t="s">
        <v>316</v>
      </c>
      <c r="B294" t="s">
        <v>11</v>
      </c>
      <c r="C294">
        <v>45</v>
      </c>
      <c r="D294">
        <v>58</v>
      </c>
      <c r="E294" t="s">
        <v>12</v>
      </c>
      <c r="F294" t="s">
        <v>22</v>
      </c>
      <c r="G294" t="s">
        <v>14</v>
      </c>
      <c r="H294">
        <v>54.12</v>
      </c>
      <c r="I294">
        <v>3436.07</v>
      </c>
      <c r="J294" t="s">
        <v>15</v>
      </c>
      <c r="K294" t="str">
        <f>IF(D294&lt;=12,"0-12 Months",IF(D294&lt;=24,"13-24 Months",IF(D294&lt;=48,"25-48 Months","49+ Months")))</f>
        <v>49+ Months</v>
      </c>
      <c r="L294">
        <f>IF(Table1346[[#This Row],[Churn]]="Yes",1,0)</f>
        <v>0</v>
      </c>
    </row>
    <row r="295" spans="1:12" x14ac:dyDescent="0.35">
      <c r="A295" t="s">
        <v>317</v>
      </c>
      <c r="B295" t="s">
        <v>17</v>
      </c>
      <c r="C295">
        <v>28</v>
      </c>
      <c r="D295">
        <v>12</v>
      </c>
      <c r="E295" t="s">
        <v>12</v>
      </c>
      <c r="F295" t="s">
        <v>13</v>
      </c>
      <c r="G295" t="s">
        <v>19</v>
      </c>
      <c r="H295">
        <v>88.28</v>
      </c>
      <c r="I295">
        <v>996.1</v>
      </c>
      <c r="J295" t="s">
        <v>15</v>
      </c>
      <c r="K295" t="str">
        <f>IF(D295&lt;=12,"0-12 Months",IF(D295&lt;=24,"13-24 Months",IF(D295&lt;=48,"25-48 Months","49+ Months")))</f>
        <v>0-12 Months</v>
      </c>
      <c r="L295">
        <f>IF(Table1346[[#This Row],[Churn]]="Yes",1,0)</f>
        <v>0</v>
      </c>
    </row>
    <row r="296" spans="1:12" x14ac:dyDescent="0.35">
      <c r="A296" t="s">
        <v>318</v>
      </c>
      <c r="B296" t="s">
        <v>17</v>
      </c>
      <c r="C296">
        <v>21</v>
      </c>
      <c r="D296">
        <v>3</v>
      </c>
      <c r="E296" t="s">
        <v>12</v>
      </c>
      <c r="F296" t="s">
        <v>33</v>
      </c>
      <c r="G296" t="s">
        <v>19</v>
      </c>
      <c r="H296">
        <v>34.46</v>
      </c>
      <c r="I296">
        <v>93.24</v>
      </c>
      <c r="J296" t="s">
        <v>15</v>
      </c>
      <c r="K296" t="str">
        <f>IF(D296&lt;=12,"0-12 Months",IF(D296&lt;=24,"13-24 Months",IF(D296&lt;=48,"25-48 Months","49+ Months")))</f>
        <v>0-12 Months</v>
      </c>
      <c r="L296">
        <f>IF(Table1346[[#This Row],[Churn]]="Yes",1,0)</f>
        <v>0</v>
      </c>
    </row>
    <row r="297" spans="1:12" x14ac:dyDescent="0.35">
      <c r="A297" t="s">
        <v>319</v>
      </c>
      <c r="B297" t="s">
        <v>17</v>
      </c>
      <c r="C297">
        <v>32</v>
      </c>
      <c r="D297">
        <v>18</v>
      </c>
      <c r="E297" t="s">
        <v>18</v>
      </c>
      <c r="F297" t="s">
        <v>29</v>
      </c>
      <c r="G297" t="s">
        <v>14</v>
      </c>
      <c r="H297">
        <v>132.86000000000001</v>
      </c>
      <c r="I297">
        <v>2188.35</v>
      </c>
      <c r="J297" t="s">
        <v>15</v>
      </c>
      <c r="K297" t="str">
        <f>IF(D297&lt;=12,"0-12 Months",IF(D297&lt;=24,"13-24 Months",IF(D297&lt;=48,"25-48 Months","49+ Months")))</f>
        <v>13-24 Months</v>
      </c>
      <c r="L297">
        <f>IF(Table1346[[#This Row],[Churn]]="Yes",1,0)</f>
        <v>0</v>
      </c>
    </row>
    <row r="298" spans="1:12" x14ac:dyDescent="0.35">
      <c r="A298" t="s">
        <v>320</v>
      </c>
      <c r="B298" t="s">
        <v>17</v>
      </c>
      <c r="C298">
        <v>23</v>
      </c>
      <c r="D298">
        <v>40</v>
      </c>
      <c r="E298" t="s">
        <v>12</v>
      </c>
      <c r="F298" t="s">
        <v>29</v>
      </c>
      <c r="G298" t="s">
        <v>19</v>
      </c>
      <c r="H298">
        <v>58.66</v>
      </c>
      <c r="I298">
        <v>2288.14</v>
      </c>
      <c r="J298" t="s">
        <v>15</v>
      </c>
      <c r="K298" t="str">
        <f>IF(D298&lt;=12,"0-12 Months",IF(D298&lt;=24,"13-24 Months",IF(D298&lt;=48,"25-48 Months","49+ Months")))</f>
        <v>25-48 Months</v>
      </c>
      <c r="L298">
        <f>IF(Table1346[[#This Row],[Churn]]="Yes",1,0)</f>
        <v>0</v>
      </c>
    </row>
    <row r="299" spans="1:12" x14ac:dyDescent="0.35">
      <c r="A299" t="s">
        <v>321</v>
      </c>
      <c r="B299" t="s">
        <v>11</v>
      </c>
      <c r="C299">
        <v>66</v>
      </c>
      <c r="D299">
        <v>21</v>
      </c>
      <c r="E299" t="s">
        <v>12</v>
      </c>
      <c r="F299" t="s">
        <v>29</v>
      </c>
      <c r="G299" t="s">
        <v>23</v>
      </c>
      <c r="H299">
        <v>41.13</v>
      </c>
      <c r="I299">
        <v>919.1</v>
      </c>
      <c r="J299" t="s">
        <v>15</v>
      </c>
      <c r="K299" t="str">
        <f>IF(D299&lt;=12,"0-12 Months",IF(D299&lt;=24,"13-24 Months",IF(D299&lt;=48,"25-48 Months","49+ Months")))</f>
        <v>13-24 Months</v>
      </c>
      <c r="L299">
        <f>IF(Table1346[[#This Row],[Churn]]="Yes",1,0)</f>
        <v>0</v>
      </c>
    </row>
    <row r="300" spans="1:12" x14ac:dyDescent="0.35">
      <c r="A300" t="s">
        <v>322</v>
      </c>
      <c r="B300" t="s">
        <v>11</v>
      </c>
      <c r="C300">
        <v>47</v>
      </c>
      <c r="D300">
        <v>15</v>
      </c>
      <c r="E300" t="s">
        <v>18</v>
      </c>
      <c r="F300" t="s">
        <v>13</v>
      </c>
      <c r="G300" t="s">
        <v>14</v>
      </c>
      <c r="H300">
        <v>107.83</v>
      </c>
      <c r="I300">
        <v>1458.02</v>
      </c>
      <c r="J300" t="s">
        <v>15</v>
      </c>
      <c r="K300" t="str">
        <f>IF(D300&lt;=12,"0-12 Months",IF(D300&lt;=24,"13-24 Months",IF(D300&lt;=48,"25-48 Months","49+ Months")))</f>
        <v>13-24 Months</v>
      </c>
      <c r="L300">
        <f>IF(Table1346[[#This Row],[Churn]]="Yes",1,0)</f>
        <v>0</v>
      </c>
    </row>
    <row r="301" spans="1:12" x14ac:dyDescent="0.35">
      <c r="A301" t="s">
        <v>323</v>
      </c>
      <c r="B301" t="s">
        <v>17</v>
      </c>
      <c r="C301">
        <v>55</v>
      </c>
      <c r="D301">
        <v>26</v>
      </c>
      <c r="E301" t="s">
        <v>12</v>
      </c>
      <c r="F301" t="s">
        <v>13</v>
      </c>
      <c r="G301" t="s">
        <v>23</v>
      </c>
      <c r="H301">
        <v>24.95</v>
      </c>
      <c r="I301">
        <v>643.09</v>
      </c>
      <c r="J301" t="s">
        <v>15</v>
      </c>
      <c r="K301" t="str">
        <f>IF(D301&lt;=12,"0-12 Months",IF(D301&lt;=24,"13-24 Months",IF(D301&lt;=48,"25-48 Months","49+ Months")))</f>
        <v>25-48 Months</v>
      </c>
      <c r="L301">
        <f>IF(Table1346[[#This Row],[Churn]]="Yes",1,0)</f>
        <v>0</v>
      </c>
    </row>
    <row r="302" spans="1:12" x14ac:dyDescent="0.35">
      <c r="A302" t="s">
        <v>324</v>
      </c>
      <c r="B302" t="s">
        <v>11</v>
      </c>
      <c r="C302">
        <v>68</v>
      </c>
      <c r="D302">
        <v>8</v>
      </c>
      <c r="E302" t="s">
        <v>12</v>
      </c>
      <c r="F302" t="s">
        <v>33</v>
      </c>
      <c r="G302" t="s">
        <v>23</v>
      </c>
      <c r="H302">
        <v>100.6</v>
      </c>
      <c r="I302">
        <v>777.31</v>
      </c>
      <c r="J302" t="s">
        <v>27</v>
      </c>
      <c r="K302" t="str">
        <f>IF(D302&lt;=12,"0-12 Months",IF(D302&lt;=24,"13-24 Months",IF(D302&lt;=48,"25-48 Months","49+ Months")))</f>
        <v>0-12 Months</v>
      </c>
      <c r="L302">
        <f>IF(Table1346[[#This Row],[Churn]]="Yes",1,0)</f>
        <v>1</v>
      </c>
    </row>
    <row r="303" spans="1:12" x14ac:dyDescent="0.35">
      <c r="A303" t="s">
        <v>325</v>
      </c>
      <c r="B303" t="s">
        <v>11</v>
      </c>
      <c r="C303">
        <v>19</v>
      </c>
      <c r="D303">
        <v>42</v>
      </c>
      <c r="E303" t="s">
        <v>21</v>
      </c>
      <c r="F303" t="s">
        <v>13</v>
      </c>
      <c r="G303" t="s">
        <v>19</v>
      </c>
      <c r="H303">
        <v>110.77</v>
      </c>
      <c r="I303">
        <v>4235.9399999999996</v>
      </c>
      <c r="J303" t="s">
        <v>27</v>
      </c>
      <c r="K303" t="str">
        <f>IF(D303&lt;=12,"0-12 Months",IF(D303&lt;=24,"13-24 Months",IF(D303&lt;=48,"25-48 Months","49+ Months")))</f>
        <v>25-48 Months</v>
      </c>
      <c r="L303">
        <f>IF(Table1346[[#This Row],[Churn]]="Yes",1,0)</f>
        <v>1</v>
      </c>
    </row>
    <row r="304" spans="1:12" x14ac:dyDescent="0.35">
      <c r="A304" t="s">
        <v>326</v>
      </c>
      <c r="B304" t="s">
        <v>11</v>
      </c>
      <c r="C304">
        <v>32</v>
      </c>
      <c r="D304">
        <v>44</v>
      </c>
      <c r="E304" t="s">
        <v>18</v>
      </c>
      <c r="F304" t="s">
        <v>13</v>
      </c>
      <c r="G304" t="s">
        <v>14</v>
      </c>
      <c r="H304">
        <v>47.94</v>
      </c>
      <c r="I304">
        <v>2088.37</v>
      </c>
      <c r="J304" t="s">
        <v>15</v>
      </c>
      <c r="K304" t="str">
        <f>IF(D304&lt;=12,"0-12 Months",IF(D304&lt;=24,"13-24 Months",IF(D304&lt;=48,"25-48 Months","49+ Months")))</f>
        <v>25-48 Months</v>
      </c>
      <c r="L304">
        <f>IF(Table1346[[#This Row],[Churn]]="Yes",1,0)</f>
        <v>0</v>
      </c>
    </row>
    <row r="305" spans="1:12" x14ac:dyDescent="0.35">
      <c r="A305" t="s">
        <v>327</v>
      </c>
      <c r="B305" t="s">
        <v>17</v>
      </c>
      <c r="C305">
        <v>28</v>
      </c>
      <c r="D305">
        <v>14</v>
      </c>
      <c r="E305" t="s">
        <v>12</v>
      </c>
      <c r="F305" t="s">
        <v>29</v>
      </c>
      <c r="G305" t="s">
        <v>19</v>
      </c>
      <c r="H305">
        <v>25.46</v>
      </c>
      <c r="I305">
        <v>338.96</v>
      </c>
      <c r="J305" t="s">
        <v>15</v>
      </c>
      <c r="K305" t="str">
        <f>IF(D305&lt;=12,"0-12 Months",IF(D305&lt;=24,"13-24 Months",IF(D305&lt;=48,"25-48 Months","49+ Months")))</f>
        <v>13-24 Months</v>
      </c>
      <c r="L305">
        <f>IF(Table1346[[#This Row],[Churn]]="Yes",1,0)</f>
        <v>0</v>
      </c>
    </row>
    <row r="306" spans="1:12" x14ac:dyDescent="0.35">
      <c r="A306" t="s">
        <v>328</v>
      </c>
      <c r="B306" t="s">
        <v>17</v>
      </c>
      <c r="C306">
        <v>25</v>
      </c>
      <c r="D306">
        <v>2</v>
      </c>
      <c r="E306" t="s">
        <v>12</v>
      </c>
      <c r="F306" t="s">
        <v>13</v>
      </c>
      <c r="G306" t="s">
        <v>19</v>
      </c>
      <c r="H306">
        <v>67.27</v>
      </c>
      <c r="I306">
        <v>130.55000000000001</v>
      </c>
      <c r="J306" t="s">
        <v>27</v>
      </c>
      <c r="K306" t="str">
        <f>IF(D306&lt;=12,"0-12 Months",IF(D306&lt;=24,"13-24 Months",IF(D306&lt;=48,"25-48 Months","49+ Months")))</f>
        <v>0-12 Months</v>
      </c>
      <c r="L306">
        <f>IF(Table1346[[#This Row],[Churn]]="Yes",1,0)</f>
        <v>1</v>
      </c>
    </row>
    <row r="307" spans="1:12" x14ac:dyDescent="0.35">
      <c r="A307" t="s">
        <v>329</v>
      </c>
      <c r="B307" t="s">
        <v>11</v>
      </c>
      <c r="C307">
        <v>43</v>
      </c>
      <c r="D307">
        <v>37</v>
      </c>
      <c r="E307" t="s">
        <v>12</v>
      </c>
      <c r="F307" t="s">
        <v>22</v>
      </c>
      <c r="G307" t="s">
        <v>14</v>
      </c>
      <c r="H307">
        <v>32.82</v>
      </c>
      <c r="I307">
        <v>1264.28</v>
      </c>
      <c r="J307" t="s">
        <v>27</v>
      </c>
      <c r="K307" t="str">
        <f>IF(D307&lt;=12,"0-12 Months",IF(D307&lt;=24,"13-24 Months",IF(D307&lt;=48,"25-48 Months","49+ Months")))</f>
        <v>25-48 Months</v>
      </c>
      <c r="L307">
        <f>IF(Table1346[[#This Row],[Churn]]="Yes",1,0)</f>
        <v>1</v>
      </c>
    </row>
    <row r="308" spans="1:12" x14ac:dyDescent="0.35">
      <c r="A308" t="s">
        <v>330</v>
      </c>
      <c r="B308" t="s">
        <v>17</v>
      </c>
      <c r="C308">
        <v>68</v>
      </c>
      <c r="D308">
        <v>69</v>
      </c>
      <c r="E308" t="s">
        <v>12</v>
      </c>
      <c r="F308" t="s">
        <v>29</v>
      </c>
      <c r="G308" t="s">
        <v>23</v>
      </c>
      <c r="H308">
        <v>35.14</v>
      </c>
      <c r="I308">
        <v>2435.11</v>
      </c>
      <c r="J308" t="s">
        <v>15</v>
      </c>
      <c r="K308" t="str">
        <f>IF(D308&lt;=12,"0-12 Months",IF(D308&lt;=24,"13-24 Months",IF(D308&lt;=48,"25-48 Months","49+ Months")))</f>
        <v>49+ Months</v>
      </c>
      <c r="L308">
        <f>IF(Table1346[[#This Row],[Churn]]="Yes",1,0)</f>
        <v>0</v>
      </c>
    </row>
    <row r="309" spans="1:12" x14ac:dyDescent="0.35">
      <c r="A309" t="s">
        <v>331</v>
      </c>
      <c r="B309" t="s">
        <v>17</v>
      </c>
      <c r="C309">
        <v>62</v>
      </c>
      <c r="D309">
        <v>38</v>
      </c>
      <c r="E309" t="s">
        <v>21</v>
      </c>
      <c r="F309" t="s">
        <v>29</v>
      </c>
      <c r="G309" t="s">
        <v>23</v>
      </c>
      <c r="H309">
        <v>53.05</v>
      </c>
      <c r="I309">
        <v>1864.57</v>
      </c>
      <c r="J309" t="s">
        <v>27</v>
      </c>
      <c r="K309" t="str">
        <f>IF(D309&lt;=12,"0-12 Months",IF(D309&lt;=24,"13-24 Months",IF(D309&lt;=48,"25-48 Months","49+ Months")))</f>
        <v>25-48 Months</v>
      </c>
      <c r="L309">
        <f>IF(Table1346[[#This Row],[Churn]]="Yes",1,0)</f>
        <v>1</v>
      </c>
    </row>
    <row r="310" spans="1:12" x14ac:dyDescent="0.35">
      <c r="A310" t="s">
        <v>332</v>
      </c>
      <c r="B310" t="s">
        <v>17</v>
      </c>
      <c r="C310">
        <v>61</v>
      </c>
      <c r="D310">
        <v>41</v>
      </c>
      <c r="E310" t="s">
        <v>12</v>
      </c>
      <c r="F310" t="s">
        <v>29</v>
      </c>
      <c r="G310" t="s">
        <v>23</v>
      </c>
      <c r="H310">
        <v>58.41</v>
      </c>
      <c r="I310">
        <v>2615.81</v>
      </c>
      <c r="J310" t="s">
        <v>27</v>
      </c>
      <c r="K310" t="str">
        <f>IF(D310&lt;=12,"0-12 Months",IF(D310&lt;=24,"13-24 Months",IF(D310&lt;=48,"25-48 Months","49+ Months")))</f>
        <v>25-48 Months</v>
      </c>
      <c r="L310">
        <f>IF(Table1346[[#This Row],[Churn]]="Yes",1,0)</f>
        <v>1</v>
      </c>
    </row>
    <row r="311" spans="1:12" x14ac:dyDescent="0.35">
      <c r="A311" t="s">
        <v>333</v>
      </c>
      <c r="B311" t="s">
        <v>17</v>
      </c>
      <c r="C311">
        <v>22</v>
      </c>
      <c r="D311">
        <v>62</v>
      </c>
      <c r="E311" t="s">
        <v>12</v>
      </c>
      <c r="F311" t="s">
        <v>29</v>
      </c>
      <c r="G311" t="s">
        <v>19</v>
      </c>
      <c r="H311">
        <v>88.9</v>
      </c>
      <c r="I311">
        <v>5661.62</v>
      </c>
      <c r="J311" t="s">
        <v>15</v>
      </c>
      <c r="K311" t="str">
        <f>IF(D311&lt;=12,"0-12 Months",IF(D311&lt;=24,"13-24 Months",IF(D311&lt;=48,"25-48 Months","49+ Months")))</f>
        <v>49+ Months</v>
      </c>
      <c r="L311">
        <f>IF(Table1346[[#This Row],[Churn]]="Yes",1,0)</f>
        <v>0</v>
      </c>
    </row>
    <row r="312" spans="1:12" x14ac:dyDescent="0.35">
      <c r="A312" t="s">
        <v>334</v>
      </c>
      <c r="B312" t="s">
        <v>17</v>
      </c>
      <c r="C312">
        <v>23</v>
      </c>
      <c r="D312">
        <v>60</v>
      </c>
      <c r="E312" t="s">
        <v>12</v>
      </c>
      <c r="F312" t="s">
        <v>13</v>
      </c>
      <c r="G312" t="s">
        <v>19</v>
      </c>
      <c r="H312">
        <v>108.19</v>
      </c>
      <c r="I312">
        <v>6836.57</v>
      </c>
      <c r="J312" t="s">
        <v>15</v>
      </c>
      <c r="K312" t="str">
        <f>IF(D312&lt;=12,"0-12 Months",IF(D312&lt;=24,"13-24 Months",IF(D312&lt;=48,"25-48 Months","49+ Months")))</f>
        <v>49+ Months</v>
      </c>
      <c r="L312">
        <f>IF(Table1346[[#This Row],[Churn]]="Yes",1,0)</f>
        <v>0</v>
      </c>
    </row>
    <row r="313" spans="1:12" x14ac:dyDescent="0.35">
      <c r="A313" t="s">
        <v>335</v>
      </c>
      <c r="B313" t="s">
        <v>11</v>
      </c>
      <c r="C313">
        <v>43</v>
      </c>
      <c r="D313">
        <v>14</v>
      </c>
      <c r="E313" t="s">
        <v>21</v>
      </c>
      <c r="F313" t="s">
        <v>29</v>
      </c>
      <c r="G313" t="s">
        <v>14</v>
      </c>
      <c r="H313">
        <v>97.06</v>
      </c>
      <c r="I313">
        <v>1244.48</v>
      </c>
      <c r="J313" t="s">
        <v>15</v>
      </c>
      <c r="K313" t="str">
        <f>IF(D313&lt;=12,"0-12 Months",IF(D313&lt;=24,"13-24 Months",IF(D313&lt;=48,"25-48 Months","49+ Months")))</f>
        <v>13-24 Months</v>
      </c>
      <c r="L313">
        <f>IF(Table1346[[#This Row],[Churn]]="Yes",1,0)</f>
        <v>0</v>
      </c>
    </row>
    <row r="314" spans="1:12" x14ac:dyDescent="0.35">
      <c r="A314" t="s">
        <v>336</v>
      </c>
      <c r="B314" t="s">
        <v>17</v>
      </c>
      <c r="C314">
        <v>21</v>
      </c>
      <c r="D314">
        <v>2</v>
      </c>
      <c r="E314" t="s">
        <v>12</v>
      </c>
      <c r="F314" t="s">
        <v>22</v>
      </c>
      <c r="G314" t="s">
        <v>19</v>
      </c>
      <c r="H314">
        <v>39.29</v>
      </c>
      <c r="I314">
        <v>71.459999999999994</v>
      </c>
      <c r="J314" t="s">
        <v>15</v>
      </c>
      <c r="K314" t="str">
        <f>IF(D314&lt;=12,"0-12 Months",IF(D314&lt;=24,"13-24 Months",IF(D314&lt;=48,"25-48 Months","49+ Months")))</f>
        <v>0-12 Months</v>
      </c>
      <c r="L314">
        <f>IF(Table1346[[#This Row],[Churn]]="Yes",1,0)</f>
        <v>0</v>
      </c>
    </row>
    <row r="315" spans="1:12" x14ac:dyDescent="0.35">
      <c r="A315" t="s">
        <v>337</v>
      </c>
      <c r="B315" t="s">
        <v>11</v>
      </c>
      <c r="C315">
        <v>36</v>
      </c>
      <c r="D315">
        <v>70</v>
      </c>
      <c r="E315" t="s">
        <v>18</v>
      </c>
      <c r="F315" t="s">
        <v>33</v>
      </c>
      <c r="G315" t="s">
        <v>14</v>
      </c>
      <c r="H315">
        <v>42.37</v>
      </c>
      <c r="I315">
        <v>2680.85</v>
      </c>
      <c r="J315" t="s">
        <v>15</v>
      </c>
      <c r="K315" t="str">
        <f>IF(D315&lt;=12,"0-12 Months",IF(D315&lt;=24,"13-24 Months",IF(D315&lt;=48,"25-48 Months","49+ Months")))</f>
        <v>49+ Months</v>
      </c>
      <c r="L315">
        <f>IF(Table1346[[#This Row],[Churn]]="Yes",1,0)</f>
        <v>0</v>
      </c>
    </row>
    <row r="316" spans="1:12" x14ac:dyDescent="0.35">
      <c r="A316" t="s">
        <v>338</v>
      </c>
      <c r="B316" t="s">
        <v>11</v>
      </c>
      <c r="C316">
        <v>37</v>
      </c>
      <c r="D316">
        <v>17</v>
      </c>
      <c r="E316" t="s">
        <v>12</v>
      </c>
      <c r="F316" t="s">
        <v>13</v>
      </c>
      <c r="G316" t="s">
        <v>14</v>
      </c>
      <c r="H316">
        <v>134.24</v>
      </c>
      <c r="I316">
        <v>2140.04</v>
      </c>
      <c r="J316" t="s">
        <v>27</v>
      </c>
      <c r="K316" t="str">
        <f>IF(D316&lt;=12,"0-12 Months",IF(D316&lt;=24,"13-24 Months",IF(D316&lt;=48,"25-48 Months","49+ Months")))</f>
        <v>13-24 Months</v>
      </c>
      <c r="L316">
        <f>IF(Table1346[[#This Row],[Churn]]="Yes",1,0)</f>
        <v>1</v>
      </c>
    </row>
    <row r="317" spans="1:12" x14ac:dyDescent="0.35">
      <c r="A317" t="s">
        <v>339</v>
      </c>
      <c r="B317" t="s">
        <v>17</v>
      </c>
      <c r="C317">
        <v>50</v>
      </c>
      <c r="D317">
        <v>28</v>
      </c>
      <c r="E317" t="s">
        <v>18</v>
      </c>
      <c r="F317" t="s">
        <v>33</v>
      </c>
      <c r="G317" t="s">
        <v>23</v>
      </c>
      <c r="H317">
        <v>92.59</v>
      </c>
      <c r="I317">
        <v>2548.14</v>
      </c>
      <c r="J317" t="s">
        <v>15</v>
      </c>
      <c r="K317" t="str">
        <f>IF(D317&lt;=12,"0-12 Months",IF(D317&lt;=24,"13-24 Months",IF(D317&lt;=48,"25-48 Months","49+ Months")))</f>
        <v>25-48 Months</v>
      </c>
      <c r="L317">
        <f>IF(Table1346[[#This Row],[Churn]]="Yes",1,0)</f>
        <v>0</v>
      </c>
    </row>
    <row r="318" spans="1:12" x14ac:dyDescent="0.35">
      <c r="A318" t="s">
        <v>340</v>
      </c>
      <c r="B318" t="s">
        <v>11</v>
      </c>
      <c r="C318">
        <v>37</v>
      </c>
      <c r="D318">
        <v>66</v>
      </c>
      <c r="E318" t="s">
        <v>18</v>
      </c>
      <c r="F318" t="s">
        <v>13</v>
      </c>
      <c r="G318" t="s">
        <v>14</v>
      </c>
      <c r="H318">
        <v>133.09</v>
      </c>
      <c r="I318">
        <v>9549.59</v>
      </c>
      <c r="J318" t="s">
        <v>15</v>
      </c>
      <c r="K318" t="str">
        <f>IF(D318&lt;=12,"0-12 Months",IF(D318&lt;=24,"13-24 Months",IF(D318&lt;=48,"25-48 Months","49+ Months")))</f>
        <v>49+ Months</v>
      </c>
      <c r="L318">
        <f>IF(Table1346[[#This Row],[Churn]]="Yes",1,0)</f>
        <v>0</v>
      </c>
    </row>
    <row r="319" spans="1:12" x14ac:dyDescent="0.35">
      <c r="A319" t="s">
        <v>341</v>
      </c>
      <c r="B319" t="s">
        <v>11</v>
      </c>
      <c r="C319">
        <v>66</v>
      </c>
      <c r="D319">
        <v>35</v>
      </c>
      <c r="E319" t="s">
        <v>12</v>
      </c>
      <c r="F319" t="s">
        <v>13</v>
      </c>
      <c r="G319" t="s">
        <v>23</v>
      </c>
      <c r="H319">
        <v>68.3</v>
      </c>
      <c r="I319">
        <v>2369.9699999999998</v>
      </c>
      <c r="J319" t="s">
        <v>15</v>
      </c>
      <c r="K319" t="str">
        <f>IF(D319&lt;=12,"0-12 Months",IF(D319&lt;=24,"13-24 Months",IF(D319&lt;=48,"25-48 Months","49+ Months")))</f>
        <v>25-48 Months</v>
      </c>
      <c r="L319">
        <f>IF(Table1346[[#This Row],[Churn]]="Yes",1,0)</f>
        <v>0</v>
      </c>
    </row>
    <row r="320" spans="1:12" x14ac:dyDescent="0.35">
      <c r="A320" t="s">
        <v>342</v>
      </c>
      <c r="B320" t="s">
        <v>11</v>
      </c>
      <c r="C320">
        <v>29</v>
      </c>
      <c r="D320">
        <v>5</v>
      </c>
      <c r="E320" t="s">
        <v>12</v>
      </c>
      <c r="F320" t="s">
        <v>33</v>
      </c>
      <c r="G320" t="s">
        <v>19</v>
      </c>
      <c r="H320">
        <v>99.87</v>
      </c>
      <c r="I320">
        <v>478.4</v>
      </c>
      <c r="J320" t="s">
        <v>27</v>
      </c>
      <c r="K320" t="str">
        <f>IF(D320&lt;=12,"0-12 Months",IF(D320&lt;=24,"13-24 Months",IF(D320&lt;=48,"25-48 Months","49+ Months")))</f>
        <v>0-12 Months</v>
      </c>
      <c r="L320">
        <f>IF(Table1346[[#This Row],[Churn]]="Yes",1,0)</f>
        <v>1</v>
      </c>
    </row>
    <row r="321" spans="1:12" x14ac:dyDescent="0.35">
      <c r="A321" t="s">
        <v>343</v>
      </c>
      <c r="B321" t="s">
        <v>17</v>
      </c>
      <c r="C321">
        <v>64</v>
      </c>
      <c r="D321">
        <v>65</v>
      </c>
      <c r="E321" t="s">
        <v>12</v>
      </c>
      <c r="F321" t="s">
        <v>29</v>
      </c>
      <c r="G321" t="s">
        <v>23</v>
      </c>
      <c r="H321">
        <v>88.08</v>
      </c>
      <c r="I321">
        <v>5796.12</v>
      </c>
      <c r="J321" t="s">
        <v>15</v>
      </c>
      <c r="K321" t="str">
        <f>IF(D321&lt;=12,"0-12 Months",IF(D321&lt;=24,"13-24 Months",IF(D321&lt;=48,"25-48 Months","49+ Months")))</f>
        <v>49+ Months</v>
      </c>
      <c r="L321">
        <f>IF(Table1346[[#This Row],[Churn]]="Yes",1,0)</f>
        <v>0</v>
      </c>
    </row>
    <row r="322" spans="1:12" x14ac:dyDescent="0.35">
      <c r="A322" t="s">
        <v>344</v>
      </c>
      <c r="B322" t="s">
        <v>17</v>
      </c>
      <c r="C322">
        <v>18</v>
      </c>
      <c r="D322">
        <v>40</v>
      </c>
      <c r="E322" t="s">
        <v>12</v>
      </c>
      <c r="F322" t="s">
        <v>33</v>
      </c>
      <c r="G322" t="s">
        <v>19</v>
      </c>
      <c r="H322">
        <v>61.49</v>
      </c>
      <c r="I322">
        <v>2268.6999999999998</v>
      </c>
      <c r="J322" t="s">
        <v>27</v>
      </c>
      <c r="K322" t="str">
        <f>IF(D322&lt;=12,"0-12 Months",IF(D322&lt;=24,"13-24 Months",IF(D322&lt;=48,"25-48 Months","49+ Months")))</f>
        <v>25-48 Months</v>
      </c>
      <c r="L322">
        <f>IF(Table1346[[#This Row],[Churn]]="Yes",1,0)</f>
        <v>1</v>
      </c>
    </row>
    <row r="323" spans="1:12" x14ac:dyDescent="0.35">
      <c r="A323" t="s">
        <v>345</v>
      </c>
      <c r="B323" t="s">
        <v>11</v>
      </c>
      <c r="C323">
        <v>43</v>
      </c>
      <c r="D323">
        <v>56</v>
      </c>
      <c r="E323" t="s">
        <v>12</v>
      </c>
      <c r="F323" t="s">
        <v>29</v>
      </c>
      <c r="G323" t="s">
        <v>14</v>
      </c>
      <c r="H323">
        <v>81.09</v>
      </c>
      <c r="I323">
        <v>4640.49</v>
      </c>
      <c r="J323" t="s">
        <v>15</v>
      </c>
      <c r="K323" t="str">
        <f>IF(D323&lt;=12,"0-12 Months",IF(D323&lt;=24,"13-24 Months",IF(D323&lt;=48,"25-48 Months","49+ Months")))</f>
        <v>49+ Months</v>
      </c>
      <c r="L323">
        <f>IF(Table1346[[#This Row],[Churn]]="Yes",1,0)</f>
        <v>0</v>
      </c>
    </row>
    <row r="324" spans="1:12" x14ac:dyDescent="0.35">
      <c r="A324" t="s">
        <v>346</v>
      </c>
      <c r="B324" t="s">
        <v>17</v>
      </c>
      <c r="C324">
        <v>31</v>
      </c>
      <c r="D324">
        <v>36</v>
      </c>
      <c r="E324" t="s">
        <v>12</v>
      </c>
      <c r="F324" t="s">
        <v>13</v>
      </c>
      <c r="G324" t="s">
        <v>14</v>
      </c>
      <c r="H324">
        <v>85.32</v>
      </c>
      <c r="I324">
        <v>3113.56</v>
      </c>
      <c r="J324" t="s">
        <v>27</v>
      </c>
      <c r="K324" t="str">
        <f>IF(D324&lt;=12,"0-12 Months",IF(D324&lt;=24,"13-24 Months",IF(D324&lt;=48,"25-48 Months","49+ Months")))</f>
        <v>25-48 Months</v>
      </c>
      <c r="L324">
        <f>IF(Table1346[[#This Row],[Churn]]="Yes",1,0)</f>
        <v>1</v>
      </c>
    </row>
    <row r="325" spans="1:12" x14ac:dyDescent="0.35">
      <c r="A325" t="s">
        <v>347</v>
      </c>
      <c r="B325" t="s">
        <v>17</v>
      </c>
      <c r="C325">
        <v>55</v>
      </c>
      <c r="D325">
        <v>45</v>
      </c>
      <c r="E325" t="s">
        <v>12</v>
      </c>
      <c r="F325" t="s">
        <v>29</v>
      </c>
      <c r="G325" t="s">
        <v>23</v>
      </c>
      <c r="H325">
        <v>46.1</v>
      </c>
      <c r="I325">
        <v>2195.65</v>
      </c>
      <c r="J325" t="s">
        <v>15</v>
      </c>
      <c r="K325" t="str">
        <f>IF(D325&lt;=12,"0-12 Months",IF(D325&lt;=24,"13-24 Months",IF(D325&lt;=48,"25-48 Months","49+ Months")))</f>
        <v>25-48 Months</v>
      </c>
      <c r="L325">
        <f>IF(Table1346[[#This Row],[Churn]]="Yes",1,0)</f>
        <v>0</v>
      </c>
    </row>
    <row r="326" spans="1:12" x14ac:dyDescent="0.35">
      <c r="A326" t="s">
        <v>348</v>
      </c>
      <c r="B326" t="s">
        <v>17</v>
      </c>
      <c r="C326">
        <v>54</v>
      </c>
      <c r="D326">
        <v>23</v>
      </c>
      <c r="E326" t="s">
        <v>18</v>
      </c>
      <c r="F326" t="s">
        <v>22</v>
      </c>
      <c r="G326" t="s">
        <v>23</v>
      </c>
      <c r="H326">
        <v>60.95</v>
      </c>
      <c r="I326">
        <v>1538.3</v>
      </c>
      <c r="J326" t="s">
        <v>15</v>
      </c>
      <c r="K326" t="str">
        <f>IF(D326&lt;=12,"0-12 Months",IF(D326&lt;=24,"13-24 Months",IF(D326&lt;=48,"25-48 Months","49+ Months")))</f>
        <v>13-24 Months</v>
      </c>
      <c r="L326">
        <f>IF(Table1346[[#This Row],[Churn]]="Yes",1,0)</f>
        <v>0</v>
      </c>
    </row>
    <row r="327" spans="1:12" x14ac:dyDescent="0.35">
      <c r="A327" t="s">
        <v>349</v>
      </c>
      <c r="B327" t="s">
        <v>17</v>
      </c>
      <c r="C327">
        <v>28</v>
      </c>
      <c r="D327">
        <v>47</v>
      </c>
      <c r="E327" t="s">
        <v>12</v>
      </c>
      <c r="F327" t="s">
        <v>22</v>
      </c>
      <c r="G327" t="s">
        <v>19</v>
      </c>
      <c r="H327">
        <v>122.88</v>
      </c>
      <c r="I327">
        <v>5487.6</v>
      </c>
      <c r="J327" t="s">
        <v>27</v>
      </c>
      <c r="K327" t="str">
        <f>IF(D327&lt;=12,"0-12 Months",IF(D327&lt;=24,"13-24 Months",IF(D327&lt;=48,"25-48 Months","49+ Months")))</f>
        <v>25-48 Months</v>
      </c>
      <c r="L327">
        <f>IF(Table1346[[#This Row],[Churn]]="Yes",1,0)</f>
        <v>1</v>
      </c>
    </row>
    <row r="328" spans="1:12" x14ac:dyDescent="0.35">
      <c r="A328" t="s">
        <v>350</v>
      </c>
      <c r="B328" t="s">
        <v>11</v>
      </c>
      <c r="C328">
        <v>53</v>
      </c>
      <c r="D328">
        <v>31</v>
      </c>
      <c r="E328" t="s">
        <v>18</v>
      </c>
      <c r="F328" t="s">
        <v>22</v>
      </c>
      <c r="G328" t="s">
        <v>23</v>
      </c>
      <c r="H328">
        <v>139.05000000000001</v>
      </c>
      <c r="I328">
        <v>4318.87</v>
      </c>
      <c r="J328" t="s">
        <v>15</v>
      </c>
      <c r="K328" t="str">
        <f>IF(D328&lt;=12,"0-12 Months",IF(D328&lt;=24,"13-24 Months",IF(D328&lt;=48,"25-48 Months","49+ Months")))</f>
        <v>25-48 Months</v>
      </c>
      <c r="L328">
        <f>IF(Table1346[[#This Row],[Churn]]="Yes",1,0)</f>
        <v>0</v>
      </c>
    </row>
    <row r="329" spans="1:12" x14ac:dyDescent="0.35">
      <c r="A329" t="s">
        <v>351</v>
      </c>
      <c r="B329" t="s">
        <v>11</v>
      </c>
      <c r="C329">
        <v>30</v>
      </c>
      <c r="D329">
        <v>11</v>
      </c>
      <c r="E329" t="s">
        <v>12</v>
      </c>
      <c r="F329" t="s">
        <v>13</v>
      </c>
      <c r="G329" t="s">
        <v>14</v>
      </c>
      <c r="H329">
        <v>66.77</v>
      </c>
      <c r="I329">
        <v>794.53</v>
      </c>
      <c r="J329" t="s">
        <v>15</v>
      </c>
      <c r="K329" t="str">
        <f>IF(D329&lt;=12,"0-12 Months",IF(D329&lt;=24,"13-24 Months",IF(D329&lt;=48,"25-48 Months","49+ Months")))</f>
        <v>0-12 Months</v>
      </c>
      <c r="L329">
        <f>IF(Table1346[[#This Row],[Churn]]="Yes",1,0)</f>
        <v>0</v>
      </c>
    </row>
    <row r="330" spans="1:12" x14ac:dyDescent="0.35">
      <c r="A330" t="s">
        <v>352</v>
      </c>
      <c r="B330" t="s">
        <v>17</v>
      </c>
      <c r="C330">
        <v>60</v>
      </c>
      <c r="D330">
        <v>10</v>
      </c>
      <c r="E330" t="s">
        <v>18</v>
      </c>
      <c r="F330" t="s">
        <v>13</v>
      </c>
      <c r="G330" t="s">
        <v>23</v>
      </c>
      <c r="H330">
        <v>59.91</v>
      </c>
      <c r="I330">
        <v>633.27</v>
      </c>
      <c r="J330" t="s">
        <v>15</v>
      </c>
      <c r="K330" t="str">
        <f>IF(D330&lt;=12,"0-12 Months",IF(D330&lt;=24,"13-24 Months",IF(D330&lt;=48,"25-48 Months","49+ Months")))</f>
        <v>0-12 Months</v>
      </c>
      <c r="L330">
        <f>IF(Table1346[[#This Row],[Churn]]="Yes",1,0)</f>
        <v>0</v>
      </c>
    </row>
    <row r="331" spans="1:12" x14ac:dyDescent="0.35">
      <c r="A331" t="s">
        <v>353</v>
      </c>
      <c r="B331" t="s">
        <v>17</v>
      </c>
      <c r="C331">
        <v>20</v>
      </c>
      <c r="D331">
        <v>67</v>
      </c>
      <c r="E331" t="s">
        <v>21</v>
      </c>
      <c r="F331" t="s">
        <v>29</v>
      </c>
      <c r="G331" t="s">
        <v>19</v>
      </c>
      <c r="H331">
        <v>45.38</v>
      </c>
      <c r="I331">
        <v>3032.8</v>
      </c>
      <c r="J331" t="s">
        <v>15</v>
      </c>
      <c r="K331" t="str">
        <f>IF(D331&lt;=12,"0-12 Months",IF(D331&lt;=24,"13-24 Months",IF(D331&lt;=48,"25-48 Months","49+ Months")))</f>
        <v>49+ Months</v>
      </c>
      <c r="L331">
        <f>IF(Table1346[[#This Row],[Churn]]="Yes",1,0)</f>
        <v>0</v>
      </c>
    </row>
    <row r="332" spans="1:12" x14ac:dyDescent="0.35">
      <c r="A332" t="s">
        <v>354</v>
      </c>
      <c r="B332" t="s">
        <v>11</v>
      </c>
      <c r="C332">
        <v>50</v>
      </c>
      <c r="D332">
        <v>14</v>
      </c>
      <c r="E332" t="s">
        <v>12</v>
      </c>
      <c r="F332" t="s">
        <v>29</v>
      </c>
      <c r="G332" t="s">
        <v>23</v>
      </c>
      <c r="H332">
        <v>108.2</v>
      </c>
      <c r="I332">
        <v>1649.73</v>
      </c>
      <c r="J332" t="s">
        <v>15</v>
      </c>
      <c r="K332" t="str">
        <f>IF(D332&lt;=12,"0-12 Months",IF(D332&lt;=24,"13-24 Months",IF(D332&lt;=48,"25-48 Months","49+ Months")))</f>
        <v>13-24 Months</v>
      </c>
      <c r="L332">
        <f>IF(Table1346[[#This Row],[Churn]]="Yes",1,0)</f>
        <v>0</v>
      </c>
    </row>
    <row r="333" spans="1:12" x14ac:dyDescent="0.35">
      <c r="A333" t="s">
        <v>355</v>
      </c>
      <c r="B333" t="s">
        <v>11</v>
      </c>
      <c r="C333">
        <v>23</v>
      </c>
      <c r="D333">
        <v>10</v>
      </c>
      <c r="E333" t="s">
        <v>21</v>
      </c>
      <c r="F333" t="s">
        <v>33</v>
      </c>
      <c r="G333" t="s">
        <v>19</v>
      </c>
      <c r="H333">
        <v>62</v>
      </c>
      <c r="I333">
        <v>565.1</v>
      </c>
      <c r="J333" t="s">
        <v>15</v>
      </c>
      <c r="K333" t="str">
        <f>IF(D333&lt;=12,"0-12 Months",IF(D333&lt;=24,"13-24 Months",IF(D333&lt;=48,"25-48 Months","49+ Months")))</f>
        <v>0-12 Months</v>
      </c>
      <c r="L333">
        <f>IF(Table1346[[#This Row],[Churn]]="Yes",1,0)</f>
        <v>0</v>
      </c>
    </row>
    <row r="334" spans="1:12" x14ac:dyDescent="0.35">
      <c r="A334" t="s">
        <v>356</v>
      </c>
      <c r="B334" t="s">
        <v>17</v>
      </c>
      <c r="C334">
        <v>67</v>
      </c>
      <c r="D334">
        <v>1</v>
      </c>
      <c r="E334" t="s">
        <v>12</v>
      </c>
      <c r="F334" t="s">
        <v>13</v>
      </c>
      <c r="G334" t="s">
        <v>23</v>
      </c>
      <c r="H334">
        <v>148.41</v>
      </c>
      <c r="I334">
        <v>161.19999999999999</v>
      </c>
      <c r="J334" t="s">
        <v>27</v>
      </c>
      <c r="K334" t="str">
        <f>IF(D334&lt;=12,"0-12 Months",IF(D334&lt;=24,"13-24 Months",IF(D334&lt;=48,"25-48 Months","49+ Months")))</f>
        <v>0-12 Months</v>
      </c>
      <c r="L334">
        <f>IF(Table1346[[#This Row],[Churn]]="Yes",1,0)</f>
        <v>1</v>
      </c>
    </row>
    <row r="335" spans="1:12" x14ac:dyDescent="0.35">
      <c r="A335" t="s">
        <v>357</v>
      </c>
      <c r="B335" t="s">
        <v>11</v>
      </c>
      <c r="C335">
        <v>27</v>
      </c>
      <c r="D335">
        <v>5</v>
      </c>
      <c r="E335" t="s">
        <v>12</v>
      </c>
      <c r="F335" t="s">
        <v>33</v>
      </c>
      <c r="G335" t="s">
        <v>19</v>
      </c>
      <c r="H335">
        <v>62.34</v>
      </c>
      <c r="I335">
        <v>283.68</v>
      </c>
      <c r="J335" t="s">
        <v>27</v>
      </c>
      <c r="K335" t="str">
        <f>IF(D335&lt;=12,"0-12 Months",IF(D335&lt;=24,"13-24 Months",IF(D335&lt;=48,"25-48 Months","49+ Months")))</f>
        <v>0-12 Months</v>
      </c>
      <c r="L335">
        <f>IF(Table1346[[#This Row],[Churn]]="Yes",1,0)</f>
        <v>1</v>
      </c>
    </row>
    <row r="336" spans="1:12" x14ac:dyDescent="0.35">
      <c r="A336" t="s">
        <v>358</v>
      </c>
      <c r="B336" t="s">
        <v>17</v>
      </c>
      <c r="C336">
        <v>22</v>
      </c>
      <c r="D336">
        <v>20</v>
      </c>
      <c r="E336" t="s">
        <v>18</v>
      </c>
      <c r="F336" t="s">
        <v>33</v>
      </c>
      <c r="G336" t="s">
        <v>19</v>
      </c>
      <c r="H336">
        <v>71.239999999999995</v>
      </c>
      <c r="I336">
        <v>1438.28</v>
      </c>
      <c r="J336" t="s">
        <v>15</v>
      </c>
      <c r="K336" t="str">
        <f>IF(D336&lt;=12,"0-12 Months",IF(D336&lt;=24,"13-24 Months",IF(D336&lt;=48,"25-48 Months","49+ Months")))</f>
        <v>13-24 Months</v>
      </c>
      <c r="L336">
        <f>IF(Table1346[[#This Row],[Churn]]="Yes",1,0)</f>
        <v>0</v>
      </c>
    </row>
    <row r="337" spans="1:12" x14ac:dyDescent="0.35">
      <c r="A337" t="s">
        <v>359</v>
      </c>
      <c r="B337" t="s">
        <v>17</v>
      </c>
      <c r="C337">
        <v>40</v>
      </c>
      <c r="D337">
        <v>8</v>
      </c>
      <c r="E337" t="s">
        <v>12</v>
      </c>
      <c r="F337" t="s">
        <v>13</v>
      </c>
      <c r="G337" t="s">
        <v>14</v>
      </c>
      <c r="H337">
        <v>98.43</v>
      </c>
      <c r="I337">
        <v>848.93</v>
      </c>
      <c r="J337" t="s">
        <v>15</v>
      </c>
      <c r="K337" t="str">
        <f>IF(D337&lt;=12,"0-12 Months",IF(D337&lt;=24,"13-24 Months",IF(D337&lt;=48,"25-48 Months","49+ Months")))</f>
        <v>0-12 Months</v>
      </c>
      <c r="L337">
        <f>IF(Table1346[[#This Row],[Churn]]="Yes",1,0)</f>
        <v>0</v>
      </c>
    </row>
    <row r="338" spans="1:12" x14ac:dyDescent="0.35">
      <c r="A338" t="s">
        <v>360</v>
      </c>
      <c r="B338" t="s">
        <v>11</v>
      </c>
      <c r="C338">
        <v>27</v>
      </c>
      <c r="D338">
        <v>43</v>
      </c>
      <c r="E338" t="s">
        <v>12</v>
      </c>
      <c r="F338" t="s">
        <v>22</v>
      </c>
      <c r="G338" t="s">
        <v>19</v>
      </c>
      <c r="H338">
        <v>124.22</v>
      </c>
      <c r="I338">
        <v>5087.9799999999996</v>
      </c>
      <c r="J338" t="s">
        <v>15</v>
      </c>
      <c r="K338" t="str">
        <f>IF(D338&lt;=12,"0-12 Months",IF(D338&lt;=24,"13-24 Months",IF(D338&lt;=48,"25-48 Months","49+ Months")))</f>
        <v>25-48 Months</v>
      </c>
      <c r="L338">
        <f>IF(Table1346[[#This Row],[Churn]]="Yes",1,0)</f>
        <v>0</v>
      </c>
    </row>
    <row r="339" spans="1:12" x14ac:dyDescent="0.35">
      <c r="A339" t="s">
        <v>361</v>
      </c>
      <c r="B339" t="s">
        <v>11</v>
      </c>
      <c r="C339">
        <v>61</v>
      </c>
      <c r="D339">
        <v>1</v>
      </c>
      <c r="E339" t="s">
        <v>21</v>
      </c>
      <c r="F339" t="s">
        <v>29</v>
      </c>
      <c r="G339" t="s">
        <v>23</v>
      </c>
      <c r="H339">
        <v>81.040000000000006</v>
      </c>
      <c r="I339">
        <v>80.59</v>
      </c>
      <c r="J339" t="s">
        <v>27</v>
      </c>
      <c r="K339" t="str">
        <f>IF(D339&lt;=12,"0-12 Months",IF(D339&lt;=24,"13-24 Months",IF(D339&lt;=48,"25-48 Months","49+ Months")))</f>
        <v>0-12 Months</v>
      </c>
      <c r="L339">
        <f>IF(Table1346[[#This Row],[Churn]]="Yes",1,0)</f>
        <v>1</v>
      </c>
    </row>
    <row r="340" spans="1:12" x14ac:dyDescent="0.35">
      <c r="A340" t="s">
        <v>362</v>
      </c>
      <c r="B340" t="s">
        <v>17</v>
      </c>
      <c r="C340">
        <v>19</v>
      </c>
      <c r="D340">
        <v>57</v>
      </c>
      <c r="E340" t="s">
        <v>18</v>
      </c>
      <c r="F340" t="s">
        <v>29</v>
      </c>
      <c r="G340" t="s">
        <v>19</v>
      </c>
      <c r="H340">
        <v>74.95</v>
      </c>
      <c r="I340">
        <v>4122.05</v>
      </c>
      <c r="J340" t="s">
        <v>15</v>
      </c>
      <c r="K340" t="str">
        <f>IF(D340&lt;=12,"0-12 Months",IF(D340&lt;=24,"13-24 Months",IF(D340&lt;=48,"25-48 Months","49+ Months")))</f>
        <v>49+ Months</v>
      </c>
      <c r="L340">
        <f>IF(Table1346[[#This Row],[Churn]]="Yes",1,0)</f>
        <v>0</v>
      </c>
    </row>
    <row r="341" spans="1:12" x14ac:dyDescent="0.35">
      <c r="A341" t="s">
        <v>363</v>
      </c>
      <c r="B341" t="s">
        <v>17</v>
      </c>
      <c r="C341">
        <v>30</v>
      </c>
      <c r="D341">
        <v>64</v>
      </c>
      <c r="E341" t="s">
        <v>21</v>
      </c>
      <c r="F341" t="s">
        <v>29</v>
      </c>
      <c r="G341" t="s">
        <v>14</v>
      </c>
      <c r="H341">
        <v>149.43</v>
      </c>
      <c r="I341">
        <v>10428.34</v>
      </c>
      <c r="J341" t="s">
        <v>15</v>
      </c>
      <c r="K341" t="str">
        <f>IF(D341&lt;=12,"0-12 Months",IF(D341&lt;=24,"13-24 Months",IF(D341&lt;=48,"25-48 Months","49+ Months")))</f>
        <v>49+ Months</v>
      </c>
      <c r="L341">
        <f>IF(Table1346[[#This Row],[Churn]]="Yes",1,0)</f>
        <v>0</v>
      </c>
    </row>
    <row r="342" spans="1:12" x14ac:dyDescent="0.35">
      <c r="A342" t="s">
        <v>364</v>
      </c>
      <c r="B342" t="s">
        <v>11</v>
      </c>
      <c r="C342">
        <v>57</v>
      </c>
      <c r="D342">
        <v>28</v>
      </c>
      <c r="E342" t="s">
        <v>12</v>
      </c>
      <c r="F342" t="s">
        <v>13</v>
      </c>
      <c r="G342" t="s">
        <v>23</v>
      </c>
      <c r="H342">
        <v>21.36</v>
      </c>
      <c r="I342">
        <v>636.79</v>
      </c>
      <c r="J342" t="s">
        <v>15</v>
      </c>
      <c r="K342" t="str">
        <f>IF(D342&lt;=12,"0-12 Months",IF(D342&lt;=24,"13-24 Months",IF(D342&lt;=48,"25-48 Months","49+ Months")))</f>
        <v>25-48 Months</v>
      </c>
      <c r="L342">
        <f>IF(Table1346[[#This Row],[Churn]]="Yes",1,0)</f>
        <v>0</v>
      </c>
    </row>
    <row r="343" spans="1:12" x14ac:dyDescent="0.35">
      <c r="A343" t="s">
        <v>365</v>
      </c>
      <c r="B343" t="s">
        <v>17</v>
      </c>
      <c r="C343">
        <v>19</v>
      </c>
      <c r="D343">
        <v>37</v>
      </c>
      <c r="E343" t="s">
        <v>21</v>
      </c>
      <c r="F343" t="s">
        <v>13</v>
      </c>
      <c r="G343" t="s">
        <v>19</v>
      </c>
      <c r="H343">
        <v>136.36000000000001</v>
      </c>
      <c r="I343">
        <v>5256.22</v>
      </c>
      <c r="J343" t="s">
        <v>27</v>
      </c>
      <c r="K343" t="str">
        <f>IF(D343&lt;=12,"0-12 Months",IF(D343&lt;=24,"13-24 Months",IF(D343&lt;=48,"25-48 Months","49+ Months")))</f>
        <v>25-48 Months</v>
      </c>
      <c r="L343">
        <f>IF(Table1346[[#This Row],[Churn]]="Yes",1,0)</f>
        <v>1</v>
      </c>
    </row>
    <row r="344" spans="1:12" x14ac:dyDescent="0.35">
      <c r="A344" t="s">
        <v>366</v>
      </c>
      <c r="B344" t="s">
        <v>11</v>
      </c>
      <c r="C344">
        <v>37</v>
      </c>
      <c r="D344">
        <v>47</v>
      </c>
      <c r="E344" t="s">
        <v>12</v>
      </c>
      <c r="F344" t="s">
        <v>13</v>
      </c>
      <c r="G344" t="s">
        <v>14</v>
      </c>
      <c r="H344">
        <v>39.39</v>
      </c>
      <c r="I344">
        <v>1883.78</v>
      </c>
      <c r="J344" t="s">
        <v>15</v>
      </c>
      <c r="K344" t="str">
        <f>IF(D344&lt;=12,"0-12 Months",IF(D344&lt;=24,"13-24 Months",IF(D344&lt;=48,"25-48 Months","49+ Months")))</f>
        <v>25-48 Months</v>
      </c>
      <c r="L344">
        <f>IF(Table1346[[#This Row],[Churn]]="Yes",1,0)</f>
        <v>0</v>
      </c>
    </row>
    <row r="345" spans="1:12" x14ac:dyDescent="0.35">
      <c r="A345" t="s">
        <v>367</v>
      </c>
      <c r="B345" t="s">
        <v>17</v>
      </c>
      <c r="C345">
        <v>18</v>
      </c>
      <c r="D345">
        <v>37</v>
      </c>
      <c r="E345" t="s">
        <v>21</v>
      </c>
      <c r="F345" t="s">
        <v>13</v>
      </c>
      <c r="G345" t="s">
        <v>19</v>
      </c>
      <c r="H345">
        <v>122.17</v>
      </c>
      <c r="I345">
        <v>4810.12</v>
      </c>
      <c r="J345" t="s">
        <v>15</v>
      </c>
      <c r="K345" t="str">
        <f>IF(D345&lt;=12,"0-12 Months",IF(D345&lt;=24,"13-24 Months",IF(D345&lt;=48,"25-48 Months","49+ Months")))</f>
        <v>25-48 Months</v>
      </c>
      <c r="L345">
        <f>IF(Table1346[[#This Row],[Churn]]="Yes",1,0)</f>
        <v>0</v>
      </c>
    </row>
    <row r="346" spans="1:12" x14ac:dyDescent="0.35">
      <c r="A346" t="s">
        <v>368</v>
      </c>
      <c r="B346" t="s">
        <v>11</v>
      </c>
      <c r="C346">
        <v>54</v>
      </c>
      <c r="D346">
        <v>49</v>
      </c>
      <c r="E346" t="s">
        <v>18</v>
      </c>
      <c r="F346" t="s">
        <v>13</v>
      </c>
      <c r="G346" t="s">
        <v>23</v>
      </c>
      <c r="H346">
        <v>100.33</v>
      </c>
      <c r="I346">
        <v>4810.24</v>
      </c>
      <c r="J346" t="s">
        <v>15</v>
      </c>
      <c r="K346" t="str">
        <f>IF(D346&lt;=12,"0-12 Months",IF(D346&lt;=24,"13-24 Months",IF(D346&lt;=48,"25-48 Months","49+ Months")))</f>
        <v>49+ Months</v>
      </c>
      <c r="L346">
        <f>IF(Table1346[[#This Row],[Churn]]="Yes",1,0)</f>
        <v>0</v>
      </c>
    </row>
    <row r="347" spans="1:12" x14ac:dyDescent="0.35">
      <c r="A347" t="s">
        <v>369</v>
      </c>
      <c r="B347" t="s">
        <v>11</v>
      </c>
      <c r="C347">
        <v>26</v>
      </c>
      <c r="D347">
        <v>44</v>
      </c>
      <c r="E347" t="s">
        <v>21</v>
      </c>
      <c r="F347" t="s">
        <v>22</v>
      </c>
      <c r="G347" t="s">
        <v>19</v>
      </c>
      <c r="H347">
        <v>64.44</v>
      </c>
      <c r="I347">
        <v>2805.62</v>
      </c>
      <c r="J347" t="s">
        <v>15</v>
      </c>
      <c r="K347" t="str">
        <f>IF(D347&lt;=12,"0-12 Months",IF(D347&lt;=24,"13-24 Months",IF(D347&lt;=48,"25-48 Months","49+ Months")))</f>
        <v>25-48 Months</v>
      </c>
      <c r="L347">
        <f>IF(Table1346[[#This Row],[Churn]]="Yes",1,0)</f>
        <v>0</v>
      </c>
    </row>
    <row r="348" spans="1:12" x14ac:dyDescent="0.35">
      <c r="A348" t="s">
        <v>370</v>
      </c>
      <c r="B348" t="s">
        <v>11</v>
      </c>
      <c r="C348">
        <v>34</v>
      </c>
      <c r="D348">
        <v>56</v>
      </c>
      <c r="E348" t="s">
        <v>18</v>
      </c>
      <c r="F348" t="s">
        <v>22</v>
      </c>
      <c r="G348" t="s">
        <v>14</v>
      </c>
      <c r="H348">
        <v>133.6</v>
      </c>
      <c r="I348">
        <v>7825.76</v>
      </c>
      <c r="J348" t="s">
        <v>15</v>
      </c>
      <c r="K348" t="str">
        <f>IF(D348&lt;=12,"0-12 Months",IF(D348&lt;=24,"13-24 Months",IF(D348&lt;=48,"25-48 Months","49+ Months")))</f>
        <v>49+ Months</v>
      </c>
      <c r="L348">
        <f>IF(Table1346[[#This Row],[Churn]]="Yes",1,0)</f>
        <v>0</v>
      </c>
    </row>
    <row r="349" spans="1:12" x14ac:dyDescent="0.35">
      <c r="A349" t="s">
        <v>371</v>
      </c>
      <c r="B349" t="s">
        <v>17</v>
      </c>
      <c r="C349">
        <v>26</v>
      </c>
      <c r="D349">
        <v>28</v>
      </c>
      <c r="E349" t="s">
        <v>12</v>
      </c>
      <c r="F349" t="s">
        <v>29</v>
      </c>
      <c r="G349" t="s">
        <v>19</v>
      </c>
      <c r="H349">
        <v>21.68</v>
      </c>
      <c r="I349">
        <v>589.77</v>
      </c>
      <c r="J349" t="s">
        <v>15</v>
      </c>
      <c r="K349" t="str">
        <f>IF(D349&lt;=12,"0-12 Months",IF(D349&lt;=24,"13-24 Months",IF(D349&lt;=48,"25-48 Months","49+ Months")))</f>
        <v>25-48 Months</v>
      </c>
      <c r="L349">
        <f>IF(Table1346[[#This Row],[Churn]]="Yes",1,0)</f>
        <v>0</v>
      </c>
    </row>
    <row r="350" spans="1:12" x14ac:dyDescent="0.35">
      <c r="A350" t="s">
        <v>372</v>
      </c>
      <c r="B350" t="s">
        <v>17</v>
      </c>
      <c r="C350">
        <v>28</v>
      </c>
      <c r="D350">
        <v>6</v>
      </c>
      <c r="E350" t="s">
        <v>21</v>
      </c>
      <c r="F350" t="s">
        <v>29</v>
      </c>
      <c r="G350" t="s">
        <v>19</v>
      </c>
      <c r="H350">
        <v>49.47</v>
      </c>
      <c r="I350">
        <v>270.93</v>
      </c>
      <c r="J350" t="s">
        <v>27</v>
      </c>
      <c r="K350" t="str">
        <f>IF(D350&lt;=12,"0-12 Months",IF(D350&lt;=24,"13-24 Months",IF(D350&lt;=48,"25-48 Months","49+ Months")))</f>
        <v>0-12 Months</v>
      </c>
      <c r="L350">
        <f>IF(Table1346[[#This Row],[Churn]]="Yes",1,0)</f>
        <v>1</v>
      </c>
    </row>
    <row r="351" spans="1:12" x14ac:dyDescent="0.35">
      <c r="A351" t="s">
        <v>373</v>
      </c>
      <c r="B351" t="s">
        <v>11</v>
      </c>
      <c r="C351">
        <v>32</v>
      </c>
      <c r="D351">
        <v>61</v>
      </c>
      <c r="E351" t="s">
        <v>18</v>
      </c>
      <c r="F351" t="s">
        <v>22</v>
      </c>
      <c r="G351" t="s">
        <v>14</v>
      </c>
      <c r="H351">
        <v>93.7</v>
      </c>
      <c r="I351">
        <v>5229.1000000000004</v>
      </c>
      <c r="J351" t="s">
        <v>15</v>
      </c>
      <c r="K351" t="str">
        <f>IF(D351&lt;=12,"0-12 Months",IF(D351&lt;=24,"13-24 Months",IF(D351&lt;=48,"25-48 Months","49+ Months")))</f>
        <v>49+ Months</v>
      </c>
      <c r="L351">
        <f>IF(Table1346[[#This Row],[Churn]]="Yes",1,0)</f>
        <v>0</v>
      </c>
    </row>
    <row r="352" spans="1:12" x14ac:dyDescent="0.35">
      <c r="A352" t="s">
        <v>374</v>
      </c>
      <c r="B352" t="s">
        <v>17</v>
      </c>
      <c r="C352">
        <v>41</v>
      </c>
      <c r="D352">
        <v>20</v>
      </c>
      <c r="E352" t="s">
        <v>12</v>
      </c>
      <c r="F352" t="s">
        <v>13</v>
      </c>
      <c r="G352" t="s">
        <v>14</v>
      </c>
      <c r="H352">
        <v>65.7</v>
      </c>
      <c r="I352">
        <v>1212.92</v>
      </c>
      <c r="J352" t="s">
        <v>15</v>
      </c>
      <c r="K352" t="str">
        <f>IF(D352&lt;=12,"0-12 Months",IF(D352&lt;=24,"13-24 Months",IF(D352&lt;=48,"25-48 Months","49+ Months")))</f>
        <v>13-24 Months</v>
      </c>
      <c r="L352">
        <f>IF(Table1346[[#This Row],[Churn]]="Yes",1,0)</f>
        <v>0</v>
      </c>
    </row>
    <row r="353" spans="1:12" x14ac:dyDescent="0.35">
      <c r="A353" t="s">
        <v>375</v>
      </c>
      <c r="B353" t="s">
        <v>11</v>
      </c>
      <c r="C353">
        <v>55</v>
      </c>
      <c r="D353">
        <v>2</v>
      </c>
      <c r="E353" t="s">
        <v>18</v>
      </c>
      <c r="F353" t="s">
        <v>22</v>
      </c>
      <c r="G353" t="s">
        <v>23</v>
      </c>
      <c r="H353">
        <v>99.35</v>
      </c>
      <c r="I353">
        <v>213.39</v>
      </c>
      <c r="J353" t="s">
        <v>27</v>
      </c>
      <c r="K353" t="str">
        <f>IF(D353&lt;=12,"0-12 Months",IF(D353&lt;=24,"13-24 Months",IF(D353&lt;=48,"25-48 Months","49+ Months")))</f>
        <v>0-12 Months</v>
      </c>
      <c r="L353">
        <f>IF(Table1346[[#This Row],[Churn]]="Yes",1,0)</f>
        <v>1</v>
      </c>
    </row>
    <row r="354" spans="1:12" x14ac:dyDescent="0.35">
      <c r="A354" t="s">
        <v>376</v>
      </c>
      <c r="B354" t="s">
        <v>11</v>
      </c>
      <c r="C354">
        <v>52</v>
      </c>
      <c r="D354">
        <v>37</v>
      </c>
      <c r="E354" t="s">
        <v>12</v>
      </c>
      <c r="F354" t="s">
        <v>29</v>
      </c>
      <c r="G354" t="s">
        <v>23</v>
      </c>
      <c r="H354">
        <v>23.13</v>
      </c>
      <c r="I354">
        <v>851.06</v>
      </c>
      <c r="J354" t="s">
        <v>15</v>
      </c>
      <c r="K354" t="str">
        <f>IF(D354&lt;=12,"0-12 Months",IF(D354&lt;=24,"13-24 Months",IF(D354&lt;=48,"25-48 Months","49+ Months")))</f>
        <v>25-48 Months</v>
      </c>
      <c r="L354">
        <f>IF(Table1346[[#This Row],[Churn]]="Yes",1,0)</f>
        <v>0</v>
      </c>
    </row>
    <row r="355" spans="1:12" x14ac:dyDescent="0.35">
      <c r="A355" t="s">
        <v>377</v>
      </c>
      <c r="B355" t="s">
        <v>17</v>
      </c>
      <c r="C355">
        <v>47</v>
      </c>
      <c r="D355">
        <v>20</v>
      </c>
      <c r="E355" t="s">
        <v>21</v>
      </c>
      <c r="F355" t="s">
        <v>13</v>
      </c>
      <c r="G355" t="s">
        <v>14</v>
      </c>
      <c r="H355">
        <v>35.14</v>
      </c>
      <c r="I355">
        <v>732.72</v>
      </c>
      <c r="J355" t="s">
        <v>27</v>
      </c>
      <c r="K355" t="str">
        <f>IF(D355&lt;=12,"0-12 Months",IF(D355&lt;=24,"13-24 Months",IF(D355&lt;=48,"25-48 Months","49+ Months")))</f>
        <v>13-24 Months</v>
      </c>
      <c r="L355">
        <f>IF(Table1346[[#This Row],[Churn]]="Yes",1,0)</f>
        <v>1</v>
      </c>
    </row>
    <row r="356" spans="1:12" x14ac:dyDescent="0.35">
      <c r="A356" t="s">
        <v>378</v>
      </c>
      <c r="B356" t="s">
        <v>17</v>
      </c>
      <c r="C356">
        <v>48</v>
      </c>
      <c r="D356">
        <v>26</v>
      </c>
      <c r="E356" t="s">
        <v>18</v>
      </c>
      <c r="F356" t="s">
        <v>29</v>
      </c>
      <c r="G356" t="s">
        <v>14</v>
      </c>
      <c r="H356">
        <v>36.520000000000003</v>
      </c>
      <c r="I356">
        <v>929.18</v>
      </c>
      <c r="J356" t="s">
        <v>27</v>
      </c>
      <c r="K356" t="str">
        <f>IF(D356&lt;=12,"0-12 Months",IF(D356&lt;=24,"13-24 Months",IF(D356&lt;=48,"25-48 Months","49+ Months")))</f>
        <v>25-48 Months</v>
      </c>
      <c r="L356">
        <f>IF(Table1346[[#This Row],[Churn]]="Yes",1,0)</f>
        <v>1</v>
      </c>
    </row>
    <row r="357" spans="1:12" x14ac:dyDescent="0.35">
      <c r="A357" t="s">
        <v>379</v>
      </c>
      <c r="B357" t="s">
        <v>11</v>
      </c>
      <c r="C357">
        <v>66</v>
      </c>
      <c r="D357">
        <v>29</v>
      </c>
      <c r="E357" t="s">
        <v>21</v>
      </c>
      <c r="F357" t="s">
        <v>29</v>
      </c>
      <c r="G357" t="s">
        <v>23</v>
      </c>
      <c r="H357">
        <v>44.61</v>
      </c>
      <c r="I357">
        <v>1231.26</v>
      </c>
      <c r="J357" t="s">
        <v>15</v>
      </c>
      <c r="K357" t="str">
        <f>IF(D357&lt;=12,"0-12 Months",IF(D357&lt;=24,"13-24 Months",IF(D357&lt;=48,"25-48 Months","49+ Months")))</f>
        <v>25-48 Months</v>
      </c>
      <c r="L357">
        <f>IF(Table1346[[#This Row],[Churn]]="Yes",1,0)</f>
        <v>0</v>
      </c>
    </row>
    <row r="358" spans="1:12" x14ac:dyDescent="0.35">
      <c r="A358" t="s">
        <v>380</v>
      </c>
      <c r="B358" t="s">
        <v>17</v>
      </c>
      <c r="C358">
        <v>22</v>
      </c>
      <c r="D358">
        <v>1</v>
      </c>
      <c r="E358" t="s">
        <v>12</v>
      </c>
      <c r="F358" t="s">
        <v>22</v>
      </c>
      <c r="G358" t="s">
        <v>19</v>
      </c>
      <c r="H358">
        <v>79.709999999999994</v>
      </c>
      <c r="I358">
        <v>77.27</v>
      </c>
      <c r="J358" t="s">
        <v>15</v>
      </c>
      <c r="K358" t="str">
        <f>IF(D358&lt;=12,"0-12 Months",IF(D358&lt;=24,"13-24 Months",IF(D358&lt;=48,"25-48 Months","49+ Months")))</f>
        <v>0-12 Months</v>
      </c>
      <c r="L358">
        <f>IF(Table1346[[#This Row],[Churn]]="Yes",1,0)</f>
        <v>0</v>
      </c>
    </row>
    <row r="359" spans="1:12" x14ac:dyDescent="0.35">
      <c r="A359" t="s">
        <v>381</v>
      </c>
      <c r="B359" t="s">
        <v>17</v>
      </c>
      <c r="C359">
        <v>61</v>
      </c>
      <c r="D359">
        <v>35</v>
      </c>
      <c r="E359" t="s">
        <v>21</v>
      </c>
      <c r="F359" t="s">
        <v>13</v>
      </c>
      <c r="G359" t="s">
        <v>23</v>
      </c>
      <c r="H359">
        <v>117.78</v>
      </c>
      <c r="I359">
        <v>4364.84</v>
      </c>
      <c r="J359" t="s">
        <v>15</v>
      </c>
      <c r="K359" t="str">
        <f>IF(D359&lt;=12,"0-12 Months",IF(D359&lt;=24,"13-24 Months",IF(D359&lt;=48,"25-48 Months","49+ Months")))</f>
        <v>25-48 Months</v>
      </c>
      <c r="L359">
        <f>IF(Table1346[[#This Row],[Churn]]="Yes",1,0)</f>
        <v>0</v>
      </c>
    </row>
    <row r="360" spans="1:12" x14ac:dyDescent="0.35">
      <c r="A360" t="s">
        <v>382</v>
      </c>
      <c r="B360" t="s">
        <v>11</v>
      </c>
      <c r="C360">
        <v>67</v>
      </c>
      <c r="D360">
        <v>70</v>
      </c>
      <c r="E360" t="s">
        <v>12</v>
      </c>
      <c r="F360" t="s">
        <v>22</v>
      </c>
      <c r="G360" t="s">
        <v>23</v>
      </c>
      <c r="H360">
        <v>137.72</v>
      </c>
      <c r="I360">
        <v>9881.83</v>
      </c>
      <c r="J360" t="s">
        <v>15</v>
      </c>
      <c r="K360" t="str">
        <f>IF(D360&lt;=12,"0-12 Months",IF(D360&lt;=24,"13-24 Months",IF(D360&lt;=48,"25-48 Months","49+ Months")))</f>
        <v>49+ Months</v>
      </c>
      <c r="L360">
        <f>IF(Table1346[[#This Row],[Churn]]="Yes",1,0)</f>
        <v>0</v>
      </c>
    </row>
    <row r="361" spans="1:12" x14ac:dyDescent="0.35">
      <c r="A361" t="s">
        <v>383</v>
      </c>
      <c r="B361" t="s">
        <v>11</v>
      </c>
      <c r="C361">
        <v>31</v>
      </c>
      <c r="D361">
        <v>59</v>
      </c>
      <c r="E361" t="s">
        <v>18</v>
      </c>
      <c r="F361" t="s">
        <v>33</v>
      </c>
      <c r="G361" t="s">
        <v>14</v>
      </c>
      <c r="H361">
        <v>128.6</v>
      </c>
      <c r="I361">
        <v>8251.51</v>
      </c>
      <c r="J361" t="s">
        <v>27</v>
      </c>
      <c r="K361" t="str">
        <f>IF(D361&lt;=12,"0-12 Months",IF(D361&lt;=24,"13-24 Months",IF(D361&lt;=48,"25-48 Months","49+ Months")))</f>
        <v>49+ Months</v>
      </c>
      <c r="L361">
        <f>IF(Table1346[[#This Row],[Churn]]="Yes",1,0)</f>
        <v>1</v>
      </c>
    </row>
    <row r="362" spans="1:12" x14ac:dyDescent="0.35">
      <c r="A362" t="s">
        <v>384</v>
      </c>
      <c r="B362" t="s">
        <v>17</v>
      </c>
      <c r="C362">
        <v>70</v>
      </c>
      <c r="D362">
        <v>69</v>
      </c>
      <c r="E362" t="s">
        <v>12</v>
      </c>
      <c r="F362" t="s">
        <v>13</v>
      </c>
      <c r="G362" t="s">
        <v>23</v>
      </c>
      <c r="H362">
        <v>45.6</v>
      </c>
      <c r="I362">
        <v>3259.48</v>
      </c>
      <c r="J362" t="s">
        <v>15</v>
      </c>
      <c r="K362" t="str">
        <f>IF(D362&lt;=12,"0-12 Months",IF(D362&lt;=24,"13-24 Months",IF(D362&lt;=48,"25-48 Months","49+ Months")))</f>
        <v>49+ Months</v>
      </c>
      <c r="L362">
        <f>IF(Table1346[[#This Row],[Churn]]="Yes",1,0)</f>
        <v>0</v>
      </c>
    </row>
    <row r="363" spans="1:12" x14ac:dyDescent="0.35">
      <c r="A363" t="s">
        <v>385</v>
      </c>
      <c r="B363" t="s">
        <v>11</v>
      </c>
      <c r="C363">
        <v>28</v>
      </c>
      <c r="D363">
        <v>33</v>
      </c>
      <c r="E363" t="s">
        <v>12</v>
      </c>
      <c r="F363" t="s">
        <v>22</v>
      </c>
      <c r="G363" t="s">
        <v>19</v>
      </c>
      <c r="H363">
        <v>77.349999999999994</v>
      </c>
      <c r="I363">
        <v>2588.38</v>
      </c>
      <c r="J363" t="s">
        <v>15</v>
      </c>
      <c r="K363" t="str">
        <f>IF(D363&lt;=12,"0-12 Months",IF(D363&lt;=24,"13-24 Months",IF(D363&lt;=48,"25-48 Months","49+ Months")))</f>
        <v>25-48 Months</v>
      </c>
      <c r="L363">
        <f>IF(Table1346[[#This Row],[Churn]]="Yes",1,0)</f>
        <v>0</v>
      </c>
    </row>
    <row r="364" spans="1:12" x14ac:dyDescent="0.35">
      <c r="A364" t="s">
        <v>386</v>
      </c>
      <c r="B364" t="s">
        <v>11</v>
      </c>
      <c r="C364">
        <v>26</v>
      </c>
      <c r="D364">
        <v>51</v>
      </c>
      <c r="E364" t="s">
        <v>21</v>
      </c>
      <c r="F364" t="s">
        <v>29</v>
      </c>
      <c r="G364" t="s">
        <v>19</v>
      </c>
      <c r="H364">
        <v>45.92</v>
      </c>
      <c r="I364">
        <v>2393.5300000000002</v>
      </c>
      <c r="J364" t="s">
        <v>15</v>
      </c>
      <c r="K364" t="str">
        <f>IF(D364&lt;=12,"0-12 Months",IF(D364&lt;=24,"13-24 Months",IF(D364&lt;=48,"25-48 Months","49+ Months")))</f>
        <v>49+ Months</v>
      </c>
      <c r="L364">
        <f>IF(Table1346[[#This Row],[Churn]]="Yes",1,0)</f>
        <v>0</v>
      </c>
    </row>
    <row r="365" spans="1:12" x14ac:dyDescent="0.35">
      <c r="A365" t="s">
        <v>387</v>
      </c>
      <c r="B365" t="s">
        <v>17</v>
      </c>
      <c r="C365">
        <v>51</v>
      </c>
      <c r="D365">
        <v>12</v>
      </c>
      <c r="E365" t="s">
        <v>12</v>
      </c>
      <c r="F365" t="s">
        <v>13</v>
      </c>
      <c r="G365" t="s">
        <v>23</v>
      </c>
      <c r="H365">
        <v>54.38</v>
      </c>
      <c r="I365">
        <v>710.29</v>
      </c>
      <c r="J365" t="s">
        <v>15</v>
      </c>
      <c r="K365" t="str">
        <f>IF(D365&lt;=12,"0-12 Months",IF(D365&lt;=24,"13-24 Months",IF(D365&lt;=48,"25-48 Months","49+ Months")))</f>
        <v>0-12 Months</v>
      </c>
      <c r="L365">
        <f>IF(Table1346[[#This Row],[Churn]]="Yes",1,0)</f>
        <v>0</v>
      </c>
    </row>
    <row r="366" spans="1:12" x14ac:dyDescent="0.35">
      <c r="A366" t="s">
        <v>388</v>
      </c>
      <c r="B366" t="s">
        <v>11</v>
      </c>
      <c r="C366">
        <v>29</v>
      </c>
      <c r="D366">
        <v>20</v>
      </c>
      <c r="E366" t="s">
        <v>21</v>
      </c>
      <c r="F366" t="s">
        <v>22</v>
      </c>
      <c r="G366" t="s">
        <v>19</v>
      </c>
      <c r="H366">
        <v>85.46</v>
      </c>
      <c r="I366">
        <v>1807.72</v>
      </c>
      <c r="J366" t="s">
        <v>15</v>
      </c>
      <c r="K366" t="str">
        <f>IF(D366&lt;=12,"0-12 Months",IF(D366&lt;=24,"13-24 Months",IF(D366&lt;=48,"25-48 Months","49+ Months")))</f>
        <v>13-24 Months</v>
      </c>
      <c r="L366">
        <f>IF(Table1346[[#This Row],[Churn]]="Yes",1,0)</f>
        <v>0</v>
      </c>
    </row>
    <row r="367" spans="1:12" x14ac:dyDescent="0.35">
      <c r="A367" t="s">
        <v>389</v>
      </c>
      <c r="B367" t="s">
        <v>11</v>
      </c>
      <c r="C367">
        <v>52</v>
      </c>
      <c r="D367">
        <v>53</v>
      </c>
      <c r="E367" t="s">
        <v>21</v>
      </c>
      <c r="F367" t="s">
        <v>13</v>
      </c>
      <c r="G367" t="s">
        <v>23</v>
      </c>
      <c r="H367">
        <v>28.85</v>
      </c>
      <c r="I367">
        <v>1383.5</v>
      </c>
      <c r="J367" t="s">
        <v>15</v>
      </c>
      <c r="K367" t="str">
        <f>IF(D367&lt;=12,"0-12 Months",IF(D367&lt;=24,"13-24 Months",IF(D367&lt;=48,"25-48 Months","49+ Months")))</f>
        <v>49+ Months</v>
      </c>
      <c r="L367">
        <f>IF(Table1346[[#This Row],[Churn]]="Yes",1,0)</f>
        <v>0</v>
      </c>
    </row>
    <row r="368" spans="1:12" x14ac:dyDescent="0.35">
      <c r="A368" t="s">
        <v>390</v>
      </c>
      <c r="B368" t="s">
        <v>17</v>
      </c>
      <c r="C368">
        <v>52</v>
      </c>
      <c r="D368">
        <v>43</v>
      </c>
      <c r="E368" t="s">
        <v>18</v>
      </c>
      <c r="F368" t="s">
        <v>13</v>
      </c>
      <c r="G368" t="s">
        <v>23</v>
      </c>
      <c r="H368">
        <v>48.36</v>
      </c>
      <c r="I368">
        <v>2093.6799999999998</v>
      </c>
      <c r="J368" t="s">
        <v>15</v>
      </c>
      <c r="K368" t="str">
        <f>IF(D368&lt;=12,"0-12 Months",IF(D368&lt;=24,"13-24 Months",IF(D368&lt;=48,"25-48 Months","49+ Months")))</f>
        <v>25-48 Months</v>
      </c>
      <c r="L368">
        <f>IF(Table1346[[#This Row],[Churn]]="Yes",1,0)</f>
        <v>0</v>
      </c>
    </row>
    <row r="369" spans="1:12" x14ac:dyDescent="0.35">
      <c r="A369" t="s">
        <v>391</v>
      </c>
      <c r="B369" t="s">
        <v>17</v>
      </c>
      <c r="C369">
        <v>18</v>
      </c>
      <c r="D369">
        <v>50</v>
      </c>
      <c r="E369" t="s">
        <v>21</v>
      </c>
      <c r="F369" t="s">
        <v>29</v>
      </c>
      <c r="G369" t="s">
        <v>19</v>
      </c>
      <c r="H369">
        <v>141.6</v>
      </c>
      <c r="I369">
        <v>7346.69</v>
      </c>
      <c r="J369" t="s">
        <v>15</v>
      </c>
      <c r="K369" t="str">
        <f>IF(D369&lt;=12,"0-12 Months",IF(D369&lt;=24,"13-24 Months",IF(D369&lt;=48,"25-48 Months","49+ Months")))</f>
        <v>49+ Months</v>
      </c>
      <c r="L369">
        <f>IF(Table1346[[#This Row],[Churn]]="Yes",1,0)</f>
        <v>0</v>
      </c>
    </row>
    <row r="370" spans="1:12" x14ac:dyDescent="0.35">
      <c r="A370" t="s">
        <v>392</v>
      </c>
      <c r="B370" t="s">
        <v>11</v>
      </c>
      <c r="C370">
        <v>57</v>
      </c>
      <c r="D370">
        <v>29</v>
      </c>
      <c r="E370" t="s">
        <v>12</v>
      </c>
      <c r="F370" t="s">
        <v>13</v>
      </c>
      <c r="G370" t="s">
        <v>23</v>
      </c>
      <c r="H370">
        <v>80.599999999999994</v>
      </c>
      <c r="I370">
        <v>2453.66</v>
      </c>
      <c r="J370" t="s">
        <v>15</v>
      </c>
      <c r="K370" t="str">
        <f>IF(D370&lt;=12,"0-12 Months",IF(D370&lt;=24,"13-24 Months",IF(D370&lt;=48,"25-48 Months","49+ Months")))</f>
        <v>25-48 Months</v>
      </c>
      <c r="L370">
        <f>IF(Table1346[[#This Row],[Churn]]="Yes",1,0)</f>
        <v>0</v>
      </c>
    </row>
    <row r="371" spans="1:12" x14ac:dyDescent="0.35">
      <c r="A371" t="s">
        <v>393</v>
      </c>
      <c r="B371" t="s">
        <v>11</v>
      </c>
      <c r="C371">
        <v>39</v>
      </c>
      <c r="D371">
        <v>57</v>
      </c>
      <c r="E371" t="s">
        <v>12</v>
      </c>
      <c r="F371" t="s">
        <v>33</v>
      </c>
      <c r="G371" t="s">
        <v>14</v>
      </c>
      <c r="H371">
        <v>77.900000000000006</v>
      </c>
      <c r="I371">
        <v>4185.55</v>
      </c>
      <c r="J371" t="s">
        <v>27</v>
      </c>
      <c r="K371" t="str">
        <f>IF(D371&lt;=12,"0-12 Months",IF(D371&lt;=24,"13-24 Months",IF(D371&lt;=48,"25-48 Months","49+ Months")))</f>
        <v>49+ Months</v>
      </c>
      <c r="L371">
        <f>IF(Table1346[[#This Row],[Churn]]="Yes",1,0)</f>
        <v>1</v>
      </c>
    </row>
    <row r="372" spans="1:12" x14ac:dyDescent="0.35">
      <c r="A372" t="s">
        <v>394</v>
      </c>
      <c r="B372" t="s">
        <v>17</v>
      </c>
      <c r="C372">
        <v>46</v>
      </c>
      <c r="D372">
        <v>39</v>
      </c>
      <c r="E372" t="s">
        <v>12</v>
      </c>
      <c r="F372" t="s">
        <v>33</v>
      </c>
      <c r="G372" t="s">
        <v>14</v>
      </c>
      <c r="H372">
        <v>21.89</v>
      </c>
      <c r="I372">
        <v>916.4</v>
      </c>
      <c r="J372" t="s">
        <v>27</v>
      </c>
      <c r="K372" t="str">
        <f>IF(D372&lt;=12,"0-12 Months",IF(D372&lt;=24,"13-24 Months",IF(D372&lt;=48,"25-48 Months","49+ Months")))</f>
        <v>25-48 Months</v>
      </c>
      <c r="L372">
        <f>IF(Table1346[[#This Row],[Churn]]="Yes",1,0)</f>
        <v>1</v>
      </c>
    </row>
    <row r="373" spans="1:12" x14ac:dyDescent="0.35">
      <c r="A373" t="s">
        <v>395</v>
      </c>
      <c r="B373" t="s">
        <v>17</v>
      </c>
      <c r="C373">
        <v>25</v>
      </c>
      <c r="D373">
        <v>56</v>
      </c>
      <c r="E373" t="s">
        <v>12</v>
      </c>
      <c r="F373" t="s">
        <v>22</v>
      </c>
      <c r="G373" t="s">
        <v>19</v>
      </c>
      <c r="H373">
        <v>52.16</v>
      </c>
      <c r="I373">
        <v>3187.26</v>
      </c>
      <c r="J373" t="s">
        <v>27</v>
      </c>
      <c r="K373" t="str">
        <f>IF(D373&lt;=12,"0-12 Months",IF(D373&lt;=24,"13-24 Months",IF(D373&lt;=48,"25-48 Months","49+ Months")))</f>
        <v>49+ Months</v>
      </c>
      <c r="L373">
        <f>IF(Table1346[[#This Row],[Churn]]="Yes",1,0)</f>
        <v>1</v>
      </c>
    </row>
    <row r="374" spans="1:12" x14ac:dyDescent="0.35">
      <c r="A374" t="s">
        <v>396</v>
      </c>
      <c r="B374" t="s">
        <v>17</v>
      </c>
      <c r="C374">
        <v>28</v>
      </c>
      <c r="D374">
        <v>43</v>
      </c>
      <c r="E374" t="s">
        <v>12</v>
      </c>
      <c r="F374" t="s">
        <v>22</v>
      </c>
      <c r="G374" t="s">
        <v>19</v>
      </c>
      <c r="H374">
        <v>132.62</v>
      </c>
      <c r="I374">
        <v>5402.38</v>
      </c>
      <c r="J374" t="s">
        <v>15</v>
      </c>
      <c r="K374" t="str">
        <f>IF(D374&lt;=12,"0-12 Months",IF(D374&lt;=24,"13-24 Months",IF(D374&lt;=48,"25-48 Months","49+ Months")))</f>
        <v>25-48 Months</v>
      </c>
      <c r="L374">
        <f>IF(Table1346[[#This Row],[Churn]]="Yes",1,0)</f>
        <v>0</v>
      </c>
    </row>
    <row r="375" spans="1:12" x14ac:dyDescent="0.35">
      <c r="A375" t="s">
        <v>397</v>
      </c>
      <c r="B375" t="s">
        <v>17</v>
      </c>
      <c r="C375">
        <v>58</v>
      </c>
      <c r="D375">
        <v>50</v>
      </c>
      <c r="E375" t="s">
        <v>21</v>
      </c>
      <c r="F375" t="s">
        <v>13</v>
      </c>
      <c r="G375" t="s">
        <v>23</v>
      </c>
      <c r="H375">
        <v>41.4</v>
      </c>
      <c r="I375">
        <v>2228.4</v>
      </c>
      <c r="J375" t="s">
        <v>15</v>
      </c>
      <c r="K375" t="str">
        <f>IF(D375&lt;=12,"0-12 Months",IF(D375&lt;=24,"13-24 Months",IF(D375&lt;=48,"25-48 Months","49+ Months")))</f>
        <v>49+ Months</v>
      </c>
      <c r="L375">
        <f>IF(Table1346[[#This Row],[Churn]]="Yes",1,0)</f>
        <v>0</v>
      </c>
    </row>
    <row r="376" spans="1:12" x14ac:dyDescent="0.35">
      <c r="A376" t="s">
        <v>398</v>
      </c>
      <c r="B376" t="s">
        <v>11</v>
      </c>
      <c r="C376">
        <v>54</v>
      </c>
      <c r="D376">
        <v>23</v>
      </c>
      <c r="E376" t="s">
        <v>21</v>
      </c>
      <c r="F376" t="s">
        <v>13</v>
      </c>
      <c r="G376" t="s">
        <v>23</v>
      </c>
      <c r="H376">
        <v>73.97</v>
      </c>
      <c r="I376">
        <v>1564.18</v>
      </c>
      <c r="J376" t="s">
        <v>15</v>
      </c>
      <c r="K376" t="str">
        <f>IF(D376&lt;=12,"0-12 Months",IF(D376&lt;=24,"13-24 Months",IF(D376&lt;=48,"25-48 Months","49+ Months")))</f>
        <v>13-24 Months</v>
      </c>
      <c r="L376">
        <f>IF(Table1346[[#This Row],[Churn]]="Yes",1,0)</f>
        <v>0</v>
      </c>
    </row>
    <row r="377" spans="1:12" x14ac:dyDescent="0.35">
      <c r="A377" t="s">
        <v>399</v>
      </c>
      <c r="B377" t="s">
        <v>17</v>
      </c>
      <c r="C377">
        <v>31</v>
      </c>
      <c r="D377">
        <v>44</v>
      </c>
      <c r="E377" t="s">
        <v>12</v>
      </c>
      <c r="F377" t="s">
        <v>29</v>
      </c>
      <c r="G377" t="s">
        <v>14</v>
      </c>
      <c r="H377">
        <v>21.86</v>
      </c>
      <c r="I377">
        <v>876.37</v>
      </c>
      <c r="J377" t="s">
        <v>15</v>
      </c>
      <c r="K377" t="str">
        <f>IF(D377&lt;=12,"0-12 Months",IF(D377&lt;=24,"13-24 Months",IF(D377&lt;=48,"25-48 Months","49+ Months")))</f>
        <v>25-48 Months</v>
      </c>
      <c r="L377">
        <f>IF(Table1346[[#This Row],[Churn]]="Yes",1,0)</f>
        <v>0</v>
      </c>
    </row>
    <row r="378" spans="1:12" x14ac:dyDescent="0.35">
      <c r="A378" t="s">
        <v>400</v>
      </c>
      <c r="B378" t="s">
        <v>17</v>
      </c>
      <c r="C378">
        <v>47</v>
      </c>
      <c r="D378">
        <v>38</v>
      </c>
      <c r="E378" t="s">
        <v>18</v>
      </c>
      <c r="F378" t="s">
        <v>13</v>
      </c>
      <c r="G378" t="s">
        <v>14</v>
      </c>
      <c r="H378">
        <v>82.18</v>
      </c>
      <c r="I378">
        <v>2891.27</v>
      </c>
      <c r="J378" t="s">
        <v>15</v>
      </c>
      <c r="K378" t="str">
        <f>IF(D378&lt;=12,"0-12 Months",IF(D378&lt;=24,"13-24 Months",IF(D378&lt;=48,"25-48 Months","49+ Months")))</f>
        <v>25-48 Months</v>
      </c>
      <c r="L378">
        <f>IF(Table1346[[#This Row],[Churn]]="Yes",1,0)</f>
        <v>0</v>
      </c>
    </row>
    <row r="379" spans="1:12" x14ac:dyDescent="0.35">
      <c r="A379" t="s">
        <v>401</v>
      </c>
      <c r="B379" t="s">
        <v>11</v>
      </c>
      <c r="C379">
        <v>52</v>
      </c>
      <c r="D379">
        <v>23</v>
      </c>
      <c r="E379" t="s">
        <v>18</v>
      </c>
      <c r="F379" t="s">
        <v>13</v>
      </c>
      <c r="G379" t="s">
        <v>23</v>
      </c>
      <c r="H379">
        <v>22.73</v>
      </c>
      <c r="I379">
        <v>476.55</v>
      </c>
      <c r="J379" t="s">
        <v>15</v>
      </c>
      <c r="K379" t="str">
        <f>IF(D379&lt;=12,"0-12 Months",IF(D379&lt;=24,"13-24 Months",IF(D379&lt;=48,"25-48 Months","49+ Months")))</f>
        <v>13-24 Months</v>
      </c>
      <c r="L379">
        <f>IF(Table1346[[#This Row],[Churn]]="Yes",1,0)</f>
        <v>0</v>
      </c>
    </row>
    <row r="380" spans="1:12" x14ac:dyDescent="0.35">
      <c r="A380" t="s">
        <v>402</v>
      </c>
      <c r="B380" t="s">
        <v>17</v>
      </c>
      <c r="C380">
        <v>38</v>
      </c>
      <c r="D380">
        <v>45</v>
      </c>
      <c r="E380" t="s">
        <v>18</v>
      </c>
      <c r="F380" t="s">
        <v>33</v>
      </c>
      <c r="G380" t="s">
        <v>14</v>
      </c>
      <c r="H380">
        <v>126.55</v>
      </c>
      <c r="I380">
        <v>6087.7</v>
      </c>
      <c r="J380" t="s">
        <v>15</v>
      </c>
      <c r="K380" t="str">
        <f>IF(D380&lt;=12,"0-12 Months",IF(D380&lt;=24,"13-24 Months",IF(D380&lt;=48,"25-48 Months","49+ Months")))</f>
        <v>25-48 Months</v>
      </c>
      <c r="L380">
        <f>IF(Table1346[[#This Row],[Churn]]="Yes",1,0)</f>
        <v>0</v>
      </c>
    </row>
    <row r="381" spans="1:12" x14ac:dyDescent="0.35">
      <c r="A381" t="s">
        <v>403</v>
      </c>
      <c r="B381" t="s">
        <v>11</v>
      </c>
      <c r="C381">
        <v>54</v>
      </c>
      <c r="D381">
        <v>52</v>
      </c>
      <c r="E381" t="s">
        <v>21</v>
      </c>
      <c r="F381" t="s">
        <v>13</v>
      </c>
      <c r="G381" t="s">
        <v>23</v>
      </c>
      <c r="H381">
        <v>127.23</v>
      </c>
      <c r="I381">
        <v>6032.5</v>
      </c>
      <c r="J381" t="s">
        <v>15</v>
      </c>
      <c r="K381" t="str">
        <f>IF(D381&lt;=12,"0-12 Months",IF(D381&lt;=24,"13-24 Months",IF(D381&lt;=48,"25-48 Months","49+ Months")))</f>
        <v>49+ Months</v>
      </c>
      <c r="L381">
        <f>IF(Table1346[[#This Row],[Churn]]="Yes",1,0)</f>
        <v>0</v>
      </c>
    </row>
    <row r="382" spans="1:12" x14ac:dyDescent="0.35">
      <c r="A382" t="s">
        <v>404</v>
      </c>
      <c r="B382" t="s">
        <v>17</v>
      </c>
      <c r="C382">
        <v>22</v>
      </c>
      <c r="D382">
        <v>50</v>
      </c>
      <c r="E382" t="s">
        <v>12</v>
      </c>
      <c r="F382" t="s">
        <v>13</v>
      </c>
      <c r="G382" t="s">
        <v>19</v>
      </c>
      <c r="H382">
        <v>122.41</v>
      </c>
      <c r="I382">
        <v>5840.99</v>
      </c>
      <c r="J382" t="s">
        <v>15</v>
      </c>
      <c r="K382" t="str">
        <f>IF(D382&lt;=12,"0-12 Months",IF(D382&lt;=24,"13-24 Months",IF(D382&lt;=48,"25-48 Months","49+ Months")))</f>
        <v>49+ Months</v>
      </c>
      <c r="L382">
        <f>IF(Table1346[[#This Row],[Churn]]="Yes",1,0)</f>
        <v>0</v>
      </c>
    </row>
    <row r="383" spans="1:12" x14ac:dyDescent="0.35">
      <c r="A383" t="s">
        <v>405</v>
      </c>
      <c r="B383" t="s">
        <v>17</v>
      </c>
      <c r="C383">
        <v>36</v>
      </c>
      <c r="D383">
        <v>8</v>
      </c>
      <c r="E383" t="s">
        <v>12</v>
      </c>
      <c r="F383" t="s">
        <v>13</v>
      </c>
      <c r="G383" t="s">
        <v>14</v>
      </c>
      <c r="H383">
        <v>56.84</v>
      </c>
      <c r="I383">
        <v>418.68</v>
      </c>
      <c r="J383" t="s">
        <v>15</v>
      </c>
      <c r="K383" t="str">
        <f>IF(D383&lt;=12,"0-12 Months",IF(D383&lt;=24,"13-24 Months",IF(D383&lt;=48,"25-48 Months","49+ Months")))</f>
        <v>0-12 Months</v>
      </c>
      <c r="L383">
        <f>IF(Table1346[[#This Row],[Churn]]="Yes",1,0)</f>
        <v>0</v>
      </c>
    </row>
    <row r="384" spans="1:12" x14ac:dyDescent="0.35">
      <c r="A384" t="s">
        <v>406</v>
      </c>
      <c r="B384" t="s">
        <v>17</v>
      </c>
      <c r="C384">
        <v>31</v>
      </c>
      <c r="D384">
        <v>1</v>
      </c>
      <c r="E384" t="s">
        <v>12</v>
      </c>
      <c r="F384" t="s">
        <v>22</v>
      </c>
      <c r="G384" t="s">
        <v>14</v>
      </c>
      <c r="H384">
        <v>128.84</v>
      </c>
      <c r="I384">
        <v>123.57</v>
      </c>
      <c r="J384" t="s">
        <v>15</v>
      </c>
      <c r="K384" t="str">
        <f>IF(D384&lt;=12,"0-12 Months",IF(D384&lt;=24,"13-24 Months",IF(D384&lt;=48,"25-48 Months","49+ Months")))</f>
        <v>0-12 Months</v>
      </c>
      <c r="L384">
        <f>IF(Table1346[[#This Row],[Churn]]="Yes",1,0)</f>
        <v>0</v>
      </c>
    </row>
    <row r="385" spans="1:12" x14ac:dyDescent="0.35">
      <c r="A385" t="s">
        <v>407</v>
      </c>
      <c r="B385" t="s">
        <v>11</v>
      </c>
      <c r="C385">
        <v>43</v>
      </c>
      <c r="D385">
        <v>8</v>
      </c>
      <c r="E385" t="s">
        <v>12</v>
      </c>
      <c r="F385" t="s">
        <v>22</v>
      </c>
      <c r="G385" t="s">
        <v>14</v>
      </c>
      <c r="H385">
        <v>90.59</v>
      </c>
      <c r="I385">
        <v>665.37</v>
      </c>
      <c r="J385" t="s">
        <v>27</v>
      </c>
      <c r="K385" t="str">
        <f>IF(D385&lt;=12,"0-12 Months",IF(D385&lt;=24,"13-24 Months",IF(D385&lt;=48,"25-48 Months","49+ Months")))</f>
        <v>0-12 Months</v>
      </c>
      <c r="L385">
        <f>IF(Table1346[[#This Row],[Churn]]="Yes",1,0)</f>
        <v>1</v>
      </c>
    </row>
    <row r="386" spans="1:12" x14ac:dyDescent="0.35">
      <c r="A386" t="s">
        <v>408</v>
      </c>
      <c r="B386" t="s">
        <v>11</v>
      </c>
      <c r="C386">
        <v>21</v>
      </c>
      <c r="D386">
        <v>29</v>
      </c>
      <c r="E386" t="s">
        <v>18</v>
      </c>
      <c r="F386" t="s">
        <v>29</v>
      </c>
      <c r="G386" t="s">
        <v>19</v>
      </c>
      <c r="H386">
        <v>68.599999999999994</v>
      </c>
      <c r="I386">
        <v>2056.25</v>
      </c>
      <c r="J386" t="s">
        <v>15</v>
      </c>
      <c r="K386" t="str">
        <f>IF(D386&lt;=12,"0-12 Months",IF(D386&lt;=24,"13-24 Months",IF(D386&lt;=48,"25-48 Months","49+ Months")))</f>
        <v>25-48 Months</v>
      </c>
      <c r="L386">
        <f>IF(Table1346[[#This Row],[Churn]]="Yes",1,0)</f>
        <v>0</v>
      </c>
    </row>
    <row r="387" spans="1:12" x14ac:dyDescent="0.35">
      <c r="A387" t="s">
        <v>409</v>
      </c>
      <c r="B387" t="s">
        <v>17</v>
      </c>
      <c r="C387">
        <v>42</v>
      </c>
      <c r="D387">
        <v>5</v>
      </c>
      <c r="E387" t="s">
        <v>18</v>
      </c>
      <c r="F387" t="s">
        <v>13</v>
      </c>
      <c r="G387" t="s">
        <v>14</v>
      </c>
      <c r="H387">
        <v>101.29</v>
      </c>
      <c r="I387">
        <v>469.31</v>
      </c>
      <c r="J387" t="s">
        <v>15</v>
      </c>
      <c r="K387" t="str">
        <f>IF(D387&lt;=12,"0-12 Months",IF(D387&lt;=24,"13-24 Months",IF(D387&lt;=48,"25-48 Months","49+ Months")))</f>
        <v>0-12 Months</v>
      </c>
      <c r="L387">
        <f>IF(Table1346[[#This Row],[Churn]]="Yes",1,0)</f>
        <v>0</v>
      </c>
    </row>
    <row r="388" spans="1:12" x14ac:dyDescent="0.35">
      <c r="A388" t="s">
        <v>410</v>
      </c>
      <c r="B388" t="s">
        <v>11</v>
      </c>
      <c r="C388">
        <v>62</v>
      </c>
      <c r="D388">
        <v>47</v>
      </c>
      <c r="E388" t="s">
        <v>12</v>
      </c>
      <c r="F388" t="s">
        <v>33</v>
      </c>
      <c r="G388" t="s">
        <v>23</v>
      </c>
      <c r="H388">
        <v>21.6</v>
      </c>
      <c r="I388">
        <v>1086.6400000000001</v>
      </c>
      <c r="J388" t="s">
        <v>15</v>
      </c>
      <c r="K388" t="str">
        <f>IF(D388&lt;=12,"0-12 Months",IF(D388&lt;=24,"13-24 Months",IF(D388&lt;=48,"25-48 Months","49+ Months")))</f>
        <v>25-48 Months</v>
      </c>
      <c r="L388">
        <f>IF(Table1346[[#This Row],[Churn]]="Yes",1,0)</f>
        <v>0</v>
      </c>
    </row>
    <row r="389" spans="1:12" x14ac:dyDescent="0.35">
      <c r="A389" t="s">
        <v>411</v>
      </c>
      <c r="B389" t="s">
        <v>11</v>
      </c>
      <c r="C389">
        <v>59</v>
      </c>
      <c r="D389">
        <v>34</v>
      </c>
      <c r="E389" t="s">
        <v>12</v>
      </c>
      <c r="F389" t="s">
        <v>13</v>
      </c>
      <c r="G389" t="s">
        <v>23</v>
      </c>
      <c r="H389">
        <v>38.58</v>
      </c>
      <c r="I389">
        <v>1394.93</v>
      </c>
      <c r="J389" t="s">
        <v>27</v>
      </c>
      <c r="K389" t="str">
        <f>IF(D389&lt;=12,"0-12 Months",IF(D389&lt;=24,"13-24 Months",IF(D389&lt;=48,"25-48 Months","49+ Months")))</f>
        <v>25-48 Months</v>
      </c>
      <c r="L389">
        <f>IF(Table1346[[#This Row],[Churn]]="Yes",1,0)</f>
        <v>1</v>
      </c>
    </row>
    <row r="390" spans="1:12" x14ac:dyDescent="0.35">
      <c r="A390" t="s">
        <v>412</v>
      </c>
      <c r="B390" t="s">
        <v>11</v>
      </c>
      <c r="C390">
        <v>42</v>
      </c>
      <c r="D390">
        <v>65</v>
      </c>
      <c r="E390" t="s">
        <v>18</v>
      </c>
      <c r="F390" t="s">
        <v>29</v>
      </c>
      <c r="G390" t="s">
        <v>14</v>
      </c>
      <c r="H390">
        <v>116.5</v>
      </c>
      <c r="I390">
        <v>6835.94</v>
      </c>
      <c r="J390" t="s">
        <v>15</v>
      </c>
      <c r="K390" t="str">
        <f>IF(D390&lt;=12,"0-12 Months",IF(D390&lt;=24,"13-24 Months",IF(D390&lt;=48,"25-48 Months","49+ Months")))</f>
        <v>49+ Months</v>
      </c>
      <c r="L390">
        <f>IF(Table1346[[#This Row],[Churn]]="Yes",1,0)</f>
        <v>0</v>
      </c>
    </row>
    <row r="391" spans="1:12" x14ac:dyDescent="0.35">
      <c r="A391" t="s">
        <v>413</v>
      </c>
      <c r="B391" t="s">
        <v>11</v>
      </c>
      <c r="C391">
        <v>35</v>
      </c>
      <c r="D391">
        <v>55</v>
      </c>
      <c r="E391" t="s">
        <v>12</v>
      </c>
      <c r="F391" t="s">
        <v>22</v>
      </c>
      <c r="G391" t="s">
        <v>14</v>
      </c>
      <c r="H391">
        <v>51.74</v>
      </c>
      <c r="I391">
        <v>3070.92</v>
      </c>
      <c r="J391" t="s">
        <v>15</v>
      </c>
      <c r="K391" t="str">
        <f>IF(D391&lt;=12,"0-12 Months",IF(D391&lt;=24,"13-24 Months",IF(D391&lt;=48,"25-48 Months","49+ Months")))</f>
        <v>49+ Months</v>
      </c>
      <c r="L391">
        <f>IF(Table1346[[#This Row],[Churn]]="Yes",1,0)</f>
        <v>0</v>
      </c>
    </row>
    <row r="392" spans="1:12" x14ac:dyDescent="0.35">
      <c r="A392" t="s">
        <v>414</v>
      </c>
      <c r="B392" t="s">
        <v>11</v>
      </c>
      <c r="C392">
        <v>57</v>
      </c>
      <c r="D392">
        <v>43</v>
      </c>
      <c r="E392" t="s">
        <v>12</v>
      </c>
      <c r="F392" t="s">
        <v>33</v>
      </c>
      <c r="G392" t="s">
        <v>23</v>
      </c>
      <c r="H392">
        <v>97.74</v>
      </c>
      <c r="I392">
        <v>3806.87</v>
      </c>
      <c r="J392" t="s">
        <v>27</v>
      </c>
      <c r="K392" t="str">
        <f>IF(D392&lt;=12,"0-12 Months",IF(D392&lt;=24,"13-24 Months",IF(D392&lt;=48,"25-48 Months","49+ Months")))</f>
        <v>25-48 Months</v>
      </c>
      <c r="L392">
        <f>IF(Table1346[[#This Row],[Churn]]="Yes",1,0)</f>
        <v>1</v>
      </c>
    </row>
    <row r="393" spans="1:12" x14ac:dyDescent="0.35">
      <c r="A393" t="s">
        <v>415</v>
      </c>
      <c r="B393" t="s">
        <v>11</v>
      </c>
      <c r="C393">
        <v>25</v>
      </c>
      <c r="D393">
        <v>30</v>
      </c>
      <c r="E393" t="s">
        <v>18</v>
      </c>
      <c r="F393" t="s">
        <v>29</v>
      </c>
      <c r="G393" t="s">
        <v>19</v>
      </c>
      <c r="H393">
        <v>70.06</v>
      </c>
      <c r="I393">
        <v>1992.36</v>
      </c>
      <c r="J393" t="s">
        <v>15</v>
      </c>
      <c r="K393" t="str">
        <f>IF(D393&lt;=12,"0-12 Months",IF(D393&lt;=24,"13-24 Months",IF(D393&lt;=48,"25-48 Months","49+ Months")))</f>
        <v>25-48 Months</v>
      </c>
      <c r="L393">
        <f>IF(Table1346[[#This Row],[Churn]]="Yes",1,0)</f>
        <v>0</v>
      </c>
    </row>
    <row r="394" spans="1:12" x14ac:dyDescent="0.35">
      <c r="A394" t="s">
        <v>416</v>
      </c>
      <c r="B394" t="s">
        <v>17</v>
      </c>
      <c r="C394">
        <v>56</v>
      </c>
      <c r="D394">
        <v>17</v>
      </c>
      <c r="E394" t="s">
        <v>12</v>
      </c>
      <c r="F394" t="s">
        <v>22</v>
      </c>
      <c r="G394" t="s">
        <v>23</v>
      </c>
      <c r="H394">
        <v>131.12</v>
      </c>
      <c r="I394">
        <v>2020.58</v>
      </c>
      <c r="J394" t="s">
        <v>15</v>
      </c>
      <c r="K394" t="str">
        <f>IF(D394&lt;=12,"0-12 Months",IF(D394&lt;=24,"13-24 Months",IF(D394&lt;=48,"25-48 Months","49+ Months")))</f>
        <v>13-24 Months</v>
      </c>
      <c r="L394">
        <f>IF(Table1346[[#This Row],[Churn]]="Yes",1,0)</f>
        <v>0</v>
      </c>
    </row>
    <row r="395" spans="1:12" x14ac:dyDescent="0.35">
      <c r="A395" t="s">
        <v>417</v>
      </c>
      <c r="B395" t="s">
        <v>17</v>
      </c>
      <c r="C395">
        <v>57</v>
      </c>
      <c r="D395">
        <v>26</v>
      </c>
      <c r="E395" t="s">
        <v>12</v>
      </c>
      <c r="F395" t="s">
        <v>33</v>
      </c>
      <c r="G395" t="s">
        <v>23</v>
      </c>
      <c r="H395">
        <v>143.81</v>
      </c>
      <c r="I395">
        <v>3616.3</v>
      </c>
      <c r="J395" t="s">
        <v>15</v>
      </c>
      <c r="K395" t="str">
        <f>IF(D395&lt;=12,"0-12 Months",IF(D395&lt;=24,"13-24 Months",IF(D395&lt;=48,"25-48 Months","49+ Months")))</f>
        <v>25-48 Months</v>
      </c>
      <c r="L395">
        <f>IF(Table1346[[#This Row],[Churn]]="Yes",1,0)</f>
        <v>0</v>
      </c>
    </row>
    <row r="396" spans="1:12" x14ac:dyDescent="0.35">
      <c r="A396" t="s">
        <v>418</v>
      </c>
      <c r="B396" t="s">
        <v>11</v>
      </c>
      <c r="C396">
        <v>31</v>
      </c>
      <c r="D396">
        <v>8</v>
      </c>
      <c r="E396" t="s">
        <v>12</v>
      </c>
      <c r="F396" t="s">
        <v>13</v>
      </c>
      <c r="G396" t="s">
        <v>14</v>
      </c>
      <c r="H396">
        <v>134.86000000000001</v>
      </c>
      <c r="I396">
        <v>1081.8699999999999</v>
      </c>
      <c r="J396" t="s">
        <v>15</v>
      </c>
      <c r="K396" t="str">
        <f>IF(D396&lt;=12,"0-12 Months",IF(D396&lt;=24,"13-24 Months",IF(D396&lt;=48,"25-48 Months","49+ Months")))</f>
        <v>0-12 Months</v>
      </c>
      <c r="L396">
        <f>IF(Table1346[[#This Row],[Churn]]="Yes",1,0)</f>
        <v>0</v>
      </c>
    </row>
    <row r="397" spans="1:12" x14ac:dyDescent="0.35">
      <c r="A397" t="s">
        <v>419</v>
      </c>
      <c r="B397" t="s">
        <v>17</v>
      </c>
      <c r="C397">
        <v>49</v>
      </c>
      <c r="D397">
        <v>47</v>
      </c>
      <c r="E397" t="s">
        <v>18</v>
      </c>
      <c r="F397" t="s">
        <v>33</v>
      </c>
      <c r="G397" t="s">
        <v>14</v>
      </c>
      <c r="H397">
        <v>55.18</v>
      </c>
      <c r="I397">
        <v>2747.33</v>
      </c>
      <c r="J397" t="s">
        <v>15</v>
      </c>
      <c r="K397" t="str">
        <f>IF(D397&lt;=12,"0-12 Months",IF(D397&lt;=24,"13-24 Months",IF(D397&lt;=48,"25-48 Months","49+ Months")))</f>
        <v>25-48 Months</v>
      </c>
      <c r="L397">
        <f>IF(Table1346[[#This Row],[Churn]]="Yes",1,0)</f>
        <v>0</v>
      </c>
    </row>
    <row r="398" spans="1:12" x14ac:dyDescent="0.35">
      <c r="A398" t="s">
        <v>420</v>
      </c>
      <c r="B398" t="s">
        <v>17</v>
      </c>
      <c r="C398">
        <v>68</v>
      </c>
      <c r="D398">
        <v>72</v>
      </c>
      <c r="E398" t="s">
        <v>21</v>
      </c>
      <c r="F398" t="s">
        <v>22</v>
      </c>
      <c r="G398" t="s">
        <v>23</v>
      </c>
      <c r="H398">
        <v>45.24</v>
      </c>
      <c r="I398">
        <v>3151.73</v>
      </c>
      <c r="J398" t="s">
        <v>15</v>
      </c>
      <c r="K398" t="str">
        <f>IF(D398&lt;=12,"0-12 Months",IF(D398&lt;=24,"13-24 Months",IF(D398&lt;=48,"25-48 Months","49+ Months")))</f>
        <v>49+ Months</v>
      </c>
      <c r="L398">
        <f>IF(Table1346[[#This Row],[Churn]]="Yes",1,0)</f>
        <v>0</v>
      </c>
    </row>
    <row r="399" spans="1:12" x14ac:dyDescent="0.35">
      <c r="A399" t="s">
        <v>421</v>
      </c>
      <c r="B399" t="s">
        <v>17</v>
      </c>
      <c r="C399">
        <v>55</v>
      </c>
      <c r="D399">
        <v>46</v>
      </c>
      <c r="E399" t="s">
        <v>12</v>
      </c>
      <c r="F399" t="s">
        <v>22</v>
      </c>
      <c r="G399" t="s">
        <v>23</v>
      </c>
      <c r="H399">
        <v>81.680000000000007</v>
      </c>
      <c r="I399">
        <v>3911.7</v>
      </c>
      <c r="J399" t="s">
        <v>27</v>
      </c>
      <c r="K399" t="str">
        <f>IF(D399&lt;=12,"0-12 Months",IF(D399&lt;=24,"13-24 Months",IF(D399&lt;=48,"25-48 Months","49+ Months")))</f>
        <v>25-48 Months</v>
      </c>
      <c r="L399">
        <f>IF(Table1346[[#This Row],[Churn]]="Yes",1,0)</f>
        <v>1</v>
      </c>
    </row>
    <row r="400" spans="1:12" x14ac:dyDescent="0.35">
      <c r="A400" t="s">
        <v>422</v>
      </c>
      <c r="B400" t="s">
        <v>17</v>
      </c>
      <c r="C400">
        <v>50</v>
      </c>
      <c r="D400">
        <v>68</v>
      </c>
      <c r="E400" t="s">
        <v>12</v>
      </c>
      <c r="F400" t="s">
        <v>22</v>
      </c>
      <c r="G400" t="s">
        <v>23</v>
      </c>
      <c r="H400">
        <v>20.95</v>
      </c>
      <c r="I400">
        <v>1335.56</v>
      </c>
      <c r="J400" t="s">
        <v>27</v>
      </c>
      <c r="K400" t="str">
        <f>IF(D400&lt;=12,"0-12 Months",IF(D400&lt;=24,"13-24 Months",IF(D400&lt;=48,"25-48 Months","49+ Months")))</f>
        <v>49+ Months</v>
      </c>
      <c r="L400">
        <f>IF(Table1346[[#This Row],[Churn]]="Yes",1,0)</f>
        <v>1</v>
      </c>
    </row>
    <row r="401" spans="1:12" x14ac:dyDescent="0.35">
      <c r="A401" t="s">
        <v>423</v>
      </c>
      <c r="B401" t="s">
        <v>11</v>
      </c>
      <c r="C401">
        <v>40</v>
      </c>
      <c r="D401">
        <v>33</v>
      </c>
      <c r="E401" t="s">
        <v>12</v>
      </c>
      <c r="F401" t="s">
        <v>29</v>
      </c>
      <c r="G401" t="s">
        <v>14</v>
      </c>
      <c r="H401">
        <v>23.36</v>
      </c>
      <c r="I401">
        <v>809.52</v>
      </c>
      <c r="J401" t="s">
        <v>27</v>
      </c>
      <c r="K401" t="str">
        <f>IF(D401&lt;=12,"0-12 Months",IF(D401&lt;=24,"13-24 Months",IF(D401&lt;=48,"25-48 Months","49+ Months")))</f>
        <v>25-48 Months</v>
      </c>
      <c r="L401">
        <f>IF(Table1346[[#This Row],[Churn]]="Yes",1,0)</f>
        <v>1</v>
      </c>
    </row>
    <row r="402" spans="1:12" x14ac:dyDescent="0.35">
      <c r="A402" t="s">
        <v>424</v>
      </c>
      <c r="B402" t="s">
        <v>17</v>
      </c>
      <c r="C402">
        <v>32</v>
      </c>
      <c r="D402">
        <v>1</v>
      </c>
      <c r="E402" t="s">
        <v>21</v>
      </c>
      <c r="F402" t="s">
        <v>29</v>
      </c>
      <c r="G402" t="s">
        <v>14</v>
      </c>
      <c r="H402">
        <v>91.93</v>
      </c>
      <c r="I402">
        <v>87.08</v>
      </c>
      <c r="J402" t="s">
        <v>15</v>
      </c>
      <c r="K402" t="str">
        <f>IF(D402&lt;=12,"0-12 Months",IF(D402&lt;=24,"13-24 Months",IF(D402&lt;=48,"25-48 Months","49+ Months")))</f>
        <v>0-12 Months</v>
      </c>
      <c r="L402">
        <f>IF(Table1346[[#This Row],[Churn]]="Yes",1,0)</f>
        <v>0</v>
      </c>
    </row>
    <row r="403" spans="1:12" x14ac:dyDescent="0.35">
      <c r="A403" t="s">
        <v>425</v>
      </c>
      <c r="B403" t="s">
        <v>17</v>
      </c>
      <c r="C403">
        <v>50</v>
      </c>
      <c r="D403">
        <v>19</v>
      </c>
      <c r="E403" t="s">
        <v>21</v>
      </c>
      <c r="F403" t="s">
        <v>13</v>
      </c>
      <c r="G403" t="s">
        <v>23</v>
      </c>
      <c r="H403">
        <v>87.66</v>
      </c>
      <c r="I403">
        <v>1546.8</v>
      </c>
      <c r="J403" t="s">
        <v>15</v>
      </c>
      <c r="K403" t="str">
        <f>IF(D403&lt;=12,"0-12 Months",IF(D403&lt;=24,"13-24 Months",IF(D403&lt;=48,"25-48 Months","49+ Months")))</f>
        <v>13-24 Months</v>
      </c>
      <c r="L403">
        <f>IF(Table1346[[#This Row],[Churn]]="Yes",1,0)</f>
        <v>0</v>
      </c>
    </row>
    <row r="404" spans="1:12" x14ac:dyDescent="0.35">
      <c r="A404" t="s">
        <v>426</v>
      </c>
      <c r="B404" t="s">
        <v>11</v>
      </c>
      <c r="C404">
        <v>42</v>
      </c>
      <c r="D404">
        <v>31</v>
      </c>
      <c r="E404" t="s">
        <v>12</v>
      </c>
      <c r="F404" t="s">
        <v>29</v>
      </c>
      <c r="G404" t="s">
        <v>14</v>
      </c>
      <c r="H404">
        <v>149.30000000000001</v>
      </c>
      <c r="I404">
        <v>4337.1000000000004</v>
      </c>
      <c r="J404" t="s">
        <v>15</v>
      </c>
      <c r="K404" t="str">
        <f>IF(D404&lt;=12,"0-12 Months",IF(D404&lt;=24,"13-24 Months",IF(D404&lt;=48,"25-48 Months","49+ Months")))</f>
        <v>25-48 Months</v>
      </c>
      <c r="L404">
        <f>IF(Table1346[[#This Row],[Churn]]="Yes",1,0)</f>
        <v>0</v>
      </c>
    </row>
    <row r="405" spans="1:12" x14ac:dyDescent="0.35">
      <c r="A405" t="s">
        <v>427</v>
      </c>
      <c r="B405" t="s">
        <v>11</v>
      </c>
      <c r="C405">
        <v>34</v>
      </c>
      <c r="D405">
        <v>14</v>
      </c>
      <c r="E405" t="s">
        <v>18</v>
      </c>
      <c r="F405" t="s">
        <v>13</v>
      </c>
      <c r="G405" t="s">
        <v>14</v>
      </c>
      <c r="H405">
        <v>46.24</v>
      </c>
      <c r="I405">
        <v>606.20000000000005</v>
      </c>
      <c r="J405" t="s">
        <v>15</v>
      </c>
      <c r="K405" t="str">
        <f>IF(D405&lt;=12,"0-12 Months",IF(D405&lt;=24,"13-24 Months",IF(D405&lt;=48,"25-48 Months","49+ Months")))</f>
        <v>13-24 Months</v>
      </c>
      <c r="L405">
        <f>IF(Table1346[[#This Row],[Churn]]="Yes",1,0)</f>
        <v>0</v>
      </c>
    </row>
    <row r="406" spans="1:12" x14ac:dyDescent="0.35">
      <c r="A406" t="s">
        <v>428</v>
      </c>
      <c r="B406" t="s">
        <v>17</v>
      </c>
      <c r="C406">
        <v>50</v>
      </c>
      <c r="D406">
        <v>53</v>
      </c>
      <c r="E406" t="s">
        <v>12</v>
      </c>
      <c r="F406" t="s">
        <v>33</v>
      </c>
      <c r="G406" t="s">
        <v>23</v>
      </c>
      <c r="H406">
        <v>53.55</v>
      </c>
      <c r="I406">
        <v>2845.45</v>
      </c>
      <c r="J406" t="s">
        <v>15</v>
      </c>
      <c r="K406" t="str">
        <f>IF(D406&lt;=12,"0-12 Months",IF(D406&lt;=24,"13-24 Months",IF(D406&lt;=48,"25-48 Months","49+ Months")))</f>
        <v>49+ Months</v>
      </c>
      <c r="L406">
        <f>IF(Table1346[[#This Row],[Churn]]="Yes",1,0)</f>
        <v>0</v>
      </c>
    </row>
    <row r="407" spans="1:12" x14ac:dyDescent="0.35">
      <c r="A407" t="s">
        <v>429</v>
      </c>
      <c r="B407" t="s">
        <v>17</v>
      </c>
      <c r="C407">
        <v>64</v>
      </c>
      <c r="D407">
        <v>48</v>
      </c>
      <c r="E407" t="s">
        <v>12</v>
      </c>
      <c r="F407" t="s">
        <v>33</v>
      </c>
      <c r="G407" t="s">
        <v>23</v>
      </c>
      <c r="H407">
        <v>34.76</v>
      </c>
      <c r="I407">
        <v>1783.54</v>
      </c>
      <c r="J407" t="s">
        <v>15</v>
      </c>
      <c r="K407" t="str">
        <f>IF(D407&lt;=12,"0-12 Months",IF(D407&lt;=24,"13-24 Months",IF(D407&lt;=48,"25-48 Months","49+ Months")))</f>
        <v>25-48 Months</v>
      </c>
      <c r="L407">
        <f>IF(Table1346[[#This Row],[Churn]]="Yes",1,0)</f>
        <v>0</v>
      </c>
    </row>
    <row r="408" spans="1:12" x14ac:dyDescent="0.35">
      <c r="A408" t="s">
        <v>430</v>
      </c>
      <c r="B408" t="s">
        <v>17</v>
      </c>
      <c r="C408">
        <v>19</v>
      </c>
      <c r="D408">
        <v>69</v>
      </c>
      <c r="E408" t="s">
        <v>12</v>
      </c>
      <c r="F408" t="s">
        <v>22</v>
      </c>
      <c r="G408" t="s">
        <v>19</v>
      </c>
      <c r="H408">
        <v>139.28</v>
      </c>
      <c r="I408">
        <v>8802.2900000000009</v>
      </c>
      <c r="J408" t="s">
        <v>27</v>
      </c>
      <c r="K408" t="str">
        <f>IF(D408&lt;=12,"0-12 Months",IF(D408&lt;=24,"13-24 Months",IF(D408&lt;=48,"25-48 Months","49+ Months")))</f>
        <v>49+ Months</v>
      </c>
      <c r="L408">
        <f>IF(Table1346[[#This Row],[Churn]]="Yes",1,0)</f>
        <v>1</v>
      </c>
    </row>
    <row r="409" spans="1:12" x14ac:dyDescent="0.35">
      <c r="A409" t="s">
        <v>431</v>
      </c>
      <c r="B409" t="s">
        <v>17</v>
      </c>
      <c r="C409">
        <v>31</v>
      </c>
      <c r="D409">
        <v>62</v>
      </c>
      <c r="E409" t="s">
        <v>12</v>
      </c>
      <c r="F409" t="s">
        <v>33</v>
      </c>
      <c r="G409" t="s">
        <v>14</v>
      </c>
      <c r="H409">
        <v>121.12</v>
      </c>
      <c r="I409">
        <v>7820.27</v>
      </c>
      <c r="J409" t="s">
        <v>15</v>
      </c>
      <c r="K409" t="str">
        <f>IF(D409&lt;=12,"0-12 Months",IF(D409&lt;=24,"13-24 Months",IF(D409&lt;=48,"25-48 Months","49+ Months")))</f>
        <v>49+ Months</v>
      </c>
      <c r="L409">
        <f>IF(Table1346[[#This Row],[Churn]]="Yes",1,0)</f>
        <v>0</v>
      </c>
    </row>
    <row r="410" spans="1:12" x14ac:dyDescent="0.35">
      <c r="A410" t="s">
        <v>432</v>
      </c>
      <c r="B410" t="s">
        <v>17</v>
      </c>
      <c r="C410">
        <v>70</v>
      </c>
      <c r="D410">
        <v>66</v>
      </c>
      <c r="E410" t="s">
        <v>12</v>
      </c>
      <c r="F410" t="s">
        <v>22</v>
      </c>
      <c r="G410" t="s">
        <v>23</v>
      </c>
      <c r="H410">
        <v>126.9</v>
      </c>
      <c r="I410">
        <v>8633.94</v>
      </c>
      <c r="J410" t="s">
        <v>15</v>
      </c>
      <c r="K410" t="str">
        <f>IF(D410&lt;=12,"0-12 Months",IF(D410&lt;=24,"13-24 Months",IF(D410&lt;=48,"25-48 Months","49+ Months")))</f>
        <v>49+ Months</v>
      </c>
      <c r="L410">
        <f>IF(Table1346[[#This Row],[Churn]]="Yes",1,0)</f>
        <v>0</v>
      </c>
    </row>
    <row r="411" spans="1:12" x14ac:dyDescent="0.35">
      <c r="A411" t="s">
        <v>433</v>
      </c>
      <c r="B411" t="s">
        <v>17</v>
      </c>
      <c r="C411">
        <v>57</v>
      </c>
      <c r="D411">
        <v>64</v>
      </c>
      <c r="E411" t="s">
        <v>12</v>
      </c>
      <c r="F411" t="s">
        <v>13</v>
      </c>
      <c r="G411" t="s">
        <v>23</v>
      </c>
      <c r="H411">
        <v>137.36000000000001</v>
      </c>
      <c r="I411">
        <v>9446.01</v>
      </c>
      <c r="J411" t="s">
        <v>15</v>
      </c>
      <c r="K411" t="str">
        <f>IF(D411&lt;=12,"0-12 Months",IF(D411&lt;=24,"13-24 Months",IF(D411&lt;=48,"25-48 Months","49+ Months")))</f>
        <v>49+ Months</v>
      </c>
      <c r="L411">
        <f>IF(Table1346[[#This Row],[Churn]]="Yes",1,0)</f>
        <v>0</v>
      </c>
    </row>
    <row r="412" spans="1:12" x14ac:dyDescent="0.35">
      <c r="A412" t="s">
        <v>434</v>
      </c>
      <c r="B412" t="s">
        <v>11</v>
      </c>
      <c r="C412">
        <v>57</v>
      </c>
      <c r="D412">
        <v>70</v>
      </c>
      <c r="E412" t="s">
        <v>12</v>
      </c>
      <c r="F412" t="s">
        <v>29</v>
      </c>
      <c r="G412" t="s">
        <v>23</v>
      </c>
      <c r="H412">
        <v>88.24</v>
      </c>
      <c r="I412">
        <v>5860.73</v>
      </c>
      <c r="J412" t="s">
        <v>15</v>
      </c>
      <c r="K412" t="str">
        <f>IF(D412&lt;=12,"0-12 Months",IF(D412&lt;=24,"13-24 Months",IF(D412&lt;=48,"25-48 Months","49+ Months")))</f>
        <v>49+ Months</v>
      </c>
      <c r="L412">
        <f>IF(Table1346[[#This Row],[Churn]]="Yes",1,0)</f>
        <v>0</v>
      </c>
    </row>
    <row r="413" spans="1:12" x14ac:dyDescent="0.35">
      <c r="A413" t="s">
        <v>435</v>
      </c>
      <c r="B413" t="s">
        <v>17</v>
      </c>
      <c r="C413">
        <v>68</v>
      </c>
      <c r="D413">
        <v>63</v>
      </c>
      <c r="E413" t="s">
        <v>21</v>
      </c>
      <c r="F413" t="s">
        <v>13</v>
      </c>
      <c r="G413" t="s">
        <v>23</v>
      </c>
      <c r="H413">
        <v>78.66</v>
      </c>
      <c r="I413">
        <v>4906.13</v>
      </c>
      <c r="J413" t="s">
        <v>15</v>
      </c>
      <c r="K413" t="str">
        <f>IF(D413&lt;=12,"0-12 Months",IF(D413&lt;=24,"13-24 Months",IF(D413&lt;=48,"25-48 Months","49+ Months")))</f>
        <v>49+ Months</v>
      </c>
      <c r="L413">
        <f>IF(Table1346[[#This Row],[Churn]]="Yes",1,0)</f>
        <v>0</v>
      </c>
    </row>
    <row r="414" spans="1:12" x14ac:dyDescent="0.35">
      <c r="A414" t="s">
        <v>436</v>
      </c>
      <c r="B414" t="s">
        <v>17</v>
      </c>
      <c r="C414">
        <v>56</v>
      </c>
      <c r="D414">
        <v>33</v>
      </c>
      <c r="E414" t="s">
        <v>12</v>
      </c>
      <c r="F414" t="s">
        <v>22</v>
      </c>
      <c r="G414" t="s">
        <v>23</v>
      </c>
      <c r="H414">
        <v>62.95</v>
      </c>
      <c r="I414">
        <v>2254.27</v>
      </c>
      <c r="J414" t="s">
        <v>27</v>
      </c>
      <c r="K414" t="str">
        <f>IF(D414&lt;=12,"0-12 Months",IF(D414&lt;=24,"13-24 Months",IF(D414&lt;=48,"25-48 Months","49+ Months")))</f>
        <v>25-48 Months</v>
      </c>
      <c r="L414">
        <f>IF(Table1346[[#This Row],[Churn]]="Yes",1,0)</f>
        <v>1</v>
      </c>
    </row>
    <row r="415" spans="1:12" x14ac:dyDescent="0.35">
      <c r="A415" t="s">
        <v>437</v>
      </c>
      <c r="B415" t="s">
        <v>11</v>
      </c>
      <c r="C415">
        <v>68</v>
      </c>
      <c r="D415">
        <v>41</v>
      </c>
      <c r="E415" t="s">
        <v>21</v>
      </c>
      <c r="F415" t="s">
        <v>13</v>
      </c>
      <c r="G415" t="s">
        <v>23</v>
      </c>
      <c r="H415">
        <v>96.6</v>
      </c>
      <c r="I415">
        <v>4087.33</v>
      </c>
      <c r="J415" t="s">
        <v>15</v>
      </c>
      <c r="K415" t="str">
        <f>IF(D415&lt;=12,"0-12 Months",IF(D415&lt;=24,"13-24 Months",IF(D415&lt;=48,"25-48 Months","49+ Months")))</f>
        <v>25-48 Months</v>
      </c>
      <c r="L415">
        <f>IF(Table1346[[#This Row],[Churn]]="Yes",1,0)</f>
        <v>0</v>
      </c>
    </row>
    <row r="416" spans="1:12" x14ac:dyDescent="0.35">
      <c r="A416" t="s">
        <v>438</v>
      </c>
      <c r="B416" t="s">
        <v>11</v>
      </c>
      <c r="C416">
        <v>23</v>
      </c>
      <c r="D416">
        <v>48</v>
      </c>
      <c r="E416" t="s">
        <v>18</v>
      </c>
      <c r="F416" t="s">
        <v>22</v>
      </c>
      <c r="G416" t="s">
        <v>19</v>
      </c>
      <c r="H416">
        <v>79.06</v>
      </c>
      <c r="I416">
        <v>3710.46</v>
      </c>
      <c r="J416" t="s">
        <v>15</v>
      </c>
      <c r="K416" t="str">
        <f>IF(D416&lt;=12,"0-12 Months",IF(D416&lt;=24,"13-24 Months",IF(D416&lt;=48,"25-48 Months","49+ Months")))</f>
        <v>25-48 Months</v>
      </c>
      <c r="L416">
        <f>IF(Table1346[[#This Row],[Churn]]="Yes",1,0)</f>
        <v>0</v>
      </c>
    </row>
    <row r="417" spans="1:12" x14ac:dyDescent="0.35">
      <c r="A417" t="s">
        <v>439</v>
      </c>
      <c r="B417" t="s">
        <v>11</v>
      </c>
      <c r="C417">
        <v>23</v>
      </c>
      <c r="D417">
        <v>13</v>
      </c>
      <c r="E417" t="s">
        <v>12</v>
      </c>
      <c r="F417" t="s">
        <v>29</v>
      </c>
      <c r="G417" t="s">
        <v>19</v>
      </c>
      <c r="H417">
        <v>78.7</v>
      </c>
      <c r="I417">
        <v>947.68</v>
      </c>
      <c r="J417" t="s">
        <v>15</v>
      </c>
      <c r="K417" t="str">
        <f>IF(D417&lt;=12,"0-12 Months",IF(D417&lt;=24,"13-24 Months",IF(D417&lt;=48,"25-48 Months","49+ Months")))</f>
        <v>13-24 Months</v>
      </c>
      <c r="L417">
        <f>IF(Table1346[[#This Row],[Churn]]="Yes",1,0)</f>
        <v>0</v>
      </c>
    </row>
    <row r="418" spans="1:12" x14ac:dyDescent="0.35">
      <c r="A418" t="s">
        <v>440</v>
      </c>
      <c r="B418" t="s">
        <v>11</v>
      </c>
      <c r="C418">
        <v>20</v>
      </c>
      <c r="D418">
        <v>31</v>
      </c>
      <c r="E418" t="s">
        <v>12</v>
      </c>
      <c r="F418" t="s">
        <v>22</v>
      </c>
      <c r="G418" t="s">
        <v>19</v>
      </c>
      <c r="H418">
        <v>141.80000000000001</v>
      </c>
      <c r="I418">
        <v>4186.99</v>
      </c>
      <c r="J418" t="s">
        <v>15</v>
      </c>
      <c r="K418" t="str">
        <f>IF(D418&lt;=12,"0-12 Months",IF(D418&lt;=24,"13-24 Months",IF(D418&lt;=48,"25-48 Months","49+ Months")))</f>
        <v>25-48 Months</v>
      </c>
      <c r="L418">
        <f>IF(Table1346[[#This Row],[Churn]]="Yes",1,0)</f>
        <v>0</v>
      </c>
    </row>
    <row r="419" spans="1:12" x14ac:dyDescent="0.35">
      <c r="A419" t="s">
        <v>441</v>
      </c>
      <c r="B419" t="s">
        <v>17</v>
      </c>
      <c r="C419">
        <v>24</v>
      </c>
      <c r="D419">
        <v>68</v>
      </c>
      <c r="E419" t="s">
        <v>12</v>
      </c>
      <c r="F419" t="s">
        <v>33</v>
      </c>
      <c r="G419" t="s">
        <v>19</v>
      </c>
      <c r="H419">
        <v>147.91999999999999</v>
      </c>
      <c r="I419">
        <v>10221.94</v>
      </c>
      <c r="J419" t="s">
        <v>15</v>
      </c>
      <c r="K419" t="str">
        <f>IF(D419&lt;=12,"0-12 Months",IF(D419&lt;=24,"13-24 Months",IF(D419&lt;=48,"25-48 Months","49+ Months")))</f>
        <v>49+ Months</v>
      </c>
      <c r="L419">
        <f>IF(Table1346[[#This Row],[Churn]]="Yes",1,0)</f>
        <v>0</v>
      </c>
    </row>
    <row r="420" spans="1:12" x14ac:dyDescent="0.35">
      <c r="A420" t="s">
        <v>442</v>
      </c>
      <c r="B420" t="s">
        <v>17</v>
      </c>
      <c r="C420">
        <v>68</v>
      </c>
      <c r="D420">
        <v>4</v>
      </c>
      <c r="E420" t="s">
        <v>12</v>
      </c>
      <c r="F420" t="s">
        <v>22</v>
      </c>
      <c r="G420" t="s">
        <v>23</v>
      </c>
      <c r="H420">
        <v>123.54</v>
      </c>
      <c r="I420">
        <v>515.72</v>
      </c>
      <c r="J420" t="s">
        <v>27</v>
      </c>
      <c r="K420" t="str">
        <f>IF(D420&lt;=12,"0-12 Months",IF(D420&lt;=24,"13-24 Months",IF(D420&lt;=48,"25-48 Months","49+ Months")))</f>
        <v>0-12 Months</v>
      </c>
      <c r="L420">
        <f>IF(Table1346[[#This Row],[Churn]]="Yes",1,0)</f>
        <v>1</v>
      </c>
    </row>
    <row r="421" spans="1:12" x14ac:dyDescent="0.35">
      <c r="A421" t="s">
        <v>443</v>
      </c>
      <c r="B421" t="s">
        <v>17</v>
      </c>
      <c r="C421">
        <v>25</v>
      </c>
      <c r="D421">
        <v>19</v>
      </c>
      <c r="E421" t="s">
        <v>12</v>
      </c>
      <c r="F421" t="s">
        <v>33</v>
      </c>
      <c r="G421" t="s">
        <v>19</v>
      </c>
      <c r="H421">
        <v>118.38</v>
      </c>
      <c r="I421">
        <v>2080.27</v>
      </c>
      <c r="J421" t="s">
        <v>15</v>
      </c>
      <c r="K421" t="str">
        <f>IF(D421&lt;=12,"0-12 Months",IF(D421&lt;=24,"13-24 Months",IF(D421&lt;=48,"25-48 Months","49+ Months")))</f>
        <v>13-24 Months</v>
      </c>
      <c r="L421">
        <f>IF(Table1346[[#This Row],[Churn]]="Yes",1,0)</f>
        <v>0</v>
      </c>
    </row>
    <row r="422" spans="1:12" x14ac:dyDescent="0.35">
      <c r="A422" t="s">
        <v>444</v>
      </c>
      <c r="B422" t="s">
        <v>17</v>
      </c>
      <c r="C422">
        <v>59</v>
      </c>
      <c r="D422">
        <v>70</v>
      </c>
      <c r="E422" t="s">
        <v>21</v>
      </c>
      <c r="F422" t="s">
        <v>33</v>
      </c>
      <c r="G422" t="s">
        <v>23</v>
      </c>
      <c r="H422">
        <v>108.47</v>
      </c>
      <c r="I422">
        <v>7744.15</v>
      </c>
      <c r="J422" t="s">
        <v>15</v>
      </c>
      <c r="K422" t="str">
        <f>IF(D422&lt;=12,"0-12 Months",IF(D422&lt;=24,"13-24 Months",IF(D422&lt;=48,"25-48 Months","49+ Months")))</f>
        <v>49+ Months</v>
      </c>
      <c r="L422">
        <f>IF(Table1346[[#This Row],[Churn]]="Yes",1,0)</f>
        <v>0</v>
      </c>
    </row>
    <row r="423" spans="1:12" x14ac:dyDescent="0.35">
      <c r="A423" t="s">
        <v>445</v>
      </c>
      <c r="B423" t="s">
        <v>17</v>
      </c>
      <c r="C423">
        <v>69</v>
      </c>
      <c r="D423">
        <v>13</v>
      </c>
      <c r="E423" t="s">
        <v>21</v>
      </c>
      <c r="F423" t="s">
        <v>33</v>
      </c>
      <c r="G423" t="s">
        <v>23</v>
      </c>
      <c r="H423">
        <v>41.59</v>
      </c>
      <c r="I423">
        <v>546.11</v>
      </c>
      <c r="J423" t="s">
        <v>15</v>
      </c>
      <c r="K423" t="str">
        <f>IF(D423&lt;=12,"0-12 Months",IF(D423&lt;=24,"13-24 Months",IF(D423&lt;=48,"25-48 Months","49+ Months")))</f>
        <v>13-24 Months</v>
      </c>
      <c r="L423">
        <f>IF(Table1346[[#This Row],[Churn]]="Yes",1,0)</f>
        <v>0</v>
      </c>
    </row>
    <row r="424" spans="1:12" x14ac:dyDescent="0.35">
      <c r="A424" t="s">
        <v>446</v>
      </c>
      <c r="B424" t="s">
        <v>17</v>
      </c>
      <c r="C424">
        <v>32</v>
      </c>
      <c r="D424">
        <v>23</v>
      </c>
      <c r="E424" t="s">
        <v>12</v>
      </c>
      <c r="F424" t="s">
        <v>33</v>
      </c>
      <c r="G424" t="s">
        <v>14</v>
      </c>
      <c r="H424">
        <v>27.68</v>
      </c>
      <c r="I424">
        <v>638.41999999999996</v>
      </c>
      <c r="J424" t="s">
        <v>15</v>
      </c>
      <c r="K424" t="str">
        <f>IF(D424&lt;=12,"0-12 Months",IF(D424&lt;=24,"13-24 Months",IF(D424&lt;=48,"25-48 Months","49+ Months")))</f>
        <v>13-24 Months</v>
      </c>
      <c r="L424">
        <f>IF(Table1346[[#This Row],[Churn]]="Yes",1,0)</f>
        <v>0</v>
      </c>
    </row>
    <row r="425" spans="1:12" x14ac:dyDescent="0.35">
      <c r="A425" t="s">
        <v>447</v>
      </c>
      <c r="B425" t="s">
        <v>11</v>
      </c>
      <c r="C425">
        <v>64</v>
      </c>
      <c r="D425">
        <v>1</v>
      </c>
      <c r="E425" t="s">
        <v>18</v>
      </c>
      <c r="F425" t="s">
        <v>33</v>
      </c>
      <c r="G425" t="s">
        <v>23</v>
      </c>
      <c r="H425">
        <v>109.79</v>
      </c>
      <c r="I425">
        <v>113.96</v>
      </c>
      <c r="J425" t="s">
        <v>15</v>
      </c>
      <c r="K425" t="str">
        <f>IF(D425&lt;=12,"0-12 Months",IF(D425&lt;=24,"13-24 Months",IF(D425&lt;=48,"25-48 Months","49+ Months")))</f>
        <v>0-12 Months</v>
      </c>
      <c r="L425">
        <f>IF(Table1346[[#This Row],[Churn]]="Yes",1,0)</f>
        <v>0</v>
      </c>
    </row>
    <row r="426" spans="1:12" x14ac:dyDescent="0.35">
      <c r="A426" t="s">
        <v>448</v>
      </c>
      <c r="B426" t="s">
        <v>17</v>
      </c>
      <c r="C426">
        <v>46</v>
      </c>
      <c r="D426">
        <v>54</v>
      </c>
      <c r="E426" t="s">
        <v>12</v>
      </c>
      <c r="F426" t="s">
        <v>22</v>
      </c>
      <c r="G426" t="s">
        <v>14</v>
      </c>
      <c r="H426">
        <v>114.74</v>
      </c>
      <c r="I426">
        <v>6614.12</v>
      </c>
      <c r="J426" t="s">
        <v>15</v>
      </c>
      <c r="K426" t="str">
        <f>IF(D426&lt;=12,"0-12 Months",IF(D426&lt;=24,"13-24 Months",IF(D426&lt;=48,"25-48 Months","49+ Months")))</f>
        <v>49+ Months</v>
      </c>
      <c r="L426">
        <f>IF(Table1346[[#This Row],[Churn]]="Yes",1,0)</f>
        <v>0</v>
      </c>
    </row>
    <row r="427" spans="1:12" x14ac:dyDescent="0.35">
      <c r="A427" t="s">
        <v>449</v>
      </c>
      <c r="B427" t="s">
        <v>11</v>
      </c>
      <c r="C427">
        <v>50</v>
      </c>
      <c r="D427">
        <v>71</v>
      </c>
      <c r="E427" t="s">
        <v>18</v>
      </c>
      <c r="F427" t="s">
        <v>29</v>
      </c>
      <c r="G427" t="s">
        <v>23</v>
      </c>
      <c r="H427">
        <v>26.11</v>
      </c>
      <c r="I427">
        <v>1788.18</v>
      </c>
      <c r="J427" t="s">
        <v>27</v>
      </c>
      <c r="K427" t="str">
        <f>IF(D427&lt;=12,"0-12 Months",IF(D427&lt;=24,"13-24 Months",IF(D427&lt;=48,"25-48 Months","49+ Months")))</f>
        <v>49+ Months</v>
      </c>
      <c r="L427">
        <f>IF(Table1346[[#This Row],[Churn]]="Yes",1,0)</f>
        <v>1</v>
      </c>
    </row>
    <row r="428" spans="1:12" x14ac:dyDescent="0.35">
      <c r="A428" t="s">
        <v>450</v>
      </c>
      <c r="B428" t="s">
        <v>11</v>
      </c>
      <c r="C428">
        <v>69</v>
      </c>
      <c r="D428">
        <v>15</v>
      </c>
      <c r="E428" t="s">
        <v>21</v>
      </c>
      <c r="F428" t="s">
        <v>13</v>
      </c>
      <c r="G428" t="s">
        <v>23</v>
      </c>
      <c r="H428">
        <v>140.65</v>
      </c>
      <c r="I428">
        <v>2273.89</v>
      </c>
      <c r="J428" t="s">
        <v>15</v>
      </c>
      <c r="K428" t="str">
        <f>IF(D428&lt;=12,"0-12 Months",IF(D428&lt;=24,"13-24 Months",IF(D428&lt;=48,"25-48 Months","49+ Months")))</f>
        <v>13-24 Months</v>
      </c>
      <c r="L428">
        <f>IF(Table1346[[#This Row],[Churn]]="Yes",1,0)</f>
        <v>0</v>
      </c>
    </row>
    <row r="429" spans="1:12" x14ac:dyDescent="0.35">
      <c r="A429" t="s">
        <v>451</v>
      </c>
      <c r="B429" t="s">
        <v>17</v>
      </c>
      <c r="C429">
        <v>47</v>
      </c>
      <c r="D429">
        <v>65</v>
      </c>
      <c r="E429" t="s">
        <v>21</v>
      </c>
      <c r="F429" t="s">
        <v>13</v>
      </c>
      <c r="G429" t="s">
        <v>14</v>
      </c>
      <c r="H429">
        <v>31.85</v>
      </c>
      <c r="I429">
        <v>1929.74</v>
      </c>
      <c r="J429" t="s">
        <v>15</v>
      </c>
      <c r="K429" t="str">
        <f>IF(D429&lt;=12,"0-12 Months",IF(D429&lt;=24,"13-24 Months",IF(D429&lt;=48,"25-48 Months","49+ Months")))</f>
        <v>49+ Months</v>
      </c>
      <c r="L429">
        <f>IF(Table1346[[#This Row],[Churn]]="Yes",1,0)</f>
        <v>0</v>
      </c>
    </row>
    <row r="430" spans="1:12" x14ac:dyDescent="0.35">
      <c r="A430" t="s">
        <v>452</v>
      </c>
      <c r="B430" t="s">
        <v>11</v>
      </c>
      <c r="C430">
        <v>56</v>
      </c>
      <c r="D430">
        <v>71</v>
      </c>
      <c r="E430" t="s">
        <v>12</v>
      </c>
      <c r="F430" t="s">
        <v>29</v>
      </c>
      <c r="G430" t="s">
        <v>23</v>
      </c>
      <c r="H430">
        <v>57.17</v>
      </c>
      <c r="I430">
        <v>3793.63</v>
      </c>
      <c r="J430" t="s">
        <v>15</v>
      </c>
      <c r="K430" t="str">
        <f>IF(D430&lt;=12,"0-12 Months",IF(D430&lt;=24,"13-24 Months",IF(D430&lt;=48,"25-48 Months","49+ Months")))</f>
        <v>49+ Months</v>
      </c>
      <c r="L430">
        <f>IF(Table1346[[#This Row],[Churn]]="Yes",1,0)</f>
        <v>0</v>
      </c>
    </row>
    <row r="431" spans="1:12" x14ac:dyDescent="0.35">
      <c r="A431" t="s">
        <v>453</v>
      </c>
      <c r="B431" t="s">
        <v>17</v>
      </c>
      <c r="C431">
        <v>44</v>
      </c>
      <c r="D431">
        <v>15</v>
      </c>
      <c r="E431" t="s">
        <v>12</v>
      </c>
      <c r="F431" t="s">
        <v>29</v>
      </c>
      <c r="G431" t="s">
        <v>14</v>
      </c>
      <c r="H431">
        <v>107.41</v>
      </c>
      <c r="I431">
        <v>1536</v>
      </c>
      <c r="J431" t="s">
        <v>27</v>
      </c>
      <c r="K431" t="str">
        <f>IF(D431&lt;=12,"0-12 Months",IF(D431&lt;=24,"13-24 Months",IF(D431&lt;=48,"25-48 Months","49+ Months")))</f>
        <v>13-24 Months</v>
      </c>
      <c r="L431">
        <f>IF(Table1346[[#This Row],[Churn]]="Yes",1,0)</f>
        <v>1</v>
      </c>
    </row>
    <row r="432" spans="1:12" x14ac:dyDescent="0.35">
      <c r="A432" t="s">
        <v>454</v>
      </c>
      <c r="B432" t="s">
        <v>11</v>
      </c>
      <c r="C432">
        <v>53</v>
      </c>
      <c r="D432">
        <v>21</v>
      </c>
      <c r="E432" t="s">
        <v>18</v>
      </c>
      <c r="F432" t="s">
        <v>33</v>
      </c>
      <c r="G432" t="s">
        <v>23</v>
      </c>
      <c r="H432">
        <v>42.08</v>
      </c>
      <c r="I432">
        <v>816.44</v>
      </c>
      <c r="J432" t="s">
        <v>15</v>
      </c>
      <c r="K432" t="str">
        <f>IF(D432&lt;=12,"0-12 Months",IF(D432&lt;=24,"13-24 Months",IF(D432&lt;=48,"25-48 Months","49+ Months")))</f>
        <v>13-24 Months</v>
      </c>
      <c r="L432">
        <f>IF(Table1346[[#This Row],[Churn]]="Yes",1,0)</f>
        <v>0</v>
      </c>
    </row>
    <row r="433" spans="1:12" x14ac:dyDescent="0.35">
      <c r="A433" t="s">
        <v>455</v>
      </c>
      <c r="B433" t="s">
        <v>17</v>
      </c>
      <c r="C433">
        <v>46</v>
      </c>
      <c r="D433">
        <v>19</v>
      </c>
      <c r="E433" t="s">
        <v>12</v>
      </c>
      <c r="F433" t="s">
        <v>33</v>
      </c>
      <c r="G433" t="s">
        <v>14</v>
      </c>
      <c r="H433">
        <v>27.2</v>
      </c>
      <c r="I433">
        <v>488.93</v>
      </c>
      <c r="J433" t="s">
        <v>27</v>
      </c>
      <c r="K433" t="str">
        <f>IF(D433&lt;=12,"0-12 Months",IF(D433&lt;=24,"13-24 Months",IF(D433&lt;=48,"25-48 Months","49+ Months")))</f>
        <v>13-24 Months</v>
      </c>
      <c r="L433">
        <f>IF(Table1346[[#This Row],[Churn]]="Yes",1,0)</f>
        <v>1</v>
      </c>
    </row>
    <row r="434" spans="1:12" x14ac:dyDescent="0.35">
      <c r="A434" t="s">
        <v>456</v>
      </c>
      <c r="B434" t="s">
        <v>11</v>
      </c>
      <c r="C434">
        <v>55</v>
      </c>
      <c r="D434">
        <v>60</v>
      </c>
      <c r="E434" t="s">
        <v>18</v>
      </c>
      <c r="F434" t="s">
        <v>33</v>
      </c>
      <c r="G434" t="s">
        <v>23</v>
      </c>
      <c r="H434">
        <v>63.05</v>
      </c>
      <c r="I434">
        <v>3485.21</v>
      </c>
      <c r="J434" t="s">
        <v>27</v>
      </c>
      <c r="K434" t="str">
        <f>IF(D434&lt;=12,"0-12 Months",IF(D434&lt;=24,"13-24 Months",IF(D434&lt;=48,"25-48 Months","49+ Months")))</f>
        <v>49+ Months</v>
      </c>
      <c r="L434">
        <f>IF(Table1346[[#This Row],[Churn]]="Yes",1,0)</f>
        <v>1</v>
      </c>
    </row>
    <row r="435" spans="1:12" x14ac:dyDescent="0.35">
      <c r="A435" t="s">
        <v>457</v>
      </c>
      <c r="B435" t="s">
        <v>17</v>
      </c>
      <c r="C435">
        <v>50</v>
      </c>
      <c r="D435">
        <v>33</v>
      </c>
      <c r="E435" t="s">
        <v>12</v>
      </c>
      <c r="F435" t="s">
        <v>13</v>
      </c>
      <c r="G435" t="s">
        <v>23</v>
      </c>
      <c r="H435">
        <v>119.58</v>
      </c>
      <c r="I435">
        <v>4200.08</v>
      </c>
      <c r="J435" t="s">
        <v>27</v>
      </c>
      <c r="K435" t="str">
        <f>IF(D435&lt;=12,"0-12 Months",IF(D435&lt;=24,"13-24 Months",IF(D435&lt;=48,"25-48 Months","49+ Months")))</f>
        <v>25-48 Months</v>
      </c>
      <c r="L435">
        <f>IF(Table1346[[#This Row],[Churn]]="Yes",1,0)</f>
        <v>1</v>
      </c>
    </row>
    <row r="436" spans="1:12" x14ac:dyDescent="0.35">
      <c r="A436" t="s">
        <v>458</v>
      </c>
      <c r="B436" t="s">
        <v>17</v>
      </c>
      <c r="C436">
        <v>54</v>
      </c>
      <c r="D436">
        <v>49</v>
      </c>
      <c r="E436" t="s">
        <v>12</v>
      </c>
      <c r="F436" t="s">
        <v>29</v>
      </c>
      <c r="G436" t="s">
        <v>23</v>
      </c>
      <c r="H436">
        <v>73.78</v>
      </c>
      <c r="I436">
        <v>3354.18</v>
      </c>
      <c r="J436" t="s">
        <v>15</v>
      </c>
      <c r="K436" t="str">
        <f>IF(D436&lt;=12,"0-12 Months",IF(D436&lt;=24,"13-24 Months",IF(D436&lt;=48,"25-48 Months","49+ Months")))</f>
        <v>49+ Months</v>
      </c>
      <c r="L436">
        <f>IF(Table1346[[#This Row],[Churn]]="Yes",1,0)</f>
        <v>0</v>
      </c>
    </row>
    <row r="437" spans="1:12" x14ac:dyDescent="0.35">
      <c r="A437" t="s">
        <v>459</v>
      </c>
      <c r="B437" t="s">
        <v>17</v>
      </c>
      <c r="C437">
        <v>44</v>
      </c>
      <c r="D437">
        <v>35</v>
      </c>
      <c r="E437" t="s">
        <v>12</v>
      </c>
      <c r="F437" t="s">
        <v>29</v>
      </c>
      <c r="G437" t="s">
        <v>14</v>
      </c>
      <c r="H437">
        <v>104.89</v>
      </c>
      <c r="I437">
        <v>3852.72</v>
      </c>
      <c r="J437" t="s">
        <v>15</v>
      </c>
      <c r="K437" t="str">
        <f>IF(D437&lt;=12,"0-12 Months",IF(D437&lt;=24,"13-24 Months",IF(D437&lt;=48,"25-48 Months","49+ Months")))</f>
        <v>25-48 Months</v>
      </c>
      <c r="L437">
        <f>IF(Table1346[[#This Row],[Churn]]="Yes",1,0)</f>
        <v>0</v>
      </c>
    </row>
    <row r="438" spans="1:12" x14ac:dyDescent="0.35">
      <c r="A438" t="s">
        <v>460</v>
      </c>
      <c r="B438" t="s">
        <v>17</v>
      </c>
      <c r="C438">
        <v>50</v>
      </c>
      <c r="D438">
        <v>44</v>
      </c>
      <c r="E438" t="s">
        <v>12</v>
      </c>
      <c r="F438" t="s">
        <v>29</v>
      </c>
      <c r="G438" t="s">
        <v>23</v>
      </c>
      <c r="H438">
        <v>95.35</v>
      </c>
      <c r="I438">
        <v>3816.06</v>
      </c>
      <c r="J438" t="s">
        <v>15</v>
      </c>
      <c r="K438" t="str">
        <f>IF(D438&lt;=12,"0-12 Months",IF(D438&lt;=24,"13-24 Months",IF(D438&lt;=48,"25-48 Months","49+ Months")))</f>
        <v>25-48 Months</v>
      </c>
      <c r="L438">
        <f>IF(Table1346[[#This Row],[Churn]]="Yes",1,0)</f>
        <v>0</v>
      </c>
    </row>
    <row r="439" spans="1:12" x14ac:dyDescent="0.35">
      <c r="A439" t="s">
        <v>461</v>
      </c>
      <c r="B439" t="s">
        <v>17</v>
      </c>
      <c r="C439">
        <v>21</v>
      </c>
      <c r="D439">
        <v>11</v>
      </c>
      <c r="E439" t="s">
        <v>18</v>
      </c>
      <c r="F439" t="s">
        <v>29</v>
      </c>
      <c r="G439" t="s">
        <v>19</v>
      </c>
      <c r="H439">
        <v>22.89</v>
      </c>
      <c r="I439">
        <v>274.38</v>
      </c>
      <c r="J439" t="s">
        <v>15</v>
      </c>
      <c r="K439" t="str">
        <f>IF(D439&lt;=12,"0-12 Months",IF(D439&lt;=24,"13-24 Months",IF(D439&lt;=48,"25-48 Months","49+ Months")))</f>
        <v>0-12 Months</v>
      </c>
      <c r="L439">
        <f>IF(Table1346[[#This Row],[Churn]]="Yes",1,0)</f>
        <v>0</v>
      </c>
    </row>
    <row r="440" spans="1:12" x14ac:dyDescent="0.35">
      <c r="A440" t="s">
        <v>462</v>
      </c>
      <c r="B440" t="s">
        <v>11</v>
      </c>
      <c r="C440">
        <v>39</v>
      </c>
      <c r="D440">
        <v>72</v>
      </c>
      <c r="E440" t="s">
        <v>12</v>
      </c>
      <c r="F440" t="s">
        <v>29</v>
      </c>
      <c r="G440" t="s">
        <v>14</v>
      </c>
      <c r="H440">
        <v>148.51</v>
      </c>
      <c r="I440">
        <v>11144.3</v>
      </c>
      <c r="J440" t="s">
        <v>27</v>
      </c>
      <c r="K440" t="str">
        <f>IF(D440&lt;=12,"0-12 Months",IF(D440&lt;=24,"13-24 Months",IF(D440&lt;=48,"25-48 Months","49+ Months")))</f>
        <v>49+ Months</v>
      </c>
      <c r="L440">
        <f>IF(Table1346[[#This Row],[Churn]]="Yes",1,0)</f>
        <v>1</v>
      </c>
    </row>
    <row r="441" spans="1:12" x14ac:dyDescent="0.35">
      <c r="A441" t="s">
        <v>463</v>
      </c>
      <c r="B441" t="s">
        <v>11</v>
      </c>
      <c r="C441">
        <v>19</v>
      </c>
      <c r="D441">
        <v>66</v>
      </c>
      <c r="E441" t="s">
        <v>12</v>
      </c>
      <c r="F441" t="s">
        <v>33</v>
      </c>
      <c r="G441" t="s">
        <v>19</v>
      </c>
      <c r="H441">
        <v>25.39</v>
      </c>
      <c r="I441">
        <v>1510.44</v>
      </c>
      <c r="J441" t="s">
        <v>15</v>
      </c>
      <c r="K441" t="str">
        <f>IF(D441&lt;=12,"0-12 Months",IF(D441&lt;=24,"13-24 Months",IF(D441&lt;=48,"25-48 Months","49+ Months")))</f>
        <v>49+ Months</v>
      </c>
      <c r="L441">
        <f>IF(Table1346[[#This Row],[Churn]]="Yes",1,0)</f>
        <v>0</v>
      </c>
    </row>
    <row r="442" spans="1:12" x14ac:dyDescent="0.35">
      <c r="A442" t="s">
        <v>464</v>
      </c>
      <c r="B442" t="s">
        <v>11</v>
      </c>
      <c r="C442">
        <v>27</v>
      </c>
      <c r="D442">
        <v>46</v>
      </c>
      <c r="E442" t="s">
        <v>12</v>
      </c>
      <c r="F442" t="s">
        <v>22</v>
      </c>
      <c r="G442" t="s">
        <v>19</v>
      </c>
      <c r="H442">
        <v>145.81</v>
      </c>
      <c r="I442">
        <v>7061.21</v>
      </c>
      <c r="J442" t="s">
        <v>27</v>
      </c>
      <c r="K442" t="str">
        <f>IF(D442&lt;=12,"0-12 Months",IF(D442&lt;=24,"13-24 Months",IF(D442&lt;=48,"25-48 Months","49+ Months")))</f>
        <v>25-48 Months</v>
      </c>
      <c r="L442">
        <f>IF(Table1346[[#This Row],[Churn]]="Yes",1,0)</f>
        <v>1</v>
      </c>
    </row>
    <row r="443" spans="1:12" x14ac:dyDescent="0.35">
      <c r="A443" t="s">
        <v>465</v>
      </c>
      <c r="B443" t="s">
        <v>17</v>
      </c>
      <c r="C443">
        <v>22</v>
      </c>
      <c r="D443">
        <v>9</v>
      </c>
      <c r="E443" t="s">
        <v>12</v>
      </c>
      <c r="F443" t="s">
        <v>29</v>
      </c>
      <c r="G443" t="s">
        <v>19</v>
      </c>
      <c r="H443">
        <v>91.48</v>
      </c>
      <c r="I443">
        <v>825.64</v>
      </c>
      <c r="J443" t="s">
        <v>27</v>
      </c>
      <c r="K443" t="str">
        <f>IF(D443&lt;=12,"0-12 Months",IF(D443&lt;=24,"13-24 Months",IF(D443&lt;=48,"25-48 Months","49+ Months")))</f>
        <v>0-12 Months</v>
      </c>
      <c r="L443">
        <f>IF(Table1346[[#This Row],[Churn]]="Yes",1,0)</f>
        <v>1</v>
      </c>
    </row>
    <row r="444" spans="1:12" x14ac:dyDescent="0.35">
      <c r="A444" t="s">
        <v>466</v>
      </c>
      <c r="B444" t="s">
        <v>11</v>
      </c>
      <c r="C444">
        <v>27</v>
      </c>
      <c r="D444">
        <v>3</v>
      </c>
      <c r="E444" t="s">
        <v>12</v>
      </c>
      <c r="F444" t="s">
        <v>29</v>
      </c>
      <c r="G444" t="s">
        <v>19</v>
      </c>
      <c r="H444">
        <v>145.21</v>
      </c>
      <c r="I444">
        <v>459.97</v>
      </c>
      <c r="J444" t="s">
        <v>15</v>
      </c>
      <c r="K444" t="str">
        <f>IF(D444&lt;=12,"0-12 Months",IF(D444&lt;=24,"13-24 Months",IF(D444&lt;=48,"25-48 Months","49+ Months")))</f>
        <v>0-12 Months</v>
      </c>
      <c r="L444">
        <f>IF(Table1346[[#This Row],[Churn]]="Yes",1,0)</f>
        <v>0</v>
      </c>
    </row>
    <row r="445" spans="1:12" x14ac:dyDescent="0.35">
      <c r="A445" t="s">
        <v>467</v>
      </c>
      <c r="B445" t="s">
        <v>17</v>
      </c>
      <c r="C445">
        <v>50</v>
      </c>
      <c r="D445">
        <v>26</v>
      </c>
      <c r="E445" t="s">
        <v>12</v>
      </c>
      <c r="F445" t="s">
        <v>13</v>
      </c>
      <c r="G445" t="s">
        <v>23</v>
      </c>
      <c r="H445">
        <v>34.92</v>
      </c>
      <c r="I445">
        <v>912.01</v>
      </c>
      <c r="J445" t="s">
        <v>27</v>
      </c>
      <c r="K445" t="str">
        <f>IF(D445&lt;=12,"0-12 Months",IF(D445&lt;=24,"13-24 Months",IF(D445&lt;=48,"25-48 Months","49+ Months")))</f>
        <v>25-48 Months</v>
      </c>
      <c r="L445">
        <f>IF(Table1346[[#This Row],[Churn]]="Yes",1,0)</f>
        <v>1</v>
      </c>
    </row>
    <row r="446" spans="1:12" x14ac:dyDescent="0.35">
      <c r="A446" t="s">
        <v>468</v>
      </c>
      <c r="B446" t="s">
        <v>17</v>
      </c>
      <c r="C446">
        <v>55</v>
      </c>
      <c r="D446">
        <v>72</v>
      </c>
      <c r="E446" t="s">
        <v>18</v>
      </c>
      <c r="F446" t="s">
        <v>29</v>
      </c>
      <c r="G446" t="s">
        <v>23</v>
      </c>
      <c r="H446">
        <v>83.07</v>
      </c>
      <c r="I446">
        <v>6200.08</v>
      </c>
      <c r="J446" t="s">
        <v>15</v>
      </c>
      <c r="K446" t="str">
        <f>IF(D446&lt;=12,"0-12 Months",IF(D446&lt;=24,"13-24 Months",IF(D446&lt;=48,"25-48 Months","49+ Months")))</f>
        <v>49+ Months</v>
      </c>
      <c r="L446">
        <f>IF(Table1346[[#This Row],[Churn]]="Yes",1,0)</f>
        <v>0</v>
      </c>
    </row>
    <row r="447" spans="1:12" x14ac:dyDescent="0.35">
      <c r="A447" t="s">
        <v>469</v>
      </c>
      <c r="B447" t="s">
        <v>11</v>
      </c>
      <c r="C447">
        <v>30</v>
      </c>
      <c r="D447">
        <v>48</v>
      </c>
      <c r="E447" t="s">
        <v>12</v>
      </c>
      <c r="F447" t="s">
        <v>33</v>
      </c>
      <c r="G447" t="s">
        <v>14</v>
      </c>
      <c r="H447">
        <v>42.04</v>
      </c>
      <c r="I447">
        <v>2133.48</v>
      </c>
      <c r="J447" t="s">
        <v>15</v>
      </c>
      <c r="K447" t="str">
        <f>IF(D447&lt;=12,"0-12 Months",IF(D447&lt;=24,"13-24 Months",IF(D447&lt;=48,"25-48 Months","49+ Months")))</f>
        <v>25-48 Months</v>
      </c>
      <c r="L447">
        <f>IF(Table1346[[#This Row],[Churn]]="Yes",1,0)</f>
        <v>0</v>
      </c>
    </row>
    <row r="448" spans="1:12" x14ac:dyDescent="0.35">
      <c r="A448" t="s">
        <v>470</v>
      </c>
      <c r="B448" t="s">
        <v>11</v>
      </c>
      <c r="C448">
        <v>48</v>
      </c>
      <c r="D448">
        <v>66</v>
      </c>
      <c r="E448" t="s">
        <v>12</v>
      </c>
      <c r="F448" t="s">
        <v>13</v>
      </c>
      <c r="G448" t="s">
        <v>14</v>
      </c>
      <c r="H448">
        <v>26.63</v>
      </c>
      <c r="I448">
        <v>1724.22</v>
      </c>
      <c r="J448" t="s">
        <v>15</v>
      </c>
      <c r="K448" t="str">
        <f>IF(D448&lt;=12,"0-12 Months",IF(D448&lt;=24,"13-24 Months",IF(D448&lt;=48,"25-48 Months","49+ Months")))</f>
        <v>49+ Months</v>
      </c>
      <c r="L448">
        <f>IF(Table1346[[#This Row],[Churn]]="Yes",1,0)</f>
        <v>0</v>
      </c>
    </row>
    <row r="449" spans="1:12" x14ac:dyDescent="0.35">
      <c r="A449" t="s">
        <v>471</v>
      </c>
      <c r="B449" t="s">
        <v>17</v>
      </c>
      <c r="C449">
        <v>64</v>
      </c>
      <c r="D449">
        <v>70</v>
      </c>
      <c r="E449" t="s">
        <v>12</v>
      </c>
      <c r="F449" t="s">
        <v>13</v>
      </c>
      <c r="G449" t="s">
        <v>23</v>
      </c>
      <c r="H449">
        <v>100.28</v>
      </c>
      <c r="I449">
        <v>6321.44</v>
      </c>
      <c r="J449" t="s">
        <v>15</v>
      </c>
      <c r="K449" t="str">
        <f>IF(D449&lt;=12,"0-12 Months",IF(D449&lt;=24,"13-24 Months",IF(D449&lt;=48,"25-48 Months","49+ Months")))</f>
        <v>49+ Months</v>
      </c>
      <c r="L449">
        <f>IF(Table1346[[#This Row],[Churn]]="Yes",1,0)</f>
        <v>0</v>
      </c>
    </row>
    <row r="450" spans="1:12" x14ac:dyDescent="0.35">
      <c r="A450" t="s">
        <v>472</v>
      </c>
      <c r="B450" t="s">
        <v>11</v>
      </c>
      <c r="C450">
        <v>53</v>
      </c>
      <c r="D450">
        <v>28</v>
      </c>
      <c r="E450" t="s">
        <v>12</v>
      </c>
      <c r="F450" t="s">
        <v>13</v>
      </c>
      <c r="G450" t="s">
        <v>23</v>
      </c>
      <c r="H450">
        <v>47.01</v>
      </c>
      <c r="I450">
        <v>1408.41</v>
      </c>
      <c r="J450" t="s">
        <v>27</v>
      </c>
      <c r="K450" t="str">
        <f>IF(D450&lt;=12,"0-12 Months",IF(D450&lt;=24,"13-24 Months",IF(D450&lt;=48,"25-48 Months","49+ Months")))</f>
        <v>25-48 Months</v>
      </c>
      <c r="L450">
        <f>IF(Table1346[[#This Row],[Churn]]="Yes",1,0)</f>
        <v>1</v>
      </c>
    </row>
    <row r="451" spans="1:12" x14ac:dyDescent="0.35">
      <c r="A451" t="s">
        <v>473</v>
      </c>
      <c r="B451" t="s">
        <v>17</v>
      </c>
      <c r="C451">
        <v>62</v>
      </c>
      <c r="D451">
        <v>26</v>
      </c>
      <c r="E451" t="s">
        <v>18</v>
      </c>
      <c r="F451" t="s">
        <v>29</v>
      </c>
      <c r="G451" t="s">
        <v>23</v>
      </c>
      <c r="H451">
        <v>96.4</v>
      </c>
      <c r="I451">
        <v>2446.69</v>
      </c>
      <c r="J451" t="s">
        <v>15</v>
      </c>
      <c r="K451" t="str">
        <f>IF(D451&lt;=12,"0-12 Months",IF(D451&lt;=24,"13-24 Months",IF(D451&lt;=48,"25-48 Months","49+ Months")))</f>
        <v>25-48 Months</v>
      </c>
      <c r="L451">
        <f>IF(Table1346[[#This Row],[Churn]]="Yes",1,0)</f>
        <v>0</v>
      </c>
    </row>
    <row r="452" spans="1:12" x14ac:dyDescent="0.35">
      <c r="A452" t="s">
        <v>474</v>
      </c>
      <c r="B452" t="s">
        <v>17</v>
      </c>
      <c r="C452">
        <v>41</v>
      </c>
      <c r="D452">
        <v>25</v>
      </c>
      <c r="E452" t="s">
        <v>12</v>
      </c>
      <c r="F452" t="s">
        <v>22</v>
      </c>
      <c r="G452" t="s">
        <v>14</v>
      </c>
      <c r="H452">
        <v>34.61</v>
      </c>
      <c r="I452">
        <v>864.57</v>
      </c>
      <c r="J452" t="s">
        <v>15</v>
      </c>
      <c r="K452" t="str">
        <f>IF(D452&lt;=12,"0-12 Months",IF(D452&lt;=24,"13-24 Months",IF(D452&lt;=48,"25-48 Months","49+ Months")))</f>
        <v>25-48 Months</v>
      </c>
      <c r="L452">
        <f>IF(Table1346[[#This Row],[Churn]]="Yes",1,0)</f>
        <v>0</v>
      </c>
    </row>
    <row r="453" spans="1:12" x14ac:dyDescent="0.35">
      <c r="A453" t="s">
        <v>475</v>
      </c>
      <c r="B453" t="s">
        <v>17</v>
      </c>
      <c r="C453">
        <v>69</v>
      </c>
      <c r="D453">
        <v>12</v>
      </c>
      <c r="E453" t="s">
        <v>12</v>
      </c>
      <c r="F453" t="s">
        <v>22</v>
      </c>
      <c r="G453" t="s">
        <v>23</v>
      </c>
      <c r="H453">
        <v>63.16</v>
      </c>
      <c r="I453">
        <v>683.31</v>
      </c>
      <c r="J453" t="s">
        <v>15</v>
      </c>
      <c r="K453" t="str">
        <f>IF(D453&lt;=12,"0-12 Months",IF(D453&lt;=24,"13-24 Months",IF(D453&lt;=48,"25-48 Months","49+ Months")))</f>
        <v>0-12 Months</v>
      </c>
      <c r="L453">
        <f>IF(Table1346[[#This Row],[Churn]]="Yes",1,0)</f>
        <v>0</v>
      </c>
    </row>
    <row r="454" spans="1:12" x14ac:dyDescent="0.35">
      <c r="A454" t="s">
        <v>476</v>
      </c>
      <c r="B454" t="s">
        <v>17</v>
      </c>
      <c r="C454">
        <v>32</v>
      </c>
      <c r="D454">
        <v>5</v>
      </c>
      <c r="E454" t="s">
        <v>21</v>
      </c>
      <c r="F454" t="s">
        <v>22</v>
      </c>
      <c r="G454" t="s">
        <v>14</v>
      </c>
      <c r="H454">
        <v>121.61</v>
      </c>
      <c r="I454">
        <v>607.09</v>
      </c>
      <c r="J454" t="s">
        <v>27</v>
      </c>
      <c r="K454" t="str">
        <f>IF(D454&lt;=12,"0-12 Months",IF(D454&lt;=24,"13-24 Months",IF(D454&lt;=48,"25-48 Months","49+ Months")))</f>
        <v>0-12 Months</v>
      </c>
      <c r="L454">
        <f>IF(Table1346[[#This Row],[Churn]]="Yes",1,0)</f>
        <v>1</v>
      </c>
    </row>
    <row r="455" spans="1:12" x14ac:dyDescent="0.35">
      <c r="A455" t="s">
        <v>477</v>
      </c>
      <c r="B455" t="s">
        <v>17</v>
      </c>
      <c r="C455">
        <v>46</v>
      </c>
      <c r="D455">
        <v>48</v>
      </c>
      <c r="E455" t="s">
        <v>12</v>
      </c>
      <c r="F455" t="s">
        <v>29</v>
      </c>
      <c r="G455" t="s">
        <v>14</v>
      </c>
      <c r="H455">
        <v>76.819999999999993</v>
      </c>
      <c r="I455">
        <v>4046.13</v>
      </c>
      <c r="J455" t="s">
        <v>15</v>
      </c>
      <c r="K455" t="str">
        <f>IF(D455&lt;=12,"0-12 Months",IF(D455&lt;=24,"13-24 Months",IF(D455&lt;=48,"25-48 Months","49+ Months")))</f>
        <v>25-48 Months</v>
      </c>
      <c r="L455">
        <f>IF(Table1346[[#This Row],[Churn]]="Yes",1,0)</f>
        <v>0</v>
      </c>
    </row>
    <row r="456" spans="1:12" x14ac:dyDescent="0.35">
      <c r="A456" t="s">
        <v>478</v>
      </c>
      <c r="B456" t="s">
        <v>11</v>
      </c>
      <c r="C456">
        <v>25</v>
      </c>
      <c r="D456">
        <v>37</v>
      </c>
      <c r="E456" t="s">
        <v>12</v>
      </c>
      <c r="F456" t="s">
        <v>1024</v>
      </c>
      <c r="G456" t="s">
        <v>19</v>
      </c>
      <c r="H456">
        <v>101.61</v>
      </c>
      <c r="I456">
        <v>3592.85</v>
      </c>
      <c r="J456" t="s">
        <v>15</v>
      </c>
      <c r="K456" t="str">
        <f>IF(D456&lt;=12,"0-12 Months",IF(D456&lt;=24,"13-24 Months",IF(D456&lt;=48,"25-48 Months","49+ Months")))</f>
        <v>25-48 Months</v>
      </c>
      <c r="L456">
        <f>IF(Table1346[[#This Row],[Churn]]="Yes",1,0)</f>
        <v>0</v>
      </c>
    </row>
    <row r="457" spans="1:12" x14ac:dyDescent="0.35">
      <c r="A457" t="s">
        <v>479</v>
      </c>
      <c r="B457" t="s">
        <v>11</v>
      </c>
      <c r="C457">
        <v>22</v>
      </c>
      <c r="D457">
        <v>44</v>
      </c>
      <c r="E457" t="s">
        <v>18</v>
      </c>
      <c r="F457" t="s">
        <v>13</v>
      </c>
      <c r="G457" t="s">
        <v>19</v>
      </c>
      <c r="H457">
        <v>104.17</v>
      </c>
      <c r="I457">
        <v>4487.6099999999997</v>
      </c>
      <c r="J457" t="s">
        <v>15</v>
      </c>
      <c r="K457" t="str">
        <f>IF(D457&lt;=12,"0-12 Months",IF(D457&lt;=24,"13-24 Months",IF(D457&lt;=48,"25-48 Months","49+ Months")))</f>
        <v>25-48 Months</v>
      </c>
      <c r="L457">
        <f>IF(Table1346[[#This Row],[Churn]]="Yes",1,0)</f>
        <v>0</v>
      </c>
    </row>
    <row r="458" spans="1:12" x14ac:dyDescent="0.35">
      <c r="A458" t="s">
        <v>480</v>
      </c>
      <c r="B458" t="s">
        <v>17</v>
      </c>
      <c r="C458">
        <v>46</v>
      </c>
      <c r="D458">
        <v>15</v>
      </c>
      <c r="E458" t="s">
        <v>21</v>
      </c>
      <c r="F458" t="s">
        <v>33</v>
      </c>
      <c r="G458" t="s">
        <v>14</v>
      </c>
      <c r="H458">
        <v>129.69</v>
      </c>
      <c r="I458">
        <v>2018.18</v>
      </c>
      <c r="J458" t="s">
        <v>15</v>
      </c>
      <c r="K458" t="str">
        <f>IF(D458&lt;=12,"0-12 Months",IF(D458&lt;=24,"13-24 Months",IF(D458&lt;=48,"25-48 Months","49+ Months")))</f>
        <v>13-24 Months</v>
      </c>
      <c r="L458">
        <f>IF(Table1346[[#This Row],[Churn]]="Yes",1,0)</f>
        <v>0</v>
      </c>
    </row>
    <row r="459" spans="1:12" x14ac:dyDescent="0.35">
      <c r="A459" t="s">
        <v>481</v>
      </c>
      <c r="B459" t="s">
        <v>17</v>
      </c>
      <c r="C459">
        <v>64</v>
      </c>
      <c r="D459">
        <v>43</v>
      </c>
      <c r="E459" t="s">
        <v>18</v>
      </c>
      <c r="F459" t="s">
        <v>13</v>
      </c>
      <c r="G459" t="s">
        <v>23</v>
      </c>
      <c r="H459">
        <v>62.24</v>
      </c>
      <c r="I459">
        <v>2844.82</v>
      </c>
      <c r="J459" t="s">
        <v>15</v>
      </c>
      <c r="K459" t="str">
        <f>IF(D459&lt;=12,"0-12 Months",IF(D459&lt;=24,"13-24 Months",IF(D459&lt;=48,"25-48 Months","49+ Months")))</f>
        <v>25-48 Months</v>
      </c>
      <c r="L459">
        <f>IF(Table1346[[#This Row],[Churn]]="Yes",1,0)</f>
        <v>0</v>
      </c>
    </row>
    <row r="460" spans="1:12" x14ac:dyDescent="0.35">
      <c r="A460" t="s">
        <v>482</v>
      </c>
      <c r="B460" t="s">
        <v>11</v>
      </c>
      <c r="C460">
        <v>21</v>
      </c>
      <c r="D460">
        <v>48</v>
      </c>
      <c r="E460" t="s">
        <v>12</v>
      </c>
      <c r="F460" t="s">
        <v>13</v>
      </c>
      <c r="G460" t="s">
        <v>19</v>
      </c>
      <c r="H460">
        <v>109.35</v>
      </c>
      <c r="I460">
        <v>5162.08</v>
      </c>
      <c r="J460" t="s">
        <v>15</v>
      </c>
      <c r="K460" t="str">
        <f>IF(D460&lt;=12,"0-12 Months",IF(D460&lt;=24,"13-24 Months",IF(D460&lt;=48,"25-48 Months","49+ Months")))</f>
        <v>25-48 Months</v>
      </c>
      <c r="L460">
        <f>IF(Table1346[[#This Row],[Churn]]="Yes",1,0)</f>
        <v>0</v>
      </c>
    </row>
    <row r="461" spans="1:12" x14ac:dyDescent="0.35">
      <c r="A461" t="s">
        <v>483</v>
      </c>
      <c r="B461" t="s">
        <v>11</v>
      </c>
      <c r="C461">
        <v>29</v>
      </c>
      <c r="D461">
        <v>70</v>
      </c>
      <c r="E461" t="s">
        <v>12</v>
      </c>
      <c r="F461" t="s">
        <v>22</v>
      </c>
      <c r="G461" t="s">
        <v>19</v>
      </c>
      <c r="H461">
        <v>145.01</v>
      </c>
      <c r="I461">
        <v>9764.2999999999993</v>
      </c>
      <c r="J461" t="s">
        <v>15</v>
      </c>
      <c r="K461" t="str">
        <f>IF(D461&lt;=12,"0-12 Months",IF(D461&lt;=24,"13-24 Months",IF(D461&lt;=48,"25-48 Months","49+ Months")))</f>
        <v>49+ Months</v>
      </c>
      <c r="L461">
        <f>IF(Table1346[[#This Row],[Churn]]="Yes",1,0)</f>
        <v>0</v>
      </c>
    </row>
    <row r="462" spans="1:12" x14ac:dyDescent="0.35">
      <c r="A462" t="s">
        <v>484</v>
      </c>
      <c r="B462" t="s">
        <v>17</v>
      </c>
      <c r="C462">
        <v>62</v>
      </c>
      <c r="D462">
        <v>46</v>
      </c>
      <c r="E462" t="s">
        <v>12</v>
      </c>
      <c r="F462" t="s">
        <v>22</v>
      </c>
      <c r="G462" t="s">
        <v>23</v>
      </c>
      <c r="H462">
        <v>114.93</v>
      </c>
      <c r="I462">
        <v>5749.72</v>
      </c>
      <c r="J462" t="s">
        <v>27</v>
      </c>
      <c r="K462" t="str">
        <f>IF(D462&lt;=12,"0-12 Months",IF(D462&lt;=24,"13-24 Months",IF(D462&lt;=48,"25-48 Months","49+ Months")))</f>
        <v>25-48 Months</v>
      </c>
      <c r="L462">
        <f>IF(Table1346[[#This Row],[Churn]]="Yes",1,0)</f>
        <v>1</v>
      </c>
    </row>
    <row r="463" spans="1:12" x14ac:dyDescent="0.35">
      <c r="A463" t="s">
        <v>485</v>
      </c>
      <c r="B463" t="s">
        <v>11</v>
      </c>
      <c r="C463">
        <v>19</v>
      </c>
      <c r="D463">
        <v>43</v>
      </c>
      <c r="E463" t="s">
        <v>12</v>
      </c>
      <c r="F463" t="s">
        <v>13</v>
      </c>
      <c r="G463" t="s">
        <v>19</v>
      </c>
      <c r="H463">
        <v>83.68</v>
      </c>
      <c r="I463">
        <v>3725.72</v>
      </c>
      <c r="J463" t="s">
        <v>15</v>
      </c>
      <c r="K463" t="str">
        <f>IF(D463&lt;=12,"0-12 Months",IF(D463&lt;=24,"13-24 Months",IF(D463&lt;=48,"25-48 Months","49+ Months")))</f>
        <v>25-48 Months</v>
      </c>
      <c r="L463">
        <f>IF(Table1346[[#This Row],[Churn]]="Yes",1,0)</f>
        <v>0</v>
      </c>
    </row>
    <row r="464" spans="1:12" x14ac:dyDescent="0.35">
      <c r="A464" t="s">
        <v>486</v>
      </c>
      <c r="B464" t="s">
        <v>17</v>
      </c>
      <c r="C464">
        <v>44</v>
      </c>
      <c r="D464">
        <v>21</v>
      </c>
      <c r="E464" t="s">
        <v>18</v>
      </c>
      <c r="F464" t="s">
        <v>13</v>
      </c>
      <c r="G464" t="s">
        <v>14</v>
      </c>
      <c r="H464">
        <v>101.99</v>
      </c>
      <c r="I464">
        <v>1978.59</v>
      </c>
      <c r="J464" t="s">
        <v>15</v>
      </c>
      <c r="K464" t="str">
        <f>IF(D464&lt;=12,"0-12 Months",IF(D464&lt;=24,"13-24 Months",IF(D464&lt;=48,"25-48 Months","49+ Months")))</f>
        <v>13-24 Months</v>
      </c>
      <c r="L464">
        <f>IF(Table1346[[#This Row],[Churn]]="Yes",1,0)</f>
        <v>0</v>
      </c>
    </row>
    <row r="465" spans="1:12" x14ac:dyDescent="0.35">
      <c r="A465" t="s">
        <v>487</v>
      </c>
      <c r="B465" t="s">
        <v>11</v>
      </c>
      <c r="C465">
        <v>48</v>
      </c>
      <c r="D465">
        <v>23</v>
      </c>
      <c r="E465" t="s">
        <v>12</v>
      </c>
      <c r="F465" t="s">
        <v>13</v>
      </c>
      <c r="G465" t="s">
        <v>14</v>
      </c>
      <c r="H465">
        <v>116.16</v>
      </c>
      <c r="I465">
        <v>2441.34</v>
      </c>
      <c r="J465" t="s">
        <v>27</v>
      </c>
      <c r="K465" t="str">
        <f>IF(D465&lt;=12,"0-12 Months",IF(D465&lt;=24,"13-24 Months",IF(D465&lt;=48,"25-48 Months","49+ Months")))</f>
        <v>13-24 Months</v>
      </c>
      <c r="L465">
        <f>IF(Table1346[[#This Row],[Churn]]="Yes",1,0)</f>
        <v>1</v>
      </c>
    </row>
    <row r="466" spans="1:12" x14ac:dyDescent="0.35">
      <c r="A466" t="s">
        <v>488</v>
      </c>
      <c r="B466" t="s">
        <v>17</v>
      </c>
      <c r="C466">
        <v>68</v>
      </c>
      <c r="D466">
        <v>47</v>
      </c>
      <c r="E466" t="s">
        <v>18</v>
      </c>
      <c r="F466" t="s">
        <v>33</v>
      </c>
      <c r="G466" t="s">
        <v>23</v>
      </c>
      <c r="H466">
        <v>99.6</v>
      </c>
      <c r="I466">
        <v>4665.8</v>
      </c>
      <c r="J466" t="s">
        <v>15</v>
      </c>
      <c r="K466" t="str">
        <f>IF(D466&lt;=12,"0-12 Months",IF(D466&lt;=24,"13-24 Months",IF(D466&lt;=48,"25-48 Months","49+ Months")))</f>
        <v>25-48 Months</v>
      </c>
      <c r="L466">
        <f>IF(Table1346[[#This Row],[Churn]]="Yes",1,0)</f>
        <v>0</v>
      </c>
    </row>
    <row r="467" spans="1:12" x14ac:dyDescent="0.35">
      <c r="A467" t="s">
        <v>489</v>
      </c>
      <c r="B467" t="s">
        <v>11</v>
      </c>
      <c r="C467">
        <v>68</v>
      </c>
      <c r="D467">
        <v>15</v>
      </c>
      <c r="E467" t="s">
        <v>21</v>
      </c>
      <c r="F467" t="s">
        <v>13</v>
      </c>
      <c r="G467" t="s">
        <v>23</v>
      </c>
      <c r="H467">
        <v>22.17</v>
      </c>
      <c r="I467">
        <v>313.93</v>
      </c>
      <c r="J467" t="s">
        <v>15</v>
      </c>
      <c r="K467" t="str">
        <f>IF(D467&lt;=12,"0-12 Months",IF(D467&lt;=24,"13-24 Months",IF(D467&lt;=48,"25-48 Months","49+ Months")))</f>
        <v>13-24 Months</v>
      </c>
      <c r="L467">
        <f>IF(Table1346[[#This Row],[Churn]]="Yes",1,0)</f>
        <v>0</v>
      </c>
    </row>
    <row r="468" spans="1:12" x14ac:dyDescent="0.35">
      <c r="A468" t="s">
        <v>490</v>
      </c>
      <c r="B468" t="s">
        <v>17</v>
      </c>
      <c r="C468">
        <v>53</v>
      </c>
      <c r="D468">
        <v>25</v>
      </c>
      <c r="E468" t="s">
        <v>12</v>
      </c>
      <c r="F468" t="s">
        <v>33</v>
      </c>
      <c r="G468" t="s">
        <v>23</v>
      </c>
      <c r="H468">
        <v>45.32</v>
      </c>
      <c r="I468">
        <v>1077.25</v>
      </c>
      <c r="J468" t="s">
        <v>15</v>
      </c>
      <c r="K468" t="str">
        <f>IF(D468&lt;=12,"0-12 Months",IF(D468&lt;=24,"13-24 Months",IF(D468&lt;=48,"25-48 Months","49+ Months")))</f>
        <v>25-48 Months</v>
      </c>
      <c r="L468">
        <f>IF(Table1346[[#This Row],[Churn]]="Yes",1,0)</f>
        <v>0</v>
      </c>
    </row>
    <row r="469" spans="1:12" x14ac:dyDescent="0.35">
      <c r="A469" t="s">
        <v>491</v>
      </c>
      <c r="B469" t="s">
        <v>11</v>
      </c>
      <c r="C469">
        <v>53</v>
      </c>
      <c r="D469">
        <v>36</v>
      </c>
      <c r="E469" t="s">
        <v>12</v>
      </c>
      <c r="F469" t="s">
        <v>13</v>
      </c>
      <c r="G469" t="s">
        <v>23</v>
      </c>
      <c r="H469">
        <v>125.36</v>
      </c>
      <c r="I469">
        <v>4853.8599999999997</v>
      </c>
      <c r="J469" t="s">
        <v>27</v>
      </c>
      <c r="K469" t="str">
        <f>IF(D469&lt;=12,"0-12 Months",IF(D469&lt;=24,"13-24 Months",IF(D469&lt;=48,"25-48 Months","49+ Months")))</f>
        <v>25-48 Months</v>
      </c>
      <c r="L469">
        <f>IF(Table1346[[#This Row],[Churn]]="Yes",1,0)</f>
        <v>1</v>
      </c>
    </row>
    <row r="470" spans="1:12" x14ac:dyDescent="0.35">
      <c r="A470" t="s">
        <v>492</v>
      </c>
      <c r="B470" t="s">
        <v>11</v>
      </c>
      <c r="C470">
        <v>43</v>
      </c>
      <c r="D470">
        <v>51</v>
      </c>
      <c r="E470" t="s">
        <v>21</v>
      </c>
      <c r="F470" t="s">
        <v>33</v>
      </c>
      <c r="G470" t="s">
        <v>14</v>
      </c>
      <c r="H470">
        <v>55.44</v>
      </c>
      <c r="I470">
        <v>2595.34</v>
      </c>
      <c r="J470" t="s">
        <v>15</v>
      </c>
      <c r="K470" t="str">
        <f>IF(D470&lt;=12,"0-12 Months",IF(D470&lt;=24,"13-24 Months",IF(D470&lt;=48,"25-48 Months","49+ Months")))</f>
        <v>49+ Months</v>
      </c>
      <c r="L470">
        <f>IF(Table1346[[#This Row],[Churn]]="Yes",1,0)</f>
        <v>0</v>
      </c>
    </row>
    <row r="471" spans="1:12" x14ac:dyDescent="0.35">
      <c r="A471" t="s">
        <v>493</v>
      </c>
      <c r="B471" t="s">
        <v>17</v>
      </c>
      <c r="C471">
        <v>60</v>
      </c>
      <c r="D471">
        <v>15</v>
      </c>
      <c r="E471" t="s">
        <v>12</v>
      </c>
      <c r="F471" t="s">
        <v>33</v>
      </c>
      <c r="G471" t="s">
        <v>23</v>
      </c>
      <c r="H471">
        <v>115.1</v>
      </c>
      <c r="I471">
        <v>1800.87</v>
      </c>
      <c r="J471" t="s">
        <v>27</v>
      </c>
      <c r="K471" t="str">
        <f>IF(D471&lt;=12,"0-12 Months",IF(D471&lt;=24,"13-24 Months",IF(D471&lt;=48,"25-48 Months","49+ Months")))</f>
        <v>13-24 Months</v>
      </c>
      <c r="L471">
        <f>IF(Table1346[[#This Row],[Churn]]="Yes",1,0)</f>
        <v>1</v>
      </c>
    </row>
    <row r="472" spans="1:12" x14ac:dyDescent="0.35">
      <c r="A472" t="s">
        <v>494</v>
      </c>
      <c r="B472" t="s">
        <v>11</v>
      </c>
      <c r="C472">
        <v>44</v>
      </c>
      <c r="D472">
        <v>68</v>
      </c>
      <c r="E472" t="s">
        <v>18</v>
      </c>
      <c r="F472" t="s">
        <v>13</v>
      </c>
      <c r="G472" t="s">
        <v>14</v>
      </c>
      <c r="H472">
        <v>68.38</v>
      </c>
      <c r="I472">
        <v>4437.01</v>
      </c>
      <c r="J472" t="s">
        <v>27</v>
      </c>
      <c r="K472" t="str">
        <f>IF(D472&lt;=12,"0-12 Months",IF(D472&lt;=24,"13-24 Months",IF(D472&lt;=48,"25-48 Months","49+ Months")))</f>
        <v>49+ Months</v>
      </c>
      <c r="L472">
        <f>IF(Table1346[[#This Row],[Churn]]="Yes",1,0)</f>
        <v>1</v>
      </c>
    </row>
    <row r="473" spans="1:12" x14ac:dyDescent="0.35">
      <c r="A473" t="s">
        <v>495</v>
      </c>
      <c r="B473" t="s">
        <v>17</v>
      </c>
      <c r="C473">
        <v>22</v>
      </c>
      <c r="D473">
        <v>21</v>
      </c>
      <c r="E473" t="s">
        <v>12</v>
      </c>
      <c r="F473" t="s">
        <v>33</v>
      </c>
      <c r="G473" t="s">
        <v>19</v>
      </c>
      <c r="H473">
        <v>87.84</v>
      </c>
      <c r="I473">
        <v>1940.68</v>
      </c>
      <c r="J473" t="s">
        <v>27</v>
      </c>
      <c r="K473" t="str">
        <f>IF(D473&lt;=12,"0-12 Months",IF(D473&lt;=24,"13-24 Months",IF(D473&lt;=48,"25-48 Months","49+ Months")))</f>
        <v>13-24 Months</v>
      </c>
      <c r="L473">
        <f>IF(Table1346[[#This Row],[Churn]]="Yes",1,0)</f>
        <v>1</v>
      </c>
    </row>
    <row r="474" spans="1:12" x14ac:dyDescent="0.35">
      <c r="A474" t="s">
        <v>496</v>
      </c>
      <c r="B474" t="s">
        <v>11</v>
      </c>
      <c r="C474">
        <v>37</v>
      </c>
      <c r="D474">
        <v>13</v>
      </c>
      <c r="E474" t="s">
        <v>12</v>
      </c>
      <c r="F474" t="s">
        <v>29</v>
      </c>
      <c r="G474" t="s">
        <v>14</v>
      </c>
      <c r="H474">
        <v>28.84</v>
      </c>
      <c r="I474">
        <v>391.6</v>
      </c>
      <c r="J474" t="s">
        <v>15</v>
      </c>
      <c r="K474" t="str">
        <f>IF(D474&lt;=12,"0-12 Months",IF(D474&lt;=24,"13-24 Months",IF(D474&lt;=48,"25-48 Months","49+ Months")))</f>
        <v>13-24 Months</v>
      </c>
      <c r="L474">
        <f>IF(Table1346[[#This Row],[Churn]]="Yes",1,0)</f>
        <v>0</v>
      </c>
    </row>
    <row r="475" spans="1:12" x14ac:dyDescent="0.35">
      <c r="A475" t="s">
        <v>497</v>
      </c>
      <c r="B475" t="s">
        <v>17</v>
      </c>
      <c r="C475">
        <v>28</v>
      </c>
      <c r="D475">
        <v>19</v>
      </c>
      <c r="E475" t="s">
        <v>21</v>
      </c>
      <c r="F475" t="s">
        <v>33</v>
      </c>
      <c r="G475" t="s">
        <v>19</v>
      </c>
      <c r="H475">
        <v>43.56</v>
      </c>
      <c r="I475">
        <v>746.1</v>
      </c>
      <c r="J475" t="s">
        <v>15</v>
      </c>
      <c r="K475" t="str">
        <f>IF(D475&lt;=12,"0-12 Months",IF(D475&lt;=24,"13-24 Months",IF(D475&lt;=48,"25-48 Months","49+ Months")))</f>
        <v>13-24 Months</v>
      </c>
      <c r="L475">
        <f>IF(Table1346[[#This Row],[Churn]]="Yes",1,0)</f>
        <v>0</v>
      </c>
    </row>
    <row r="476" spans="1:12" x14ac:dyDescent="0.35">
      <c r="A476" t="s">
        <v>498</v>
      </c>
      <c r="B476" t="s">
        <v>11</v>
      </c>
      <c r="C476">
        <v>27</v>
      </c>
      <c r="D476">
        <v>34</v>
      </c>
      <c r="E476" t="s">
        <v>18</v>
      </c>
      <c r="F476" t="s">
        <v>22</v>
      </c>
      <c r="G476" t="s">
        <v>19</v>
      </c>
      <c r="H476">
        <v>144.44</v>
      </c>
      <c r="I476">
        <v>4919.93</v>
      </c>
      <c r="J476" t="s">
        <v>27</v>
      </c>
      <c r="K476" t="str">
        <f>IF(D476&lt;=12,"0-12 Months",IF(D476&lt;=24,"13-24 Months",IF(D476&lt;=48,"25-48 Months","49+ Months")))</f>
        <v>25-48 Months</v>
      </c>
      <c r="L476">
        <f>IF(Table1346[[#This Row],[Churn]]="Yes",1,0)</f>
        <v>1</v>
      </c>
    </row>
    <row r="477" spans="1:12" x14ac:dyDescent="0.35">
      <c r="A477" t="s">
        <v>499</v>
      </c>
      <c r="B477" t="s">
        <v>17</v>
      </c>
      <c r="C477">
        <v>57</v>
      </c>
      <c r="D477">
        <v>68</v>
      </c>
      <c r="E477" t="s">
        <v>12</v>
      </c>
      <c r="F477" t="s">
        <v>29</v>
      </c>
      <c r="G477" t="s">
        <v>23</v>
      </c>
      <c r="H477">
        <v>135.72</v>
      </c>
      <c r="I477">
        <v>8563.2199999999993</v>
      </c>
      <c r="J477" t="s">
        <v>15</v>
      </c>
      <c r="K477" t="str">
        <f>IF(D477&lt;=12,"0-12 Months",IF(D477&lt;=24,"13-24 Months",IF(D477&lt;=48,"25-48 Months","49+ Months")))</f>
        <v>49+ Months</v>
      </c>
      <c r="L477">
        <f>IF(Table1346[[#This Row],[Churn]]="Yes",1,0)</f>
        <v>0</v>
      </c>
    </row>
    <row r="478" spans="1:12" x14ac:dyDescent="0.35">
      <c r="A478" t="s">
        <v>500</v>
      </c>
      <c r="B478" t="s">
        <v>11</v>
      </c>
      <c r="C478">
        <v>55</v>
      </c>
      <c r="D478">
        <v>52</v>
      </c>
      <c r="E478" t="s">
        <v>18</v>
      </c>
      <c r="F478" t="s">
        <v>22</v>
      </c>
      <c r="G478" t="s">
        <v>23</v>
      </c>
      <c r="H478">
        <v>104.8</v>
      </c>
      <c r="I478">
        <v>5848.76</v>
      </c>
      <c r="J478" t="s">
        <v>15</v>
      </c>
      <c r="K478" t="str">
        <f>IF(D478&lt;=12,"0-12 Months",IF(D478&lt;=24,"13-24 Months",IF(D478&lt;=48,"25-48 Months","49+ Months")))</f>
        <v>49+ Months</v>
      </c>
      <c r="L478">
        <f>IF(Table1346[[#This Row],[Churn]]="Yes",1,0)</f>
        <v>0</v>
      </c>
    </row>
    <row r="479" spans="1:12" x14ac:dyDescent="0.35">
      <c r="A479" t="s">
        <v>501</v>
      </c>
      <c r="B479" t="s">
        <v>17</v>
      </c>
      <c r="C479">
        <v>23</v>
      </c>
      <c r="D479">
        <v>27</v>
      </c>
      <c r="E479" t="s">
        <v>12</v>
      </c>
      <c r="F479" t="s">
        <v>33</v>
      </c>
      <c r="G479" t="s">
        <v>19</v>
      </c>
      <c r="H479">
        <v>79.75</v>
      </c>
      <c r="I479">
        <v>2313.27</v>
      </c>
      <c r="J479" t="s">
        <v>15</v>
      </c>
      <c r="K479" t="str">
        <f>IF(D479&lt;=12,"0-12 Months",IF(D479&lt;=24,"13-24 Months",IF(D479&lt;=48,"25-48 Months","49+ Months")))</f>
        <v>25-48 Months</v>
      </c>
      <c r="L479">
        <f>IF(Table1346[[#This Row],[Churn]]="Yes",1,0)</f>
        <v>0</v>
      </c>
    </row>
    <row r="480" spans="1:12" x14ac:dyDescent="0.35">
      <c r="A480" t="s">
        <v>502</v>
      </c>
      <c r="B480" t="s">
        <v>11</v>
      </c>
      <c r="C480">
        <v>25</v>
      </c>
      <c r="D480">
        <v>29</v>
      </c>
      <c r="E480" t="s">
        <v>21</v>
      </c>
      <c r="F480" t="s">
        <v>29</v>
      </c>
      <c r="G480" t="s">
        <v>19</v>
      </c>
      <c r="H480">
        <v>107.85</v>
      </c>
      <c r="I480">
        <v>3076.57</v>
      </c>
      <c r="J480" t="s">
        <v>15</v>
      </c>
      <c r="K480" t="str">
        <f>IF(D480&lt;=12,"0-12 Months",IF(D480&lt;=24,"13-24 Months",IF(D480&lt;=48,"25-48 Months","49+ Months")))</f>
        <v>25-48 Months</v>
      </c>
      <c r="L480">
        <f>IF(Table1346[[#This Row],[Churn]]="Yes",1,0)</f>
        <v>0</v>
      </c>
    </row>
    <row r="481" spans="1:12" x14ac:dyDescent="0.35">
      <c r="A481" t="s">
        <v>503</v>
      </c>
      <c r="B481" t="s">
        <v>17</v>
      </c>
      <c r="C481">
        <v>40</v>
      </c>
      <c r="D481">
        <v>28</v>
      </c>
      <c r="E481" t="s">
        <v>21</v>
      </c>
      <c r="F481" t="s">
        <v>13</v>
      </c>
      <c r="G481" t="s">
        <v>14</v>
      </c>
      <c r="H481">
        <v>100.42</v>
      </c>
      <c r="I481">
        <v>2780.49</v>
      </c>
      <c r="J481" t="s">
        <v>15</v>
      </c>
      <c r="K481" t="str">
        <f>IF(D481&lt;=12,"0-12 Months",IF(D481&lt;=24,"13-24 Months",IF(D481&lt;=48,"25-48 Months","49+ Months")))</f>
        <v>25-48 Months</v>
      </c>
      <c r="L481">
        <f>IF(Table1346[[#This Row],[Churn]]="Yes",1,0)</f>
        <v>0</v>
      </c>
    </row>
    <row r="482" spans="1:12" x14ac:dyDescent="0.35">
      <c r="A482" t="s">
        <v>504</v>
      </c>
      <c r="B482" t="s">
        <v>17</v>
      </c>
      <c r="C482">
        <v>64</v>
      </c>
      <c r="D482">
        <v>35</v>
      </c>
      <c r="E482" t="s">
        <v>12</v>
      </c>
      <c r="F482" t="s">
        <v>22</v>
      </c>
      <c r="G482" t="s">
        <v>23</v>
      </c>
      <c r="H482">
        <v>93.91</v>
      </c>
      <c r="I482">
        <v>3157.53</v>
      </c>
      <c r="J482" t="s">
        <v>15</v>
      </c>
      <c r="K482" t="str">
        <f>IF(D482&lt;=12,"0-12 Months",IF(D482&lt;=24,"13-24 Months",IF(D482&lt;=48,"25-48 Months","49+ Months")))</f>
        <v>25-48 Months</v>
      </c>
      <c r="L482">
        <f>IF(Table1346[[#This Row],[Churn]]="Yes",1,0)</f>
        <v>0</v>
      </c>
    </row>
    <row r="483" spans="1:12" x14ac:dyDescent="0.35">
      <c r="A483" t="s">
        <v>505</v>
      </c>
      <c r="B483" t="s">
        <v>17</v>
      </c>
      <c r="C483">
        <v>43</v>
      </c>
      <c r="D483">
        <v>8</v>
      </c>
      <c r="E483" t="s">
        <v>12</v>
      </c>
      <c r="F483" t="s">
        <v>33</v>
      </c>
      <c r="G483" t="s">
        <v>14</v>
      </c>
      <c r="H483">
        <v>27.69</v>
      </c>
      <c r="I483">
        <v>231.12</v>
      </c>
      <c r="J483" t="s">
        <v>15</v>
      </c>
      <c r="K483" t="str">
        <f>IF(D483&lt;=12,"0-12 Months",IF(D483&lt;=24,"13-24 Months",IF(D483&lt;=48,"25-48 Months","49+ Months")))</f>
        <v>0-12 Months</v>
      </c>
      <c r="L483">
        <f>IF(Table1346[[#This Row],[Churn]]="Yes",1,0)</f>
        <v>0</v>
      </c>
    </row>
    <row r="484" spans="1:12" x14ac:dyDescent="0.35">
      <c r="A484" t="s">
        <v>506</v>
      </c>
      <c r="B484" t="s">
        <v>11</v>
      </c>
      <c r="C484">
        <v>63</v>
      </c>
      <c r="D484">
        <v>16</v>
      </c>
      <c r="E484" t="s">
        <v>21</v>
      </c>
      <c r="F484" t="s">
        <v>13</v>
      </c>
      <c r="G484" t="s">
        <v>23</v>
      </c>
      <c r="H484">
        <v>102.26</v>
      </c>
      <c r="I484">
        <v>1589.91</v>
      </c>
      <c r="J484" t="s">
        <v>15</v>
      </c>
      <c r="K484" t="str">
        <f>IF(D484&lt;=12,"0-12 Months",IF(D484&lt;=24,"13-24 Months",IF(D484&lt;=48,"25-48 Months","49+ Months")))</f>
        <v>13-24 Months</v>
      </c>
      <c r="L484">
        <f>IF(Table1346[[#This Row],[Churn]]="Yes",1,0)</f>
        <v>0</v>
      </c>
    </row>
    <row r="485" spans="1:12" x14ac:dyDescent="0.35">
      <c r="A485" t="s">
        <v>507</v>
      </c>
      <c r="B485" t="s">
        <v>17</v>
      </c>
      <c r="C485">
        <v>60</v>
      </c>
      <c r="D485">
        <v>36</v>
      </c>
      <c r="E485" t="s">
        <v>12</v>
      </c>
      <c r="F485" t="s">
        <v>29</v>
      </c>
      <c r="G485" t="s">
        <v>23</v>
      </c>
      <c r="H485">
        <v>119.96</v>
      </c>
      <c r="I485">
        <v>4118</v>
      </c>
      <c r="J485" t="s">
        <v>15</v>
      </c>
      <c r="K485" t="str">
        <f>IF(D485&lt;=12,"0-12 Months",IF(D485&lt;=24,"13-24 Months",IF(D485&lt;=48,"25-48 Months","49+ Months")))</f>
        <v>25-48 Months</v>
      </c>
      <c r="L485">
        <f>IF(Table1346[[#This Row],[Churn]]="Yes",1,0)</f>
        <v>0</v>
      </c>
    </row>
    <row r="486" spans="1:12" x14ac:dyDescent="0.35">
      <c r="A486" t="s">
        <v>508</v>
      </c>
      <c r="B486" t="s">
        <v>11</v>
      </c>
      <c r="C486">
        <v>29</v>
      </c>
      <c r="D486">
        <v>30</v>
      </c>
      <c r="E486" t="s">
        <v>21</v>
      </c>
      <c r="F486" t="s">
        <v>29</v>
      </c>
      <c r="G486" t="s">
        <v>19</v>
      </c>
      <c r="H486">
        <v>149.22999999999999</v>
      </c>
      <c r="I486">
        <v>4416.22</v>
      </c>
      <c r="J486" t="s">
        <v>15</v>
      </c>
      <c r="K486" t="str">
        <f>IF(D486&lt;=12,"0-12 Months",IF(D486&lt;=24,"13-24 Months",IF(D486&lt;=48,"25-48 Months","49+ Months")))</f>
        <v>25-48 Months</v>
      </c>
      <c r="L486">
        <f>IF(Table1346[[#This Row],[Churn]]="Yes",1,0)</f>
        <v>0</v>
      </c>
    </row>
    <row r="487" spans="1:12" x14ac:dyDescent="0.35">
      <c r="A487" t="s">
        <v>509</v>
      </c>
      <c r="B487" t="s">
        <v>17</v>
      </c>
      <c r="C487">
        <v>43</v>
      </c>
      <c r="D487">
        <v>18</v>
      </c>
      <c r="E487" t="s">
        <v>12</v>
      </c>
      <c r="F487" t="s">
        <v>13</v>
      </c>
      <c r="G487" t="s">
        <v>14</v>
      </c>
      <c r="H487">
        <v>21.44</v>
      </c>
      <c r="I487">
        <v>354.39</v>
      </c>
      <c r="J487" t="s">
        <v>15</v>
      </c>
      <c r="K487" t="str">
        <f>IF(D487&lt;=12,"0-12 Months",IF(D487&lt;=24,"13-24 Months",IF(D487&lt;=48,"25-48 Months","49+ Months")))</f>
        <v>13-24 Months</v>
      </c>
      <c r="L487">
        <f>IF(Table1346[[#This Row],[Churn]]="Yes",1,0)</f>
        <v>0</v>
      </c>
    </row>
    <row r="488" spans="1:12" x14ac:dyDescent="0.35">
      <c r="A488" t="s">
        <v>510</v>
      </c>
      <c r="B488" t="s">
        <v>11</v>
      </c>
      <c r="C488">
        <v>30</v>
      </c>
      <c r="D488">
        <v>2</v>
      </c>
      <c r="E488" t="s">
        <v>18</v>
      </c>
      <c r="F488" t="s">
        <v>13</v>
      </c>
      <c r="G488" t="s">
        <v>14</v>
      </c>
      <c r="H488">
        <v>114.92</v>
      </c>
      <c r="I488">
        <v>241.18</v>
      </c>
      <c r="J488" t="s">
        <v>27</v>
      </c>
      <c r="K488" t="str">
        <f>IF(D488&lt;=12,"0-12 Months",IF(D488&lt;=24,"13-24 Months",IF(D488&lt;=48,"25-48 Months","49+ Months")))</f>
        <v>0-12 Months</v>
      </c>
      <c r="L488">
        <f>IF(Table1346[[#This Row],[Churn]]="Yes",1,0)</f>
        <v>1</v>
      </c>
    </row>
    <row r="489" spans="1:12" x14ac:dyDescent="0.35">
      <c r="A489" t="s">
        <v>511</v>
      </c>
      <c r="B489" t="s">
        <v>17</v>
      </c>
      <c r="C489">
        <v>57</v>
      </c>
      <c r="D489">
        <v>49</v>
      </c>
      <c r="E489" t="s">
        <v>21</v>
      </c>
      <c r="F489" t="s">
        <v>33</v>
      </c>
      <c r="G489" t="s">
        <v>23</v>
      </c>
      <c r="H489">
        <v>94.33</v>
      </c>
      <c r="I489">
        <v>4171.6000000000004</v>
      </c>
      <c r="J489" t="s">
        <v>15</v>
      </c>
      <c r="K489" t="str">
        <f>IF(D489&lt;=12,"0-12 Months",IF(D489&lt;=24,"13-24 Months",IF(D489&lt;=48,"25-48 Months","49+ Months")))</f>
        <v>49+ Months</v>
      </c>
      <c r="L489">
        <f>IF(Table1346[[#This Row],[Churn]]="Yes",1,0)</f>
        <v>0</v>
      </c>
    </row>
    <row r="490" spans="1:12" x14ac:dyDescent="0.35">
      <c r="A490" t="s">
        <v>512</v>
      </c>
      <c r="B490" t="s">
        <v>11</v>
      </c>
      <c r="C490">
        <v>35</v>
      </c>
      <c r="D490">
        <v>4</v>
      </c>
      <c r="E490" t="s">
        <v>18</v>
      </c>
      <c r="F490" t="s">
        <v>29</v>
      </c>
      <c r="G490" t="s">
        <v>14</v>
      </c>
      <c r="H490">
        <v>76.430000000000007</v>
      </c>
      <c r="I490">
        <v>314.55</v>
      </c>
      <c r="J490" t="s">
        <v>15</v>
      </c>
      <c r="K490" t="str">
        <f>IF(D490&lt;=12,"0-12 Months",IF(D490&lt;=24,"13-24 Months",IF(D490&lt;=48,"25-48 Months","49+ Months")))</f>
        <v>0-12 Months</v>
      </c>
      <c r="L490">
        <f>IF(Table1346[[#This Row],[Churn]]="Yes",1,0)</f>
        <v>0</v>
      </c>
    </row>
    <row r="491" spans="1:12" x14ac:dyDescent="0.35">
      <c r="A491" t="s">
        <v>513</v>
      </c>
      <c r="B491" t="s">
        <v>11</v>
      </c>
      <c r="C491">
        <v>42</v>
      </c>
      <c r="D491">
        <v>7</v>
      </c>
      <c r="E491" t="s">
        <v>12</v>
      </c>
      <c r="F491" t="s">
        <v>22</v>
      </c>
      <c r="G491" t="s">
        <v>14</v>
      </c>
      <c r="H491">
        <v>36.58</v>
      </c>
      <c r="I491">
        <v>239.82</v>
      </c>
      <c r="J491" t="s">
        <v>27</v>
      </c>
      <c r="K491" t="str">
        <f>IF(D491&lt;=12,"0-12 Months",IF(D491&lt;=24,"13-24 Months",IF(D491&lt;=48,"25-48 Months","49+ Months")))</f>
        <v>0-12 Months</v>
      </c>
      <c r="L491">
        <f>IF(Table1346[[#This Row],[Churn]]="Yes",1,0)</f>
        <v>1</v>
      </c>
    </row>
    <row r="492" spans="1:12" x14ac:dyDescent="0.35">
      <c r="A492" t="s">
        <v>514</v>
      </c>
      <c r="B492" t="s">
        <v>17</v>
      </c>
      <c r="C492">
        <v>50</v>
      </c>
      <c r="D492">
        <v>39</v>
      </c>
      <c r="E492" t="s">
        <v>21</v>
      </c>
      <c r="F492" t="s">
        <v>29</v>
      </c>
      <c r="G492" t="s">
        <v>23</v>
      </c>
      <c r="H492">
        <v>73.180000000000007</v>
      </c>
      <c r="I492">
        <v>2701.28</v>
      </c>
      <c r="J492" t="s">
        <v>15</v>
      </c>
      <c r="K492" t="str">
        <f>IF(D492&lt;=12,"0-12 Months",IF(D492&lt;=24,"13-24 Months",IF(D492&lt;=48,"25-48 Months","49+ Months")))</f>
        <v>25-48 Months</v>
      </c>
      <c r="L492">
        <f>IF(Table1346[[#This Row],[Churn]]="Yes",1,0)</f>
        <v>0</v>
      </c>
    </row>
    <row r="493" spans="1:12" x14ac:dyDescent="0.35">
      <c r="A493" t="s">
        <v>515</v>
      </c>
      <c r="B493" t="s">
        <v>11</v>
      </c>
      <c r="C493">
        <v>64</v>
      </c>
      <c r="D493">
        <v>13</v>
      </c>
      <c r="E493" t="s">
        <v>21</v>
      </c>
      <c r="F493" t="s">
        <v>29</v>
      </c>
      <c r="G493" t="s">
        <v>23</v>
      </c>
      <c r="H493">
        <v>66.069999999999993</v>
      </c>
      <c r="I493">
        <v>882.21</v>
      </c>
      <c r="J493" t="s">
        <v>15</v>
      </c>
      <c r="K493" t="str">
        <f>IF(D493&lt;=12,"0-12 Months",IF(D493&lt;=24,"13-24 Months",IF(D493&lt;=48,"25-48 Months","49+ Months")))</f>
        <v>13-24 Months</v>
      </c>
      <c r="L493">
        <f>IF(Table1346[[#This Row],[Churn]]="Yes",1,0)</f>
        <v>0</v>
      </c>
    </row>
    <row r="494" spans="1:12" x14ac:dyDescent="0.35">
      <c r="A494" t="s">
        <v>516</v>
      </c>
      <c r="B494" t="s">
        <v>11</v>
      </c>
      <c r="C494">
        <v>57</v>
      </c>
      <c r="D494">
        <v>31</v>
      </c>
      <c r="E494" t="s">
        <v>12</v>
      </c>
      <c r="F494" t="s">
        <v>13</v>
      </c>
      <c r="G494" t="s">
        <v>23</v>
      </c>
      <c r="H494">
        <v>59.37</v>
      </c>
      <c r="I494">
        <v>2021.92</v>
      </c>
      <c r="J494" t="s">
        <v>15</v>
      </c>
      <c r="K494" t="str">
        <f>IF(D494&lt;=12,"0-12 Months",IF(D494&lt;=24,"13-24 Months",IF(D494&lt;=48,"25-48 Months","49+ Months")))</f>
        <v>25-48 Months</v>
      </c>
      <c r="L494">
        <f>IF(Table1346[[#This Row],[Churn]]="Yes",1,0)</f>
        <v>0</v>
      </c>
    </row>
    <row r="495" spans="1:12" x14ac:dyDescent="0.35">
      <c r="A495" t="s">
        <v>517</v>
      </c>
      <c r="B495" t="s">
        <v>17</v>
      </c>
      <c r="C495">
        <v>60</v>
      </c>
      <c r="D495">
        <v>71</v>
      </c>
      <c r="E495" t="s">
        <v>12</v>
      </c>
      <c r="F495" t="s">
        <v>13</v>
      </c>
      <c r="G495" t="s">
        <v>23</v>
      </c>
      <c r="H495">
        <v>115.01</v>
      </c>
      <c r="I495">
        <v>8619.26</v>
      </c>
      <c r="J495" t="s">
        <v>15</v>
      </c>
      <c r="K495" t="str">
        <f>IF(D495&lt;=12,"0-12 Months",IF(D495&lt;=24,"13-24 Months",IF(D495&lt;=48,"25-48 Months","49+ Months")))</f>
        <v>49+ Months</v>
      </c>
      <c r="L495">
        <f>IF(Table1346[[#This Row],[Churn]]="Yes",1,0)</f>
        <v>0</v>
      </c>
    </row>
    <row r="496" spans="1:12" x14ac:dyDescent="0.35">
      <c r="A496" t="s">
        <v>518</v>
      </c>
      <c r="B496" t="s">
        <v>11</v>
      </c>
      <c r="C496">
        <v>29</v>
      </c>
      <c r="D496">
        <v>63</v>
      </c>
      <c r="E496" t="s">
        <v>12</v>
      </c>
      <c r="F496" t="s">
        <v>22</v>
      </c>
      <c r="G496" t="s">
        <v>19</v>
      </c>
      <c r="H496">
        <v>111.09</v>
      </c>
      <c r="I496">
        <v>6614.92</v>
      </c>
      <c r="J496" t="s">
        <v>15</v>
      </c>
      <c r="K496" t="str">
        <f>IF(D496&lt;=12,"0-12 Months",IF(D496&lt;=24,"13-24 Months",IF(D496&lt;=48,"25-48 Months","49+ Months")))</f>
        <v>49+ Months</v>
      </c>
      <c r="L496">
        <f>IF(Table1346[[#This Row],[Churn]]="Yes",1,0)</f>
        <v>0</v>
      </c>
    </row>
    <row r="497" spans="1:12" x14ac:dyDescent="0.35">
      <c r="A497" t="s">
        <v>519</v>
      </c>
      <c r="B497" t="s">
        <v>11</v>
      </c>
      <c r="C497">
        <v>61</v>
      </c>
      <c r="D497">
        <v>56</v>
      </c>
      <c r="E497" t="s">
        <v>21</v>
      </c>
      <c r="F497" t="s">
        <v>33</v>
      </c>
      <c r="G497" t="s">
        <v>23</v>
      </c>
      <c r="H497">
        <v>96.57</v>
      </c>
      <c r="I497">
        <v>5057.51</v>
      </c>
      <c r="J497" t="s">
        <v>15</v>
      </c>
      <c r="K497" t="str">
        <f>IF(D497&lt;=12,"0-12 Months",IF(D497&lt;=24,"13-24 Months",IF(D497&lt;=48,"25-48 Months","49+ Months")))</f>
        <v>49+ Months</v>
      </c>
      <c r="L497">
        <f>IF(Table1346[[#This Row],[Churn]]="Yes",1,0)</f>
        <v>0</v>
      </c>
    </row>
    <row r="498" spans="1:12" x14ac:dyDescent="0.35">
      <c r="A498" t="s">
        <v>520</v>
      </c>
      <c r="B498" t="s">
        <v>11</v>
      </c>
      <c r="C498">
        <v>53</v>
      </c>
      <c r="D498">
        <v>42</v>
      </c>
      <c r="E498" t="s">
        <v>12</v>
      </c>
      <c r="F498" t="s">
        <v>22</v>
      </c>
      <c r="G498" t="s">
        <v>23</v>
      </c>
      <c r="H498">
        <v>142.03</v>
      </c>
      <c r="I498">
        <v>6402.19</v>
      </c>
      <c r="J498" t="s">
        <v>15</v>
      </c>
      <c r="K498" t="str">
        <f>IF(D498&lt;=12,"0-12 Months",IF(D498&lt;=24,"13-24 Months",IF(D498&lt;=48,"25-48 Months","49+ Months")))</f>
        <v>25-48 Months</v>
      </c>
      <c r="L498">
        <f>IF(Table1346[[#This Row],[Churn]]="Yes",1,0)</f>
        <v>0</v>
      </c>
    </row>
    <row r="499" spans="1:12" x14ac:dyDescent="0.35">
      <c r="A499" t="s">
        <v>521</v>
      </c>
      <c r="B499" t="s">
        <v>17</v>
      </c>
      <c r="C499">
        <v>65</v>
      </c>
      <c r="D499">
        <v>61</v>
      </c>
      <c r="E499" t="s">
        <v>12</v>
      </c>
      <c r="F499" t="s">
        <v>33</v>
      </c>
      <c r="G499" t="s">
        <v>23</v>
      </c>
      <c r="H499">
        <v>65.48</v>
      </c>
      <c r="I499">
        <v>3949.69</v>
      </c>
      <c r="J499" t="s">
        <v>15</v>
      </c>
      <c r="K499" t="str">
        <f>IF(D499&lt;=12,"0-12 Months",IF(D499&lt;=24,"13-24 Months",IF(D499&lt;=48,"25-48 Months","49+ Months")))</f>
        <v>49+ Months</v>
      </c>
      <c r="L499">
        <f>IF(Table1346[[#This Row],[Churn]]="Yes",1,0)</f>
        <v>0</v>
      </c>
    </row>
    <row r="500" spans="1:12" x14ac:dyDescent="0.35">
      <c r="A500" t="s">
        <v>522</v>
      </c>
      <c r="B500" t="s">
        <v>11</v>
      </c>
      <c r="C500">
        <v>21</v>
      </c>
      <c r="D500">
        <v>42</v>
      </c>
      <c r="E500" t="s">
        <v>21</v>
      </c>
      <c r="F500" t="s">
        <v>33</v>
      </c>
      <c r="G500" t="s">
        <v>19</v>
      </c>
      <c r="H500">
        <v>51.69</v>
      </c>
      <c r="I500">
        <v>2013.39</v>
      </c>
      <c r="J500" t="s">
        <v>15</v>
      </c>
      <c r="K500" t="str">
        <f>IF(D500&lt;=12,"0-12 Months",IF(D500&lt;=24,"13-24 Months",IF(D500&lt;=48,"25-48 Months","49+ Months")))</f>
        <v>25-48 Months</v>
      </c>
      <c r="L500">
        <f>IF(Table1346[[#This Row],[Churn]]="Yes",1,0)</f>
        <v>0</v>
      </c>
    </row>
    <row r="501" spans="1:12" x14ac:dyDescent="0.35">
      <c r="A501" t="s">
        <v>523</v>
      </c>
      <c r="B501" t="s">
        <v>17</v>
      </c>
      <c r="C501">
        <v>22</v>
      </c>
      <c r="D501">
        <v>56</v>
      </c>
      <c r="E501" t="s">
        <v>12</v>
      </c>
      <c r="F501" t="s">
        <v>13</v>
      </c>
      <c r="G501" t="s">
        <v>19</v>
      </c>
      <c r="H501">
        <v>105.27</v>
      </c>
      <c r="I501">
        <v>6322.18</v>
      </c>
      <c r="J501" t="s">
        <v>15</v>
      </c>
      <c r="K501" t="str">
        <f>IF(D501&lt;=12,"0-12 Months",IF(D501&lt;=24,"13-24 Months",IF(D501&lt;=48,"25-48 Months","49+ Months")))</f>
        <v>49+ Months</v>
      </c>
      <c r="L501">
        <f>IF(Table1346[[#This Row],[Churn]]="Yes",1,0)</f>
        <v>0</v>
      </c>
    </row>
    <row r="502" spans="1:12" x14ac:dyDescent="0.35">
      <c r="A502" t="s">
        <v>524</v>
      </c>
      <c r="B502" t="s">
        <v>11</v>
      </c>
      <c r="C502">
        <v>54</v>
      </c>
      <c r="D502">
        <v>36</v>
      </c>
      <c r="E502" t="s">
        <v>12</v>
      </c>
      <c r="F502" t="s">
        <v>33</v>
      </c>
      <c r="G502" t="s">
        <v>23</v>
      </c>
      <c r="H502">
        <v>45.85</v>
      </c>
      <c r="I502">
        <v>1754.95</v>
      </c>
      <c r="J502" t="s">
        <v>15</v>
      </c>
      <c r="K502" t="str">
        <f>IF(D502&lt;=12,"0-12 Months",IF(D502&lt;=24,"13-24 Months",IF(D502&lt;=48,"25-48 Months","49+ Months")))</f>
        <v>25-48 Months</v>
      </c>
      <c r="L502">
        <f>IF(Table1346[[#This Row],[Churn]]="Yes",1,0)</f>
        <v>0</v>
      </c>
    </row>
    <row r="503" spans="1:12" x14ac:dyDescent="0.35">
      <c r="A503" t="s">
        <v>525</v>
      </c>
      <c r="B503" t="s">
        <v>11</v>
      </c>
      <c r="C503">
        <v>25</v>
      </c>
      <c r="D503">
        <v>68</v>
      </c>
      <c r="E503" t="s">
        <v>18</v>
      </c>
      <c r="F503" t="s">
        <v>22</v>
      </c>
      <c r="G503" t="s">
        <v>19</v>
      </c>
      <c r="H503">
        <v>60.95</v>
      </c>
      <c r="I503">
        <v>4545.72</v>
      </c>
      <c r="J503" t="s">
        <v>15</v>
      </c>
      <c r="K503" t="str">
        <f>IF(D503&lt;=12,"0-12 Months",IF(D503&lt;=24,"13-24 Months",IF(D503&lt;=48,"25-48 Months","49+ Months")))</f>
        <v>49+ Months</v>
      </c>
      <c r="L503">
        <f>IF(Table1346[[#This Row],[Churn]]="Yes",1,0)</f>
        <v>0</v>
      </c>
    </row>
    <row r="504" spans="1:12" x14ac:dyDescent="0.35">
      <c r="A504" t="s">
        <v>526</v>
      </c>
      <c r="B504" t="s">
        <v>11</v>
      </c>
      <c r="C504">
        <v>59</v>
      </c>
      <c r="D504">
        <v>7</v>
      </c>
      <c r="E504" t="s">
        <v>18</v>
      </c>
      <c r="F504" t="s">
        <v>29</v>
      </c>
      <c r="G504" t="s">
        <v>23</v>
      </c>
      <c r="H504">
        <v>49.2</v>
      </c>
      <c r="I504">
        <v>372.62</v>
      </c>
      <c r="J504" t="s">
        <v>15</v>
      </c>
      <c r="K504" t="str">
        <f>IF(D504&lt;=12,"0-12 Months",IF(D504&lt;=24,"13-24 Months",IF(D504&lt;=48,"25-48 Months","49+ Months")))</f>
        <v>0-12 Months</v>
      </c>
      <c r="L504">
        <f>IF(Table1346[[#This Row],[Churn]]="Yes",1,0)</f>
        <v>0</v>
      </c>
    </row>
    <row r="505" spans="1:12" x14ac:dyDescent="0.35">
      <c r="A505" t="s">
        <v>527</v>
      </c>
      <c r="B505" t="s">
        <v>17</v>
      </c>
      <c r="C505">
        <v>66</v>
      </c>
      <c r="D505">
        <v>54</v>
      </c>
      <c r="E505" t="s">
        <v>12</v>
      </c>
      <c r="F505" t="s">
        <v>22</v>
      </c>
      <c r="G505" t="s">
        <v>23</v>
      </c>
      <c r="H505">
        <v>28.99</v>
      </c>
      <c r="I505">
        <v>1675.6</v>
      </c>
      <c r="J505" t="s">
        <v>27</v>
      </c>
      <c r="K505" t="str">
        <f>IF(D505&lt;=12,"0-12 Months",IF(D505&lt;=24,"13-24 Months",IF(D505&lt;=48,"25-48 Months","49+ Months")))</f>
        <v>49+ Months</v>
      </c>
      <c r="L505">
        <f>IF(Table1346[[#This Row],[Churn]]="Yes",1,0)</f>
        <v>1</v>
      </c>
    </row>
    <row r="506" spans="1:12" x14ac:dyDescent="0.35">
      <c r="A506" t="s">
        <v>528</v>
      </c>
      <c r="B506" t="s">
        <v>11</v>
      </c>
      <c r="C506">
        <v>45</v>
      </c>
      <c r="D506">
        <v>1</v>
      </c>
      <c r="E506" t="s">
        <v>12</v>
      </c>
      <c r="F506" t="s">
        <v>29</v>
      </c>
      <c r="G506" t="s">
        <v>14</v>
      </c>
      <c r="H506">
        <v>127.57</v>
      </c>
      <c r="I506">
        <v>116.15</v>
      </c>
      <c r="J506" t="s">
        <v>27</v>
      </c>
      <c r="K506" t="str">
        <f>IF(D506&lt;=12,"0-12 Months",IF(D506&lt;=24,"13-24 Months",IF(D506&lt;=48,"25-48 Months","49+ Months")))</f>
        <v>0-12 Months</v>
      </c>
      <c r="L506">
        <f>IF(Table1346[[#This Row],[Churn]]="Yes",1,0)</f>
        <v>1</v>
      </c>
    </row>
    <row r="507" spans="1:12" x14ac:dyDescent="0.35">
      <c r="A507" t="s">
        <v>529</v>
      </c>
      <c r="B507" t="s">
        <v>11</v>
      </c>
      <c r="C507">
        <v>48</v>
      </c>
      <c r="D507">
        <v>44</v>
      </c>
      <c r="E507" t="s">
        <v>21</v>
      </c>
      <c r="F507" t="s">
        <v>13</v>
      </c>
      <c r="G507" t="s">
        <v>14</v>
      </c>
      <c r="H507">
        <v>53.09</v>
      </c>
      <c r="I507">
        <v>2151.15</v>
      </c>
      <c r="J507" t="s">
        <v>15</v>
      </c>
      <c r="K507" t="str">
        <f>IF(D507&lt;=12,"0-12 Months",IF(D507&lt;=24,"13-24 Months",IF(D507&lt;=48,"25-48 Months","49+ Months")))</f>
        <v>25-48 Months</v>
      </c>
      <c r="L507">
        <f>IF(Table1346[[#This Row],[Churn]]="Yes",1,0)</f>
        <v>0</v>
      </c>
    </row>
    <row r="508" spans="1:12" x14ac:dyDescent="0.35">
      <c r="A508" t="s">
        <v>530</v>
      </c>
      <c r="B508" t="s">
        <v>17</v>
      </c>
      <c r="C508">
        <v>26</v>
      </c>
      <c r="D508">
        <v>45</v>
      </c>
      <c r="E508" t="s">
        <v>12</v>
      </c>
      <c r="F508" t="s">
        <v>22</v>
      </c>
      <c r="G508" t="s">
        <v>19</v>
      </c>
      <c r="H508">
        <v>81.489999999999995</v>
      </c>
      <c r="I508">
        <v>3717.64</v>
      </c>
      <c r="J508" t="s">
        <v>15</v>
      </c>
      <c r="K508" t="str">
        <f>IF(D508&lt;=12,"0-12 Months",IF(D508&lt;=24,"13-24 Months",IF(D508&lt;=48,"25-48 Months","49+ Months")))</f>
        <v>25-48 Months</v>
      </c>
      <c r="L508">
        <f>IF(Table1346[[#This Row],[Churn]]="Yes",1,0)</f>
        <v>0</v>
      </c>
    </row>
    <row r="509" spans="1:12" x14ac:dyDescent="0.35">
      <c r="A509" t="s">
        <v>531</v>
      </c>
      <c r="B509" t="s">
        <v>11</v>
      </c>
      <c r="C509">
        <v>68</v>
      </c>
      <c r="D509">
        <v>47</v>
      </c>
      <c r="E509" t="s">
        <v>12</v>
      </c>
      <c r="F509" t="s">
        <v>29</v>
      </c>
      <c r="G509" t="s">
        <v>23</v>
      </c>
      <c r="H509">
        <v>25.63</v>
      </c>
      <c r="I509">
        <v>1212.19</v>
      </c>
      <c r="J509" t="s">
        <v>27</v>
      </c>
      <c r="K509" t="str">
        <f>IF(D509&lt;=12,"0-12 Months",IF(D509&lt;=24,"13-24 Months",IF(D509&lt;=48,"25-48 Months","49+ Months")))</f>
        <v>25-48 Months</v>
      </c>
      <c r="L509">
        <f>IF(Table1346[[#This Row],[Churn]]="Yes",1,0)</f>
        <v>1</v>
      </c>
    </row>
    <row r="510" spans="1:12" x14ac:dyDescent="0.35">
      <c r="A510" t="s">
        <v>532</v>
      </c>
      <c r="B510" t="s">
        <v>17</v>
      </c>
      <c r="C510">
        <v>46</v>
      </c>
      <c r="D510">
        <v>13</v>
      </c>
      <c r="E510" t="s">
        <v>12</v>
      </c>
      <c r="F510" t="s">
        <v>29</v>
      </c>
      <c r="G510" t="s">
        <v>14</v>
      </c>
      <c r="H510">
        <v>110.91</v>
      </c>
      <c r="I510">
        <v>1429.71</v>
      </c>
      <c r="J510" t="s">
        <v>27</v>
      </c>
      <c r="K510" t="str">
        <f>IF(D510&lt;=12,"0-12 Months",IF(D510&lt;=24,"13-24 Months",IF(D510&lt;=48,"25-48 Months","49+ Months")))</f>
        <v>13-24 Months</v>
      </c>
      <c r="L510">
        <f>IF(Table1346[[#This Row],[Churn]]="Yes",1,0)</f>
        <v>1</v>
      </c>
    </row>
    <row r="511" spans="1:12" x14ac:dyDescent="0.35">
      <c r="A511" t="s">
        <v>533</v>
      </c>
      <c r="B511" t="s">
        <v>17</v>
      </c>
      <c r="C511">
        <v>31</v>
      </c>
      <c r="D511">
        <v>22</v>
      </c>
      <c r="E511" t="s">
        <v>12</v>
      </c>
      <c r="F511" t="s">
        <v>33</v>
      </c>
      <c r="G511" t="s">
        <v>14</v>
      </c>
      <c r="H511">
        <v>62.97</v>
      </c>
      <c r="I511">
        <v>1356.74</v>
      </c>
      <c r="J511" t="s">
        <v>27</v>
      </c>
      <c r="K511" t="str">
        <f>IF(D511&lt;=12,"0-12 Months",IF(D511&lt;=24,"13-24 Months",IF(D511&lt;=48,"25-48 Months","49+ Months")))</f>
        <v>13-24 Months</v>
      </c>
      <c r="L511">
        <f>IF(Table1346[[#This Row],[Churn]]="Yes",1,0)</f>
        <v>1</v>
      </c>
    </row>
    <row r="512" spans="1:12" x14ac:dyDescent="0.35">
      <c r="A512" t="s">
        <v>534</v>
      </c>
      <c r="B512" t="s">
        <v>11</v>
      </c>
      <c r="C512">
        <v>57</v>
      </c>
      <c r="D512">
        <v>21</v>
      </c>
      <c r="E512" t="s">
        <v>21</v>
      </c>
      <c r="F512" t="s">
        <v>22</v>
      </c>
      <c r="G512" t="s">
        <v>23</v>
      </c>
      <c r="H512">
        <v>116.82</v>
      </c>
      <c r="I512">
        <v>2419.4699999999998</v>
      </c>
      <c r="J512" t="s">
        <v>15</v>
      </c>
      <c r="K512" t="str">
        <f>IF(D512&lt;=12,"0-12 Months",IF(D512&lt;=24,"13-24 Months",IF(D512&lt;=48,"25-48 Months","49+ Months")))</f>
        <v>13-24 Months</v>
      </c>
      <c r="L512">
        <f>IF(Table1346[[#This Row],[Churn]]="Yes",1,0)</f>
        <v>0</v>
      </c>
    </row>
    <row r="513" spans="1:12" x14ac:dyDescent="0.35">
      <c r="A513" t="s">
        <v>535</v>
      </c>
      <c r="B513" t="s">
        <v>17</v>
      </c>
      <c r="C513">
        <v>58</v>
      </c>
      <c r="D513">
        <v>9</v>
      </c>
      <c r="E513" t="s">
        <v>12</v>
      </c>
      <c r="F513" t="s">
        <v>29</v>
      </c>
      <c r="G513" t="s">
        <v>23</v>
      </c>
      <c r="H513">
        <v>73.61</v>
      </c>
      <c r="I513">
        <v>671.67</v>
      </c>
      <c r="J513" t="s">
        <v>27</v>
      </c>
      <c r="K513" t="str">
        <f>IF(D513&lt;=12,"0-12 Months",IF(D513&lt;=24,"13-24 Months",IF(D513&lt;=48,"25-48 Months","49+ Months")))</f>
        <v>0-12 Months</v>
      </c>
      <c r="L513">
        <f>IF(Table1346[[#This Row],[Churn]]="Yes",1,0)</f>
        <v>1</v>
      </c>
    </row>
    <row r="514" spans="1:12" x14ac:dyDescent="0.35">
      <c r="A514" t="s">
        <v>536</v>
      </c>
      <c r="B514" t="s">
        <v>11</v>
      </c>
      <c r="C514">
        <v>39</v>
      </c>
      <c r="D514">
        <v>26</v>
      </c>
      <c r="E514" t="s">
        <v>21</v>
      </c>
      <c r="F514" t="s">
        <v>22</v>
      </c>
      <c r="G514" t="s">
        <v>14</v>
      </c>
      <c r="H514">
        <v>45.45</v>
      </c>
      <c r="I514">
        <v>1064.02</v>
      </c>
      <c r="J514" t="s">
        <v>15</v>
      </c>
      <c r="K514" t="str">
        <f>IF(D514&lt;=12,"0-12 Months",IF(D514&lt;=24,"13-24 Months",IF(D514&lt;=48,"25-48 Months","49+ Months")))</f>
        <v>25-48 Months</v>
      </c>
      <c r="L514">
        <f>IF(Table1346[[#This Row],[Churn]]="Yes",1,0)</f>
        <v>0</v>
      </c>
    </row>
    <row r="515" spans="1:12" x14ac:dyDescent="0.35">
      <c r="A515" t="s">
        <v>537</v>
      </c>
      <c r="B515" t="s">
        <v>17</v>
      </c>
      <c r="C515">
        <v>28</v>
      </c>
      <c r="D515">
        <v>9</v>
      </c>
      <c r="E515" t="s">
        <v>18</v>
      </c>
      <c r="F515" t="s">
        <v>13</v>
      </c>
      <c r="G515" t="s">
        <v>19</v>
      </c>
      <c r="H515">
        <v>86.71</v>
      </c>
      <c r="I515">
        <v>743.04</v>
      </c>
      <c r="J515" t="s">
        <v>15</v>
      </c>
      <c r="K515" t="str">
        <f>IF(D515&lt;=12,"0-12 Months",IF(D515&lt;=24,"13-24 Months",IF(D515&lt;=48,"25-48 Months","49+ Months")))</f>
        <v>0-12 Months</v>
      </c>
      <c r="L515">
        <f>IF(Table1346[[#This Row],[Churn]]="Yes",1,0)</f>
        <v>0</v>
      </c>
    </row>
    <row r="516" spans="1:12" x14ac:dyDescent="0.35">
      <c r="A516" t="s">
        <v>538</v>
      </c>
      <c r="B516" t="s">
        <v>17</v>
      </c>
      <c r="C516">
        <v>40</v>
      </c>
      <c r="D516">
        <v>15</v>
      </c>
      <c r="E516" t="s">
        <v>12</v>
      </c>
      <c r="F516" t="s">
        <v>13</v>
      </c>
      <c r="G516" t="s">
        <v>14</v>
      </c>
      <c r="H516">
        <v>36.97</v>
      </c>
      <c r="I516">
        <v>556.58000000000004</v>
      </c>
      <c r="J516" t="s">
        <v>15</v>
      </c>
      <c r="K516" t="str">
        <f>IF(D516&lt;=12,"0-12 Months",IF(D516&lt;=24,"13-24 Months",IF(D516&lt;=48,"25-48 Months","49+ Months")))</f>
        <v>13-24 Months</v>
      </c>
      <c r="L516">
        <f>IF(Table1346[[#This Row],[Churn]]="Yes",1,0)</f>
        <v>0</v>
      </c>
    </row>
    <row r="517" spans="1:12" x14ac:dyDescent="0.35">
      <c r="A517" t="s">
        <v>539</v>
      </c>
      <c r="B517" t="s">
        <v>11</v>
      </c>
      <c r="C517">
        <v>18</v>
      </c>
      <c r="D517">
        <v>10</v>
      </c>
      <c r="E517" t="s">
        <v>21</v>
      </c>
      <c r="F517" t="s">
        <v>33</v>
      </c>
      <c r="G517" t="s">
        <v>19</v>
      </c>
      <c r="H517">
        <v>77.27</v>
      </c>
      <c r="I517">
        <v>807.04</v>
      </c>
      <c r="J517" t="s">
        <v>15</v>
      </c>
      <c r="K517" t="str">
        <f>IF(D517&lt;=12,"0-12 Months",IF(D517&lt;=24,"13-24 Months",IF(D517&lt;=48,"25-48 Months","49+ Months")))</f>
        <v>0-12 Months</v>
      </c>
      <c r="L517">
        <f>IF(Table1346[[#This Row],[Churn]]="Yes",1,0)</f>
        <v>0</v>
      </c>
    </row>
    <row r="518" spans="1:12" x14ac:dyDescent="0.35">
      <c r="A518" t="s">
        <v>540</v>
      </c>
      <c r="B518" t="s">
        <v>17</v>
      </c>
      <c r="C518">
        <v>63</v>
      </c>
      <c r="D518">
        <v>42</v>
      </c>
      <c r="E518" t="s">
        <v>18</v>
      </c>
      <c r="F518" t="s">
        <v>22</v>
      </c>
      <c r="G518" t="s">
        <v>23</v>
      </c>
      <c r="H518">
        <v>61.25</v>
      </c>
      <c r="I518">
        <v>2404.85</v>
      </c>
      <c r="J518" t="s">
        <v>15</v>
      </c>
      <c r="K518" t="str">
        <f>IF(D518&lt;=12,"0-12 Months",IF(D518&lt;=24,"13-24 Months",IF(D518&lt;=48,"25-48 Months","49+ Months")))</f>
        <v>25-48 Months</v>
      </c>
      <c r="L518">
        <f>IF(Table1346[[#This Row],[Churn]]="Yes",1,0)</f>
        <v>0</v>
      </c>
    </row>
    <row r="519" spans="1:12" x14ac:dyDescent="0.35">
      <c r="A519" t="s">
        <v>541</v>
      </c>
      <c r="B519" t="s">
        <v>17</v>
      </c>
      <c r="C519">
        <v>54</v>
      </c>
      <c r="D519">
        <v>72</v>
      </c>
      <c r="E519" t="s">
        <v>12</v>
      </c>
      <c r="F519" t="s">
        <v>13</v>
      </c>
      <c r="G519" t="s">
        <v>23</v>
      </c>
      <c r="H519">
        <v>138.55000000000001</v>
      </c>
      <c r="I519">
        <v>10069.129999999999</v>
      </c>
      <c r="J519" t="s">
        <v>15</v>
      </c>
      <c r="K519" t="str">
        <f>IF(D519&lt;=12,"0-12 Months",IF(D519&lt;=24,"13-24 Months",IF(D519&lt;=48,"25-48 Months","49+ Months")))</f>
        <v>49+ Months</v>
      </c>
      <c r="L519">
        <f>IF(Table1346[[#This Row],[Churn]]="Yes",1,0)</f>
        <v>0</v>
      </c>
    </row>
    <row r="520" spans="1:12" x14ac:dyDescent="0.35">
      <c r="A520" t="s">
        <v>542</v>
      </c>
      <c r="B520" t="s">
        <v>17</v>
      </c>
      <c r="C520">
        <v>38</v>
      </c>
      <c r="D520">
        <v>24</v>
      </c>
      <c r="E520" t="s">
        <v>12</v>
      </c>
      <c r="F520" t="s">
        <v>33</v>
      </c>
      <c r="G520" t="s">
        <v>14</v>
      </c>
      <c r="H520">
        <v>27.92</v>
      </c>
      <c r="I520">
        <v>698.82</v>
      </c>
      <c r="J520" t="s">
        <v>15</v>
      </c>
      <c r="K520" t="str">
        <f>IF(D520&lt;=12,"0-12 Months",IF(D520&lt;=24,"13-24 Months",IF(D520&lt;=48,"25-48 Months","49+ Months")))</f>
        <v>13-24 Months</v>
      </c>
      <c r="L520">
        <f>IF(Table1346[[#This Row],[Churn]]="Yes",1,0)</f>
        <v>0</v>
      </c>
    </row>
    <row r="521" spans="1:12" x14ac:dyDescent="0.35">
      <c r="A521" t="s">
        <v>543</v>
      </c>
      <c r="B521" t="s">
        <v>17</v>
      </c>
      <c r="C521">
        <v>43</v>
      </c>
      <c r="D521">
        <v>49</v>
      </c>
      <c r="E521" t="s">
        <v>21</v>
      </c>
      <c r="F521" t="s">
        <v>33</v>
      </c>
      <c r="G521" t="s">
        <v>14</v>
      </c>
      <c r="H521">
        <v>110.22</v>
      </c>
      <c r="I521">
        <v>5340.97</v>
      </c>
      <c r="J521" t="s">
        <v>15</v>
      </c>
      <c r="K521" t="str">
        <f>IF(D521&lt;=12,"0-12 Months",IF(D521&lt;=24,"13-24 Months",IF(D521&lt;=48,"25-48 Months","49+ Months")))</f>
        <v>49+ Months</v>
      </c>
      <c r="L521">
        <f>IF(Table1346[[#This Row],[Churn]]="Yes",1,0)</f>
        <v>0</v>
      </c>
    </row>
    <row r="522" spans="1:12" x14ac:dyDescent="0.35">
      <c r="A522" t="s">
        <v>544</v>
      </c>
      <c r="B522" t="s">
        <v>17</v>
      </c>
      <c r="C522">
        <v>63</v>
      </c>
      <c r="D522">
        <v>26</v>
      </c>
      <c r="E522" t="s">
        <v>21</v>
      </c>
      <c r="F522" t="s">
        <v>29</v>
      </c>
      <c r="G522" t="s">
        <v>23</v>
      </c>
      <c r="H522">
        <v>43.76</v>
      </c>
      <c r="I522">
        <v>1030.1500000000001</v>
      </c>
      <c r="J522" t="s">
        <v>15</v>
      </c>
      <c r="K522" t="str">
        <f>IF(D522&lt;=12,"0-12 Months",IF(D522&lt;=24,"13-24 Months",IF(D522&lt;=48,"25-48 Months","49+ Months")))</f>
        <v>25-48 Months</v>
      </c>
      <c r="L522">
        <f>IF(Table1346[[#This Row],[Churn]]="Yes",1,0)</f>
        <v>0</v>
      </c>
    </row>
    <row r="523" spans="1:12" x14ac:dyDescent="0.35">
      <c r="A523" t="s">
        <v>545</v>
      </c>
      <c r="B523" t="s">
        <v>11</v>
      </c>
      <c r="C523">
        <v>53</v>
      </c>
      <c r="D523">
        <v>37</v>
      </c>
      <c r="E523" t="s">
        <v>18</v>
      </c>
      <c r="F523" t="s">
        <v>29</v>
      </c>
      <c r="G523" t="s">
        <v>23</v>
      </c>
      <c r="H523">
        <v>61.48</v>
      </c>
      <c r="I523">
        <v>2251.6799999999998</v>
      </c>
      <c r="J523" t="s">
        <v>15</v>
      </c>
      <c r="K523" t="str">
        <f>IF(D523&lt;=12,"0-12 Months",IF(D523&lt;=24,"13-24 Months",IF(D523&lt;=48,"25-48 Months","49+ Months")))</f>
        <v>25-48 Months</v>
      </c>
      <c r="L523">
        <f>IF(Table1346[[#This Row],[Churn]]="Yes",1,0)</f>
        <v>0</v>
      </c>
    </row>
    <row r="524" spans="1:12" x14ac:dyDescent="0.35">
      <c r="A524" t="s">
        <v>546</v>
      </c>
      <c r="B524" t="s">
        <v>17</v>
      </c>
      <c r="C524">
        <v>40</v>
      </c>
      <c r="D524">
        <v>68</v>
      </c>
      <c r="E524" t="s">
        <v>12</v>
      </c>
      <c r="F524" t="s">
        <v>29</v>
      </c>
      <c r="G524" t="s">
        <v>14</v>
      </c>
      <c r="H524">
        <v>74.02</v>
      </c>
      <c r="I524">
        <v>4828.45</v>
      </c>
      <c r="J524" t="s">
        <v>27</v>
      </c>
      <c r="K524" t="str">
        <f>IF(D524&lt;=12,"0-12 Months",IF(D524&lt;=24,"13-24 Months",IF(D524&lt;=48,"25-48 Months","49+ Months")))</f>
        <v>49+ Months</v>
      </c>
      <c r="L524">
        <f>IF(Table1346[[#This Row],[Churn]]="Yes",1,0)</f>
        <v>1</v>
      </c>
    </row>
    <row r="525" spans="1:12" x14ac:dyDescent="0.35">
      <c r="A525" t="s">
        <v>547</v>
      </c>
      <c r="B525" t="s">
        <v>11</v>
      </c>
      <c r="C525">
        <v>18</v>
      </c>
      <c r="D525">
        <v>50</v>
      </c>
      <c r="E525" t="s">
        <v>18</v>
      </c>
      <c r="F525" t="s">
        <v>22</v>
      </c>
      <c r="G525" t="s">
        <v>19</v>
      </c>
      <c r="H525">
        <v>138.04</v>
      </c>
      <c r="I525">
        <v>7495.09</v>
      </c>
      <c r="J525" t="s">
        <v>15</v>
      </c>
      <c r="K525" t="str">
        <f>IF(D525&lt;=12,"0-12 Months",IF(D525&lt;=24,"13-24 Months",IF(D525&lt;=48,"25-48 Months","49+ Months")))</f>
        <v>49+ Months</v>
      </c>
      <c r="L525">
        <f>IF(Table1346[[#This Row],[Churn]]="Yes",1,0)</f>
        <v>0</v>
      </c>
    </row>
    <row r="526" spans="1:12" x14ac:dyDescent="0.35">
      <c r="A526" t="s">
        <v>548</v>
      </c>
      <c r="B526" t="s">
        <v>17</v>
      </c>
      <c r="C526">
        <v>68</v>
      </c>
      <c r="D526">
        <v>24</v>
      </c>
      <c r="E526" t="s">
        <v>12</v>
      </c>
      <c r="F526" t="s">
        <v>22</v>
      </c>
      <c r="G526" t="s">
        <v>23</v>
      </c>
      <c r="H526">
        <v>51.54</v>
      </c>
      <c r="I526">
        <v>1144.0899999999999</v>
      </c>
      <c r="J526" t="s">
        <v>15</v>
      </c>
      <c r="K526" t="str">
        <f>IF(D526&lt;=12,"0-12 Months",IF(D526&lt;=24,"13-24 Months",IF(D526&lt;=48,"25-48 Months","49+ Months")))</f>
        <v>13-24 Months</v>
      </c>
      <c r="L526">
        <f>IF(Table1346[[#This Row],[Churn]]="Yes",1,0)</f>
        <v>0</v>
      </c>
    </row>
    <row r="527" spans="1:12" x14ac:dyDescent="0.35">
      <c r="A527" t="s">
        <v>549</v>
      </c>
      <c r="B527" t="s">
        <v>11</v>
      </c>
      <c r="C527">
        <v>57</v>
      </c>
      <c r="D527">
        <v>19</v>
      </c>
      <c r="E527" t="s">
        <v>12</v>
      </c>
      <c r="F527" t="s">
        <v>22</v>
      </c>
      <c r="G527" t="s">
        <v>23</v>
      </c>
      <c r="H527">
        <v>31.87</v>
      </c>
      <c r="I527">
        <v>624</v>
      </c>
      <c r="J527" t="s">
        <v>15</v>
      </c>
      <c r="K527" t="str">
        <f>IF(D527&lt;=12,"0-12 Months",IF(D527&lt;=24,"13-24 Months",IF(D527&lt;=48,"25-48 Months","49+ Months")))</f>
        <v>13-24 Months</v>
      </c>
      <c r="L527">
        <f>IF(Table1346[[#This Row],[Churn]]="Yes",1,0)</f>
        <v>0</v>
      </c>
    </row>
    <row r="528" spans="1:12" x14ac:dyDescent="0.35">
      <c r="A528" t="s">
        <v>550</v>
      </c>
      <c r="B528" t="s">
        <v>11</v>
      </c>
      <c r="C528">
        <v>32</v>
      </c>
      <c r="D528">
        <v>60</v>
      </c>
      <c r="E528" t="s">
        <v>21</v>
      </c>
      <c r="F528" t="s">
        <v>33</v>
      </c>
      <c r="G528" t="s">
        <v>14</v>
      </c>
      <c r="H528">
        <v>61.43</v>
      </c>
      <c r="I528">
        <v>3356.08</v>
      </c>
      <c r="J528" t="s">
        <v>15</v>
      </c>
      <c r="K528" t="str">
        <f>IF(D528&lt;=12,"0-12 Months",IF(D528&lt;=24,"13-24 Months",IF(D528&lt;=48,"25-48 Months","49+ Months")))</f>
        <v>49+ Months</v>
      </c>
      <c r="L528">
        <f>IF(Table1346[[#This Row],[Churn]]="Yes",1,0)</f>
        <v>0</v>
      </c>
    </row>
    <row r="529" spans="1:12" x14ac:dyDescent="0.35">
      <c r="A529" t="s">
        <v>551</v>
      </c>
      <c r="B529" t="s">
        <v>17</v>
      </c>
      <c r="C529">
        <v>38</v>
      </c>
      <c r="D529">
        <v>39</v>
      </c>
      <c r="E529" t="s">
        <v>12</v>
      </c>
      <c r="F529" t="s">
        <v>22</v>
      </c>
      <c r="G529" t="s">
        <v>14</v>
      </c>
      <c r="H529">
        <v>33.61</v>
      </c>
      <c r="I529">
        <v>1296.68</v>
      </c>
      <c r="J529" t="s">
        <v>15</v>
      </c>
      <c r="K529" t="str">
        <f>IF(D529&lt;=12,"0-12 Months",IF(D529&lt;=24,"13-24 Months",IF(D529&lt;=48,"25-48 Months","49+ Months")))</f>
        <v>25-48 Months</v>
      </c>
      <c r="L529">
        <f>IF(Table1346[[#This Row],[Churn]]="Yes",1,0)</f>
        <v>0</v>
      </c>
    </row>
    <row r="530" spans="1:12" x14ac:dyDescent="0.35">
      <c r="A530" t="s">
        <v>552</v>
      </c>
      <c r="B530" t="s">
        <v>17</v>
      </c>
      <c r="C530">
        <v>64</v>
      </c>
      <c r="D530">
        <v>18</v>
      </c>
      <c r="E530" t="s">
        <v>12</v>
      </c>
      <c r="F530" t="s">
        <v>29</v>
      </c>
      <c r="G530" t="s">
        <v>23</v>
      </c>
      <c r="H530">
        <v>36.72</v>
      </c>
      <c r="I530">
        <v>668.1</v>
      </c>
      <c r="J530" t="s">
        <v>15</v>
      </c>
      <c r="K530" t="str">
        <f>IF(D530&lt;=12,"0-12 Months",IF(D530&lt;=24,"13-24 Months",IF(D530&lt;=48,"25-48 Months","49+ Months")))</f>
        <v>13-24 Months</v>
      </c>
      <c r="L530">
        <f>IF(Table1346[[#This Row],[Churn]]="Yes",1,0)</f>
        <v>0</v>
      </c>
    </row>
    <row r="531" spans="1:12" x14ac:dyDescent="0.35">
      <c r="A531" t="s">
        <v>553</v>
      </c>
      <c r="B531" t="s">
        <v>17</v>
      </c>
      <c r="C531">
        <v>26</v>
      </c>
      <c r="D531">
        <v>19</v>
      </c>
      <c r="E531" t="s">
        <v>12</v>
      </c>
      <c r="F531" t="s">
        <v>29</v>
      </c>
      <c r="G531" t="s">
        <v>19</v>
      </c>
      <c r="H531">
        <v>94.6</v>
      </c>
      <c r="I531">
        <v>1724.77</v>
      </c>
      <c r="J531" t="s">
        <v>27</v>
      </c>
      <c r="K531" t="str">
        <f>IF(D531&lt;=12,"0-12 Months",IF(D531&lt;=24,"13-24 Months",IF(D531&lt;=48,"25-48 Months","49+ Months")))</f>
        <v>13-24 Months</v>
      </c>
      <c r="L531">
        <f>IF(Table1346[[#This Row],[Churn]]="Yes",1,0)</f>
        <v>1</v>
      </c>
    </row>
    <row r="532" spans="1:12" x14ac:dyDescent="0.35">
      <c r="A532" t="s">
        <v>554</v>
      </c>
      <c r="B532" t="s">
        <v>11</v>
      </c>
      <c r="C532">
        <v>70</v>
      </c>
      <c r="D532">
        <v>36</v>
      </c>
      <c r="E532" t="s">
        <v>12</v>
      </c>
      <c r="F532" t="s">
        <v>13</v>
      </c>
      <c r="G532" t="s">
        <v>23</v>
      </c>
      <c r="H532">
        <v>27.92</v>
      </c>
      <c r="I532">
        <v>996.09</v>
      </c>
      <c r="J532" t="s">
        <v>15</v>
      </c>
      <c r="K532" t="str">
        <f>IF(D532&lt;=12,"0-12 Months",IF(D532&lt;=24,"13-24 Months",IF(D532&lt;=48,"25-48 Months","49+ Months")))</f>
        <v>25-48 Months</v>
      </c>
      <c r="L532">
        <f>IF(Table1346[[#This Row],[Churn]]="Yes",1,0)</f>
        <v>0</v>
      </c>
    </row>
    <row r="533" spans="1:12" x14ac:dyDescent="0.35">
      <c r="A533" t="s">
        <v>555</v>
      </c>
      <c r="B533" t="s">
        <v>17</v>
      </c>
      <c r="C533">
        <v>26</v>
      </c>
      <c r="D533">
        <v>55</v>
      </c>
      <c r="E533" t="s">
        <v>12</v>
      </c>
      <c r="F533" t="s">
        <v>13</v>
      </c>
      <c r="G533" t="s">
        <v>19</v>
      </c>
      <c r="H533">
        <v>24.02</v>
      </c>
      <c r="I533">
        <v>1232.2</v>
      </c>
      <c r="J533" t="s">
        <v>27</v>
      </c>
      <c r="K533" t="str">
        <f>IF(D533&lt;=12,"0-12 Months",IF(D533&lt;=24,"13-24 Months",IF(D533&lt;=48,"25-48 Months","49+ Months")))</f>
        <v>49+ Months</v>
      </c>
      <c r="L533">
        <f>IF(Table1346[[#This Row],[Churn]]="Yes",1,0)</f>
        <v>1</v>
      </c>
    </row>
    <row r="534" spans="1:12" x14ac:dyDescent="0.35">
      <c r="A534" t="s">
        <v>556</v>
      </c>
      <c r="B534" t="s">
        <v>11</v>
      </c>
      <c r="C534">
        <v>27</v>
      </c>
      <c r="D534">
        <v>69</v>
      </c>
      <c r="E534" t="s">
        <v>18</v>
      </c>
      <c r="F534" t="s">
        <v>22</v>
      </c>
      <c r="G534" t="s">
        <v>19</v>
      </c>
      <c r="H534">
        <v>112.87</v>
      </c>
      <c r="I534">
        <v>7482.93</v>
      </c>
      <c r="J534" t="s">
        <v>27</v>
      </c>
      <c r="K534" t="str">
        <f>IF(D534&lt;=12,"0-12 Months",IF(D534&lt;=24,"13-24 Months",IF(D534&lt;=48,"25-48 Months","49+ Months")))</f>
        <v>49+ Months</v>
      </c>
      <c r="L534">
        <f>IF(Table1346[[#This Row],[Churn]]="Yes",1,0)</f>
        <v>1</v>
      </c>
    </row>
    <row r="535" spans="1:12" x14ac:dyDescent="0.35">
      <c r="A535" t="s">
        <v>557</v>
      </c>
      <c r="B535" t="s">
        <v>11</v>
      </c>
      <c r="C535">
        <v>69</v>
      </c>
      <c r="D535">
        <v>47</v>
      </c>
      <c r="E535" t="s">
        <v>12</v>
      </c>
      <c r="F535" t="s">
        <v>33</v>
      </c>
      <c r="G535" t="s">
        <v>23</v>
      </c>
      <c r="H535">
        <v>67.010000000000005</v>
      </c>
      <c r="I535">
        <v>3225.75</v>
      </c>
      <c r="J535" t="s">
        <v>15</v>
      </c>
      <c r="K535" t="str">
        <f>IF(D535&lt;=12,"0-12 Months",IF(D535&lt;=24,"13-24 Months",IF(D535&lt;=48,"25-48 Months","49+ Months")))</f>
        <v>25-48 Months</v>
      </c>
      <c r="L535">
        <f>IF(Table1346[[#This Row],[Churn]]="Yes",1,0)</f>
        <v>0</v>
      </c>
    </row>
    <row r="536" spans="1:12" x14ac:dyDescent="0.35">
      <c r="A536" t="s">
        <v>558</v>
      </c>
      <c r="B536" t="s">
        <v>11</v>
      </c>
      <c r="C536">
        <v>70</v>
      </c>
      <c r="D536">
        <v>49</v>
      </c>
      <c r="E536" t="s">
        <v>21</v>
      </c>
      <c r="F536" t="s">
        <v>29</v>
      </c>
      <c r="G536" t="s">
        <v>23</v>
      </c>
      <c r="H536">
        <v>36.299999999999997</v>
      </c>
      <c r="I536">
        <v>1708.19</v>
      </c>
      <c r="J536" t="s">
        <v>15</v>
      </c>
      <c r="K536" t="str">
        <f>IF(D536&lt;=12,"0-12 Months",IF(D536&lt;=24,"13-24 Months",IF(D536&lt;=48,"25-48 Months","49+ Months")))</f>
        <v>49+ Months</v>
      </c>
      <c r="L536">
        <f>IF(Table1346[[#This Row],[Churn]]="Yes",1,0)</f>
        <v>0</v>
      </c>
    </row>
    <row r="537" spans="1:12" x14ac:dyDescent="0.35">
      <c r="A537" t="s">
        <v>559</v>
      </c>
      <c r="B537" t="s">
        <v>17</v>
      </c>
      <c r="C537">
        <v>43</v>
      </c>
      <c r="D537">
        <v>33</v>
      </c>
      <c r="E537" t="s">
        <v>21</v>
      </c>
      <c r="F537" t="s">
        <v>13</v>
      </c>
      <c r="G537" t="s">
        <v>14</v>
      </c>
      <c r="H537">
        <v>52.97</v>
      </c>
      <c r="I537">
        <v>1887.76</v>
      </c>
      <c r="J537" t="s">
        <v>15</v>
      </c>
      <c r="K537" t="str">
        <f>IF(D537&lt;=12,"0-12 Months",IF(D537&lt;=24,"13-24 Months",IF(D537&lt;=48,"25-48 Months","49+ Months")))</f>
        <v>25-48 Months</v>
      </c>
      <c r="L537">
        <f>IF(Table1346[[#This Row],[Churn]]="Yes",1,0)</f>
        <v>0</v>
      </c>
    </row>
    <row r="538" spans="1:12" x14ac:dyDescent="0.35">
      <c r="A538" t="s">
        <v>560</v>
      </c>
      <c r="B538" t="s">
        <v>17</v>
      </c>
      <c r="C538">
        <v>58</v>
      </c>
      <c r="D538">
        <v>21</v>
      </c>
      <c r="E538" t="s">
        <v>18</v>
      </c>
      <c r="F538" t="s">
        <v>22</v>
      </c>
      <c r="G538" t="s">
        <v>23</v>
      </c>
      <c r="H538">
        <v>103.47</v>
      </c>
      <c r="I538">
        <v>2228.67</v>
      </c>
      <c r="J538" t="s">
        <v>15</v>
      </c>
      <c r="K538" t="str">
        <f>IF(D538&lt;=12,"0-12 Months",IF(D538&lt;=24,"13-24 Months",IF(D538&lt;=48,"25-48 Months","49+ Months")))</f>
        <v>13-24 Months</v>
      </c>
      <c r="L538">
        <f>IF(Table1346[[#This Row],[Churn]]="Yes",1,0)</f>
        <v>0</v>
      </c>
    </row>
    <row r="539" spans="1:12" x14ac:dyDescent="0.35">
      <c r="A539" t="s">
        <v>561</v>
      </c>
      <c r="B539" t="s">
        <v>11</v>
      </c>
      <c r="C539">
        <v>52</v>
      </c>
      <c r="D539">
        <v>22</v>
      </c>
      <c r="E539" t="s">
        <v>12</v>
      </c>
      <c r="F539" t="s">
        <v>13</v>
      </c>
      <c r="G539" t="s">
        <v>23</v>
      </c>
      <c r="H539">
        <v>55.82</v>
      </c>
      <c r="I539">
        <v>1212.97</v>
      </c>
      <c r="J539" t="s">
        <v>15</v>
      </c>
      <c r="K539" t="str">
        <f>IF(D539&lt;=12,"0-12 Months",IF(D539&lt;=24,"13-24 Months",IF(D539&lt;=48,"25-48 Months","49+ Months")))</f>
        <v>13-24 Months</v>
      </c>
      <c r="L539">
        <f>IF(Table1346[[#This Row],[Churn]]="Yes",1,0)</f>
        <v>0</v>
      </c>
    </row>
    <row r="540" spans="1:12" x14ac:dyDescent="0.35">
      <c r="A540" t="s">
        <v>562</v>
      </c>
      <c r="B540" t="s">
        <v>11</v>
      </c>
      <c r="C540">
        <v>69</v>
      </c>
      <c r="D540">
        <v>48</v>
      </c>
      <c r="E540" t="s">
        <v>18</v>
      </c>
      <c r="F540" t="s">
        <v>29</v>
      </c>
      <c r="G540" t="s">
        <v>23</v>
      </c>
      <c r="H540">
        <v>84.29</v>
      </c>
      <c r="I540">
        <v>3672.69</v>
      </c>
      <c r="J540" t="s">
        <v>15</v>
      </c>
      <c r="K540" t="str">
        <f>IF(D540&lt;=12,"0-12 Months",IF(D540&lt;=24,"13-24 Months",IF(D540&lt;=48,"25-48 Months","49+ Months")))</f>
        <v>25-48 Months</v>
      </c>
      <c r="L540">
        <f>IF(Table1346[[#This Row],[Churn]]="Yes",1,0)</f>
        <v>0</v>
      </c>
    </row>
    <row r="541" spans="1:12" x14ac:dyDescent="0.35">
      <c r="A541" t="s">
        <v>563</v>
      </c>
      <c r="B541" t="s">
        <v>17</v>
      </c>
      <c r="C541">
        <v>42</v>
      </c>
      <c r="D541">
        <v>37</v>
      </c>
      <c r="E541" t="s">
        <v>12</v>
      </c>
      <c r="F541" t="s">
        <v>13</v>
      </c>
      <c r="G541" t="s">
        <v>14</v>
      </c>
      <c r="H541">
        <v>35.82</v>
      </c>
      <c r="I541">
        <v>1325.22</v>
      </c>
      <c r="J541" t="s">
        <v>15</v>
      </c>
      <c r="K541" t="str">
        <f>IF(D541&lt;=12,"0-12 Months",IF(D541&lt;=24,"13-24 Months",IF(D541&lt;=48,"25-48 Months","49+ Months")))</f>
        <v>25-48 Months</v>
      </c>
      <c r="L541">
        <f>IF(Table1346[[#This Row],[Churn]]="Yes",1,0)</f>
        <v>0</v>
      </c>
    </row>
    <row r="542" spans="1:12" x14ac:dyDescent="0.35">
      <c r="A542" t="s">
        <v>564</v>
      </c>
      <c r="B542" t="s">
        <v>11</v>
      </c>
      <c r="C542">
        <v>43</v>
      </c>
      <c r="D542">
        <v>15</v>
      </c>
      <c r="E542" t="s">
        <v>21</v>
      </c>
      <c r="F542" t="s">
        <v>29</v>
      </c>
      <c r="G542" t="s">
        <v>14</v>
      </c>
      <c r="H542">
        <v>96.45</v>
      </c>
      <c r="I542">
        <v>1523.36</v>
      </c>
      <c r="J542" t="s">
        <v>15</v>
      </c>
      <c r="K542" t="str">
        <f>IF(D542&lt;=12,"0-12 Months",IF(D542&lt;=24,"13-24 Months",IF(D542&lt;=48,"25-48 Months","49+ Months")))</f>
        <v>13-24 Months</v>
      </c>
      <c r="L542">
        <f>IF(Table1346[[#This Row],[Churn]]="Yes",1,0)</f>
        <v>0</v>
      </c>
    </row>
    <row r="543" spans="1:12" x14ac:dyDescent="0.35">
      <c r="A543" t="s">
        <v>565</v>
      </c>
      <c r="B543" t="s">
        <v>17</v>
      </c>
      <c r="C543">
        <v>28</v>
      </c>
      <c r="D543">
        <v>35</v>
      </c>
      <c r="E543" t="s">
        <v>21</v>
      </c>
      <c r="F543" t="s">
        <v>33</v>
      </c>
      <c r="G543" t="s">
        <v>19</v>
      </c>
      <c r="H543">
        <v>61.09</v>
      </c>
      <c r="I543">
        <v>2037.9</v>
      </c>
      <c r="J543" t="s">
        <v>15</v>
      </c>
      <c r="K543" t="str">
        <f>IF(D543&lt;=12,"0-12 Months",IF(D543&lt;=24,"13-24 Months",IF(D543&lt;=48,"25-48 Months","49+ Months")))</f>
        <v>25-48 Months</v>
      </c>
      <c r="L543">
        <f>IF(Table1346[[#This Row],[Churn]]="Yes",1,0)</f>
        <v>0</v>
      </c>
    </row>
    <row r="544" spans="1:12" x14ac:dyDescent="0.35">
      <c r="A544" t="s">
        <v>566</v>
      </c>
      <c r="B544" t="s">
        <v>11</v>
      </c>
      <c r="C544">
        <v>55</v>
      </c>
      <c r="D544">
        <v>71</v>
      </c>
      <c r="E544" t="s">
        <v>18</v>
      </c>
      <c r="F544" t="s">
        <v>29</v>
      </c>
      <c r="G544" t="s">
        <v>23</v>
      </c>
      <c r="H544">
        <v>101.51</v>
      </c>
      <c r="I544">
        <v>7649.41</v>
      </c>
      <c r="J544" t="s">
        <v>15</v>
      </c>
      <c r="K544" t="str">
        <f>IF(D544&lt;=12,"0-12 Months",IF(D544&lt;=24,"13-24 Months",IF(D544&lt;=48,"25-48 Months","49+ Months")))</f>
        <v>49+ Months</v>
      </c>
      <c r="L544">
        <f>IF(Table1346[[#This Row],[Churn]]="Yes",1,0)</f>
        <v>0</v>
      </c>
    </row>
    <row r="545" spans="1:12" x14ac:dyDescent="0.35">
      <c r="A545" t="s">
        <v>567</v>
      </c>
      <c r="B545" t="s">
        <v>17</v>
      </c>
      <c r="C545">
        <v>19</v>
      </c>
      <c r="D545">
        <v>32</v>
      </c>
      <c r="E545" t="s">
        <v>12</v>
      </c>
      <c r="F545" t="s">
        <v>13</v>
      </c>
      <c r="G545" t="s">
        <v>19</v>
      </c>
      <c r="H545">
        <v>125.09</v>
      </c>
      <c r="I545">
        <v>3804.18</v>
      </c>
      <c r="J545" t="s">
        <v>15</v>
      </c>
      <c r="K545" t="str">
        <f>IF(D545&lt;=12,"0-12 Months",IF(D545&lt;=24,"13-24 Months",IF(D545&lt;=48,"25-48 Months","49+ Months")))</f>
        <v>25-48 Months</v>
      </c>
      <c r="L545">
        <f>IF(Table1346[[#This Row],[Churn]]="Yes",1,0)</f>
        <v>0</v>
      </c>
    </row>
    <row r="546" spans="1:12" x14ac:dyDescent="0.35">
      <c r="A546" t="s">
        <v>568</v>
      </c>
      <c r="B546" t="s">
        <v>11</v>
      </c>
      <c r="C546">
        <v>24</v>
      </c>
      <c r="D546">
        <v>11</v>
      </c>
      <c r="E546" t="s">
        <v>21</v>
      </c>
      <c r="F546" t="s">
        <v>13</v>
      </c>
      <c r="G546" t="s">
        <v>19</v>
      </c>
      <c r="H546">
        <v>99.51</v>
      </c>
      <c r="I546">
        <v>1165.49</v>
      </c>
      <c r="J546" t="s">
        <v>15</v>
      </c>
      <c r="K546" t="str">
        <f>IF(D546&lt;=12,"0-12 Months",IF(D546&lt;=24,"13-24 Months",IF(D546&lt;=48,"25-48 Months","49+ Months")))</f>
        <v>0-12 Months</v>
      </c>
      <c r="L546">
        <f>IF(Table1346[[#This Row],[Churn]]="Yes",1,0)</f>
        <v>0</v>
      </c>
    </row>
    <row r="547" spans="1:12" x14ac:dyDescent="0.35">
      <c r="A547" t="s">
        <v>569</v>
      </c>
      <c r="B547" t="s">
        <v>17</v>
      </c>
      <c r="C547">
        <v>35</v>
      </c>
      <c r="D547">
        <v>10</v>
      </c>
      <c r="E547" t="s">
        <v>12</v>
      </c>
      <c r="F547" t="s">
        <v>33</v>
      </c>
      <c r="G547" t="s">
        <v>14</v>
      </c>
      <c r="H547">
        <v>58.45</v>
      </c>
      <c r="I547">
        <v>536.02</v>
      </c>
      <c r="J547" t="s">
        <v>15</v>
      </c>
      <c r="K547" t="str">
        <f>IF(D547&lt;=12,"0-12 Months",IF(D547&lt;=24,"13-24 Months",IF(D547&lt;=48,"25-48 Months","49+ Months")))</f>
        <v>0-12 Months</v>
      </c>
      <c r="L547">
        <f>IF(Table1346[[#This Row],[Churn]]="Yes",1,0)</f>
        <v>0</v>
      </c>
    </row>
    <row r="548" spans="1:12" x14ac:dyDescent="0.35">
      <c r="A548" t="s">
        <v>570</v>
      </c>
      <c r="B548" t="s">
        <v>11</v>
      </c>
      <c r="C548">
        <v>44</v>
      </c>
      <c r="D548">
        <v>57</v>
      </c>
      <c r="E548" t="s">
        <v>21</v>
      </c>
      <c r="F548" t="s">
        <v>29</v>
      </c>
      <c r="G548" t="s">
        <v>14</v>
      </c>
      <c r="H548">
        <v>53.25</v>
      </c>
      <c r="I548">
        <v>3257.54</v>
      </c>
      <c r="J548" t="s">
        <v>27</v>
      </c>
      <c r="K548" t="str">
        <f>IF(D548&lt;=12,"0-12 Months",IF(D548&lt;=24,"13-24 Months",IF(D548&lt;=48,"25-48 Months","49+ Months")))</f>
        <v>49+ Months</v>
      </c>
      <c r="L548">
        <f>IF(Table1346[[#This Row],[Churn]]="Yes",1,0)</f>
        <v>1</v>
      </c>
    </row>
    <row r="549" spans="1:12" x14ac:dyDescent="0.35">
      <c r="A549" t="s">
        <v>571</v>
      </c>
      <c r="B549" t="s">
        <v>17</v>
      </c>
      <c r="C549">
        <v>51</v>
      </c>
      <c r="D549">
        <v>25</v>
      </c>
      <c r="E549" t="s">
        <v>18</v>
      </c>
      <c r="F549" t="s">
        <v>29</v>
      </c>
      <c r="G549" t="s">
        <v>23</v>
      </c>
      <c r="H549">
        <v>62.56</v>
      </c>
      <c r="I549">
        <v>1563.75</v>
      </c>
      <c r="J549" t="s">
        <v>15</v>
      </c>
      <c r="K549" t="str">
        <f>IF(D549&lt;=12,"0-12 Months",IF(D549&lt;=24,"13-24 Months",IF(D549&lt;=48,"25-48 Months","49+ Months")))</f>
        <v>25-48 Months</v>
      </c>
      <c r="L549">
        <f>IF(Table1346[[#This Row],[Churn]]="Yes",1,0)</f>
        <v>0</v>
      </c>
    </row>
    <row r="550" spans="1:12" x14ac:dyDescent="0.35">
      <c r="A550" t="s">
        <v>572</v>
      </c>
      <c r="B550" t="s">
        <v>17</v>
      </c>
      <c r="C550">
        <v>44</v>
      </c>
      <c r="D550">
        <v>2</v>
      </c>
      <c r="E550" t="s">
        <v>12</v>
      </c>
      <c r="F550" t="s">
        <v>29</v>
      </c>
      <c r="G550" t="s">
        <v>14</v>
      </c>
      <c r="H550">
        <v>41.4</v>
      </c>
      <c r="I550">
        <v>79.430000000000007</v>
      </c>
      <c r="J550" t="s">
        <v>15</v>
      </c>
      <c r="K550" t="str">
        <f>IF(D550&lt;=12,"0-12 Months",IF(D550&lt;=24,"13-24 Months",IF(D550&lt;=48,"25-48 Months","49+ Months")))</f>
        <v>0-12 Months</v>
      </c>
      <c r="L550">
        <f>IF(Table1346[[#This Row],[Churn]]="Yes",1,0)</f>
        <v>0</v>
      </c>
    </row>
    <row r="551" spans="1:12" x14ac:dyDescent="0.35">
      <c r="A551" t="s">
        <v>573</v>
      </c>
      <c r="B551" t="s">
        <v>11</v>
      </c>
      <c r="C551">
        <v>34</v>
      </c>
      <c r="D551">
        <v>64</v>
      </c>
      <c r="E551" t="s">
        <v>18</v>
      </c>
      <c r="F551" t="s">
        <v>29</v>
      </c>
      <c r="G551" t="s">
        <v>14</v>
      </c>
      <c r="H551">
        <v>43.55</v>
      </c>
      <c r="I551">
        <v>2656.26</v>
      </c>
      <c r="J551" t="s">
        <v>15</v>
      </c>
      <c r="K551" t="str">
        <f>IF(D551&lt;=12,"0-12 Months",IF(D551&lt;=24,"13-24 Months",IF(D551&lt;=48,"25-48 Months","49+ Months")))</f>
        <v>49+ Months</v>
      </c>
      <c r="L551">
        <f>IF(Table1346[[#This Row],[Churn]]="Yes",1,0)</f>
        <v>0</v>
      </c>
    </row>
    <row r="552" spans="1:12" x14ac:dyDescent="0.35">
      <c r="A552" t="s">
        <v>574</v>
      </c>
      <c r="B552" t="s">
        <v>11</v>
      </c>
      <c r="C552">
        <v>60</v>
      </c>
      <c r="D552">
        <v>35</v>
      </c>
      <c r="E552" t="s">
        <v>12</v>
      </c>
      <c r="F552" t="s">
        <v>29</v>
      </c>
      <c r="G552" t="s">
        <v>23</v>
      </c>
      <c r="H552">
        <v>122.79</v>
      </c>
      <c r="I552">
        <v>4239.21</v>
      </c>
      <c r="J552" t="s">
        <v>27</v>
      </c>
      <c r="K552" t="str">
        <f>IF(D552&lt;=12,"0-12 Months",IF(D552&lt;=24,"13-24 Months",IF(D552&lt;=48,"25-48 Months","49+ Months")))</f>
        <v>25-48 Months</v>
      </c>
      <c r="L552">
        <f>IF(Table1346[[#This Row],[Churn]]="Yes",1,0)</f>
        <v>1</v>
      </c>
    </row>
    <row r="553" spans="1:12" x14ac:dyDescent="0.35">
      <c r="A553" t="s">
        <v>575</v>
      </c>
      <c r="B553" t="s">
        <v>17</v>
      </c>
      <c r="C553">
        <v>61</v>
      </c>
      <c r="D553">
        <v>7</v>
      </c>
      <c r="E553" t="s">
        <v>12</v>
      </c>
      <c r="F553" t="s">
        <v>22</v>
      </c>
      <c r="G553" t="s">
        <v>23</v>
      </c>
      <c r="H553">
        <v>70.02</v>
      </c>
      <c r="I553">
        <v>539.05999999999995</v>
      </c>
      <c r="J553" t="s">
        <v>27</v>
      </c>
      <c r="K553" t="str">
        <f>IF(D553&lt;=12,"0-12 Months",IF(D553&lt;=24,"13-24 Months",IF(D553&lt;=48,"25-48 Months","49+ Months")))</f>
        <v>0-12 Months</v>
      </c>
      <c r="L553">
        <f>IF(Table1346[[#This Row],[Churn]]="Yes",1,0)</f>
        <v>1</v>
      </c>
    </row>
    <row r="554" spans="1:12" x14ac:dyDescent="0.35">
      <c r="A554" t="s">
        <v>576</v>
      </c>
      <c r="B554" t="s">
        <v>11</v>
      </c>
      <c r="C554">
        <v>68</v>
      </c>
      <c r="D554">
        <v>18</v>
      </c>
      <c r="E554" t="s">
        <v>12</v>
      </c>
      <c r="F554" t="s">
        <v>29</v>
      </c>
      <c r="G554" t="s">
        <v>23</v>
      </c>
      <c r="H554">
        <v>76.680000000000007</v>
      </c>
      <c r="I554">
        <v>1303.04</v>
      </c>
      <c r="J554" t="s">
        <v>27</v>
      </c>
      <c r="K554" t="str">
        <f>IF(D554&lt;=12,"0-12 Months",IF(D554&lt;=24,"13-24 Months",IF(D554&lt;=48,"25-48 Months","49+ Months")))</f>
        <v>13-24 Months</v>
      </c>
      <c r="L554">
        <f>IF(Table1346[[#This Row],[Churn]]="Yes",1,0)</f>
        <v>1</v>
      </c>
    </row>
    <row r="555" spans="1:12" x14ac:dyDescent="0.35">
      <c r="A555" t="s">
        <v>577</v>
      </c>
      <c r="B555" t="s">
        <v>17</v>
      </c>
      <c r="C555">
        <v>41</v>
      </c>
      <c r="D555">
        <v>67</v>
      </c>
      <c r="E555" t="s">
        <v>12</v>
      </c>
      <c r="F555" t="s">
        <v>29</v>
      </c>
      <c r="G555" t="s">
        <v>14</v>
      </c>
      <c r="H555">
        <v>97.23</v>
      </c>
      <c r="I555">
        <v>5997.45</v>
      </c>
      <c r="J555" t="s">
        <v>15</v>
      </c>
      <c r="K555" t="str">
        <f>IF(D555&lt;=12,"0-12 Months",IF(D555&lt;=24,"13-24 Months",IF(D555&lt;=48,"25-48 Months","49+ Months")))</f>
        <v>49+ Months</v>
      </c>
      <c r="L555">
        <f>IF(Table1346[[#This Row],[Churn]]="Yes",1,0)</f>
        <v>0</v>
      </c>
    </row>
    <row r="556" spans="1:12" x14ac:dyDescent="0.35">
      <c r="A556" t="s">
        <v>578</v>
      </c>
      <c r="B556" t="s">
        <v>11</v>
      </c>
      <c r="C556">
        <v>42</v>
      </c>
      <c r="D556">
        <v>42</v>
      </c>
      <c r="E556" t="s">
        <v>21</v>
      </c>
      <c r="F556" t="s">
        <v>33</v>
      </c>
      <c r="G556" t="s">
        <v>14</v>
      </c>
      <c r="H556">
        <v>96.65</v>
      </c>
      <c r="I556">
        <v>4128.34</v>
      </c>
      <c r="J556" t="s">
        <v>15</v>
      </c>
      <c r="K556" t="str">
        <f>IF(D556&lt;=12,"0-12 Months",IF(D556&lt;=24,"13-24 Months",IF(D556&lt;=48,"25-48 Months","49+ Months")))</f>
        <v>25-48 Months</v>
      </c>
      <c r="L556">
        <f>IF(Table1346[[#This Row],[Churn]]="Yes",1,0)</f>
        <v>0</v>
      </c>
    </row>
    <row r="557" spans="1:12" x14ac:dyDescent="0.35">
      <c r="A557" t="s">
        <v>579</v>
      </c>
      <c r="B557" t="s">
        <v>17</v>
      </c>
      <c r="C557">
        <v>24</v>
      </c>
      <c r="D557">
        <v>39</v>
      </c>
      <c r="E557" t="s">
        <v>12</v>
      </c>
      <c r="F557" t="s">
        <v>13</v>
      </c>
      <c r="G557" t="s">
        <v>19</v>
      </c>
      <c r="H557">
        <v>28.76</v>
      </c>
      <c r="I557">
        <v>1119.07</v>
      </c>
      <c r="J557" t="s">
        <v>15</v>
      </c>
      <c r="K557" t="str">
        <f>IF(D557&lt;=12,"0-12 Months",IF(D557&lt;=24,"13-24 Months",IF(D557&lt;=48,"25-48 Months","49+ Months")))</f>
        <v>25-48 Months</v>
      </c>
      <c r="L557">
        <f>IF(Table1346[[#This Row],[Churn]]="Yes",1,0)</f>
        <v>0</v>
      </c>
    </row>
    <row r="558" spans="1:12" x14ac:dyDescent="0.35">
      <c r="A558" t="s">
        <v>580</v>
      </c>
      <c r="B558" t="s">
        <v>17</v>
      </c>
      <c r="C558">
        <v>69</v>
      </c>
      <c r="D558">
        <v>41</v>
      </c>
      <c r="E558" t="s">
        <v>12</v>
      </c>
      <c r="F558" t="s">
        <v>13</v>
      </c>
      <c r="G558" t="s">
        <v>23</v>
      </c>
      <c r="H558">
        <v>128.1</v>
      </c>
      <c r="I558">
        <v>5277.52</v>
      </c>
      <c r="J558" t="s">
        <v>27</v>
      </c>
      <c r="K558" t="str">
        <f>IF(D558&lt;=12,"0-12 Months",IF(D558&lt;=24,"13-24 Months",IF(D558&lt;=48,"25-48 Months","49+ Months")))</f>
        <v>25-48 Months</v>
      </c>
      <c r="L558">
        <f>IF(Table1346[[#This Row],[Churn]]="Yes",1,0)</f>
        <v>1</v>
      </c>
    </row>
    <row r="559" spans="1:12" x14ac:dyDescent="0.35">
      <c r="A559" t="s">
        <v>581</v>
      </c>
      <c r="B559" t="s">
        <v>17</v>
      </c>
      <c r="C559">
        <v>23</v>
      </c>
      <c r="D559">
        <v>24</v>
      </c>
      <c r="E559" t="s">
        <v>18</v>
      </c>
      <c r="F559" t="s">
        <v>29</v>
      </c>
      <c r="G559" t="s">
        <v>19</v>
      </c>
      <c r="H559">
        <v>43.05</v>
      </c>
      <c r="I559">
        <v>1067.7</v>
      </c>
      <c r="J559" t="s">
        <v>15</v>
      </c>
      <c r="K559" t="str">
        <f>IF(D559&lt;=12,"0-12 Months",IF(D559&lt;=24,"13-24 Months",IF(D559&lt;=48,"25-48 Months","49+ Months")))</f>
        <v>13-24 Months</v>
      </c>
      <c r="L559">
        <f>IF(Table1346[[#This Row],[Churn]]="Yes",1,0)</f>
        <v>0</v>
      </c>
    </row>
    <row r="560" spans="1:12" x14ac:dyDescent="0.35">
      <c r="A560" t="s">
        <v>582</v>
      </c>
      <c r="B560" t="s">
        <v>17</v>
      </c>
      <c r="C560">
        <v>70</v>
      </c>
      <c r="D560">
        <v>60</v>
      </c>
      <c r="E560" t="s">
        <v>18</v>
      </c>
      <c r="F560" t="s">
        <v>33</v>
      </c>
      <c r="G560" t="s">
        <v>23</v>
      </c>
      <c r="H560">
        <v>114</v>
      </c>
      <c r="I560">
        <v>6521.45</v>
      </c>
      <c r="J560" t="s">
        <v>15</v>
      </c>
      <c r="K560" t="str">
        <f>IF(D560&lt;=12,"0-12 Months",IF(D560&lt;=24,"13-24 Months",IF(D560&lt;=48,"25-48 Months","49+ Months")))</f>
        <v>49+ Months</v>
      </c>
      <c r="L560">
        <f>IF(Table1346[[#This Row],[Churn]]="Yes",1,0)</f>
        <v>0</v>
      </c>
    </row>
    <row r="561" spans="1:12" x14ac:dyDescent="0.35">
      <c r="A561" t="s">
        <v>583</v>
      </c>
      <c r="B561" t="s">
        <v>17</v>
      </c>
      <c r="C561">
        <v>41</v>
      </c>
      <c r="D561">
        <v>46</v>
      </c>
      <c r="E561" t="s">
        <v>18</v>
      </c>
      <c r="F561" t="s">
        <v>29</v>
      </c>
      <c r="G561" t="s">
        <v>14</v>
      </c>
      <c r="H561">
        <v>120.45</v>
      </c>
      <c r="I561">
        <v>5995.77</v>
      </c>
      <c r="J561" t="s">
        <v>15</v>
      </c>
      <c r="K561" t="str">
        <f>IF(D561&lt;=12,"0-12 Months",IF(D561&lt;=24,"13-24 Months",IF(D561&lt;=48,"25-48 Months","49+ Months")))</f>
        <v>25-48 Months</v>
      </c>
      <c r="L561">
        <f>IF(Table1346[[#This Row],[Churn]]="Yes",1,0)</f>
        <v>0</v>
      </c>
    </row>
    <row r="562" spans="1:12" x14ac:dyDescent="0.35">
      <c r="A562" t="s">
        <v>584</v>
      </c>
      <c r="B562" t="s">
        <v>17</v>
      </c>
      <c r="C562">
        <v>50</v>
      </c>
      <c r="D562">
        <v>19</v>
      </c>
      <c r="E562" t="s">
        <v>18</v>
      </c>
      <c r="F562" t="s">
        <v>33</v>
      </c>
      <c r="G562" t="s">
        <v>23</v>
      </c>
      <c r="H562">
        <v>112.94</v>
      </c>
      <c r="I562">
        <v>2118.25</v>
      </c>
      <c r="J562" t="s">
        <v>15</v>
      </c>
      <c r="K562" t="str">
        <f>IF(D562&lt;=12,"0-12 Months",IF(D562&lt;=24,"13-24 Months",IF(D562&lt;=48,"25-48 Months","49+ Months")))</f>
        <v>13-24 Months</v>
      </c>
      <c r="L562">
        <f>IF(Table1346[[#This Row],[Churn]]="Yes",1,0)</f>
        <v>0</v>
      </c>
    </row>
    <row r="563" spans="1:12" x14ac:dyDescent="0.35">
      <c r="A563" t="s">
        <v>585</v>
      </c>
      <c r="B563" t="s">
        <v>11</v>
      </c>
      <c r="C563">
        <v>66</v>
      </c>
      <c r="D563">
        <v>68</v>
      </c>
      <c r="E563" t="s">
        <v>21</v>
      </c>
      <c r="F563" t="s">
        <v>22</v>
      </c>
      <c r="G563" t="s">
        <v>23</v>
      </c>
      <c r="H563">
        <v>95.27</v>
      </c>
      <c r="I563">
        <v>5997.78</v>
      </c>
      <c r="J563" t="s">
        <v>15</v>
      </c>
      <c r="K563" t="str">
        <f>IF(D563&lt;=12,"0-12 Months",IF(D563&lt;=24,"13-24 Months",IF(D563&lt;=48,"25-48 Months","49+ Months")))</f>
        <v>49+ Months</v>
      </c>
      <c r="L563">
        <f>IF(Table1346[[#This Row],[Churn]]="Yes",1,0)</f>
        <v>0</v>
      </c>
    </row>
    <row r="564" spans="1:12" x14ac:dyDescent="0.35">
      <c r="A564" t="s">
        <v>586</v>
      </c>
      <c r="B564" t="s">
        <v>11</v>
      </c>
      <c r="C564">
        <v>46</v>
      </c>
      <c r="D564">
        <v>42</v>
      </c>
      <c r="E564" t="s">
        <v>12</v>
      </c>
      <c r="F564" t="s">
        <v>29</v>
      </c>
      <c r="G564" t="s">
        <v>14</v>
      </c>
      <c r="H564">
        <v>21.9</v>
      </c>
      <c r="I564">
        <v>964.37</v>
      </c>
      <c r="J564" t="s">
        <v>15</v>
      </c>
      <c r="K564" t="str">
        <f>IF(D564&lt;=12,"0-12 Months",IF(D564&lt;=24,"13-24 Months",IF(D564&lt;=48,"25-48 Months","49+ Months")))</f>
        <v>25-48 Months</v>
      </c>
      <c r="L564">
        <f>IF(Table1346[[#This Row],[Churn]]="Yes",1,0)</f>
        <v>0</v>
      </c>
    </row>
    <row r="565" spans="1:12" x14ac:dyDescent="0.35">
      <c r="A565" t="s">
        <v>587</v>
      </c>
      <c r="B565" t="s">
        <v>11</v>
      </c>
      <c r="C565">
        <v>60</v>
      </c>
      <c r="D565">
        <v>32</v>
      </c>
      <c r="E565" t="s">
        <v>12</v>
      </c>
      <c r="F565" t="s">
        <v>33</v>
      </c>
      <c r="G565" t="s">
        <v>23</v>
      </c>
      <c r="H565">
        <v>66.849999999999994</v>
      </c>
      <c r="I565">
        <v>2200.4299999999998</v>
      </c>
      <c r="J565" t="s">
        <v>15</v>
      </c>
      <c r="K565" t="str">
        <f>IF(D565&lt;=12,"0-12 Months",IF(D565&lt;=24,"13-24 Months",IF(D565&lt;=48,"25-48 Months","49+ Months")))</f>
        <v>25-48 Months</v>
      </c>
      <c r="L565">
        <f>IF(Table1346[[#This Row],[Churn]]="Yes",1,0)</f>
        <v>0</v>
      </c>
    </row>
    <row r="566" spans="1:12" x14ac:dyDescent="0.35">
      <c r="A566" t="s">
        <v>588</v>
      </c>
      <c r="B566" t="s">
        <v>17</v>
      </c>
      <c r="C566">
        <v>39</v>
      </c>
      <c r="D566">
        <v>39</v>
      </c>
      <c r="E566" t="s">
        <v>21</v>
      </c>
      <c r="F566" t="s">
        <v>29</v>
      </c>
      <c r="G566" t="s">
        <v>14</v>
      </c>
      <c r="H566">
        <v>98.63</v>
      </c>
      <c r="I566">
        <v>3704.82</v>
      </c>
      <c r="J566" t="s">
        <v>15</v>
      </c>
      <c r="K566" t="str">
        <f>IF(D566&lt;=12,"0-12 Months",IF(D566&lt;=24,"13-24 Months",IF(D566&lt;=48,"25-48 Months","49+ Months")))</f>
        <v>25-48 Months</v>
      </c>
      <c r="L566">
        <f>IF(Table1346[[#This Row],[Churn]]="Yes",1,0)</f>
        <v>0</v>
      </c>
    </row>
    <row r="567" spans="1:12" x14ac:dyDescent="0.35">
      <c r="A567" t="s">
        <v>589</v>
      </c>
      <c r="B567" t="s">
        <v>17</v>
      </c>
      <c r="C567">
        <v>43</v>
      </c>
      <c r="D567">
        <v>36</v>
      </c>
      <c r="E567" t="s">
        <v>12</v>
      </c>
      <c r="F567" t="s">
        <v>29</v>
      </c>
      <c r="G567" t="s">
        <v>14</v>
      </c>
      <c r="H567">
        <v>70.37</v>
      </c>
      <c r="I567">
        <v>2594.89</v>
      </c>
      <c r="J567" t="s">
        <v>15</v>
      </c>
      <c r="K567" t="str">
        <f>IF(D567&lt;=12,"0-12 Months",IF(D567&lt;=24,"13-24 Months",IF(D567&lt;=48,"25-48 Months","49+ Months")))</f>
        <v>25-48 Months</v>
      </c>
      <c r="L567">
        <f>IF(Table1346[[#This Row],[Churn]]="Yes",1,0)</f>
        <v>0</v>
      </c>
    </row>
    <row r="568" spans="1:12" x14ac:dyDescent="0.35">
      <c r="A568" t="s">
        <v>590</v>
      </c>
      <c r="B568" t="s">
        <v>17</v>
      </c>
      <c r="C568">
        <v>45</v>
      </c>
      <c r="D568">
        <v>36</v>
      </c>
      <c r="E568" t="s">
        <v>21</v>
      </c>
      <c r="F568" t="s">
        <v>33</v>
      </c>
      <c r="G568" t="s">
        <v>14</v>
      </c>
      <c r="H568">
        <v>132.25</v>
      </c>
      <c r="I568">
        <v>4494.25</v>
      </c>
      <c r="J568" t="s">
        <v>15</v>
      </c>
      <c r="K568" t="str">
        <f>IF(D568&lt;=12,"0-12 Months",IF(D568&lt;=24,"13-24 Months",IF(D568&lt;=48,"25-48 Months","49+ Months")))</f>
        <v>25-48 Months</v>
      </c>
      <c r="L568">
        <f>IF(Table1346[[#This Row],[Churn]]="Yes",1,0)</f>
        <v>0</v>
      </c>
    </row>
    <row r="569" spans="1:12" x14ac:dyDescent="0.35">
      <c r="A569" t="s">
        <v>591</v>
      </c>
      <c r="B569" t="s">
        <v>17</v>
      </c>
      <c r="C569">
        <v>67</v>
      </c>
      <c r="D569">
        <v>3</v>
      </c>
      <c r="E569" t="s">
        <v>12</v>
      </c>
      <c r="F569" t="s">
        <v>22</v>
      </c>
      <c r="G569" t="s">
        <v>23</v>
      </c>
      <c r="H569">
        <v>60.14</v>
      </c>
      <c r="I569">
        <v>178.43</v>
      </c>
      <c r="J569" t="s">
        <v>15</v>
      </c>
      <c r="K569" t="str">
        <f>IF(D569&lt;=12,"0-12 Months",IF(D569&lt;=24,"13-24 Months",IF(D569&lt;=48,"25-48 Months","49+ Months")))</f>
        <v>0-12 Months</v>
      </c>
      <c r="L569">
        <f>IF(Table1346[[#This Row],[Churn]]="Yes",1,0)</f>
        <v>0</v>
      </c>
    </row>
    <row r="570" spans="1:12" x14ac:dyDescent="0.35">
      <c r="A570" t="s">
        <v>592</v>
      </c>
      <c r="B570" t="s">
        <v>11</v>
      </c>
      <c r="C570">
        <v>38</v>
      </c>
      <c r="D570">
        <v>8</v>
      </c>
      <c r="E570" t="s">
        <v>12</v>
      </c>
      <c r="F570" t="s">
        <v>22</v>
      </c>
      <c r="G570" t="s">
        <v>14</v>
      </c>
      <c r="H570">
        <v>58.16</v>
      </c>
      <c r="I570">
        <v>502.45</v>
      </c>
      <c r="J570" t="s">
        <v>15</v>
      </c>
      <c r="K570" t="str">
        <f>IF(D570&lt;=12,"0-12 Months",IF(D570&lt;=24,"13-24 Months",IF(D570&lt;=48,"25-48 Months","49+ Months")))</f>
        <v>0-12 Months</v>
      </c>
      <c r="L570">
        <f>IF(Table1346[[#This Row],[Churn]]="Yes",1,0)</f>
        <v>0</v>
      </c>
    </row>
    <row r="571" spans="1:12" x14ac:dyDescent="0.35">
      <c r="A571" t="s">
        <v>593</v>
      </c>
      <c r="B571" t="s">
        <v>11</v>
      </c>
      <c r="C571">
        <v>66</v>
      </c>
      <c r="D571">
        <v>70</v>
      </c>
      <c r="E571" t="s">
        <v>12</v>
      </c>
      <c r="F571" t="s">
        <v>29</v>
      </c>
      <c r="G571" t="s">
        <v>23</v>
      </c>
      <c r="H571">
        <v>54.58</v>
      </c>
      <c r="I571">
        <v>3540.58</v>
      </c>
      <c r="J571" t="s">
        <v>27</v>
      </c>
      <c r="K571" t="str">
        <f>IF(D571&lt;=12,"0-12 Months",IF(D571&lt;=24,"13-24 Months",IF(D571&lt;=48,"25-48 Months","49+ Months")))</f>
        <v>49+ Months</v>
      </c>
      <c r="L571">
        <f>IF(Table1346[[#This Row],[Churn]]="Yes",1,0)</f>
        <v>1</v>
      </c>
    </row>
    <row r="572" spans="1:12" x14ac:dyDescent="0.35">
      <c r="A572" t="s">
        <v>594</v>
      </c>
      <c r="B572" t="s">
        <v>17</v>
      </c>
      <c r="C572">
        <v>24</v>
      </c>
      <c r="D572">
        <v>41</v>
      </c>
      <c r="E572" t="s">
        <v>21</v>
      </c>
      <c r="F572" t="s">
        <v>13</v>
      </c>
      <c r="G572" t="s">
        <v>19</v>
      </c>
      <c r="H572">
        <v>63.26</v>
      </c>
      <c r="I572">
        <v>2534.89</v>
      </c>
      <c r="J572" t="s">
        <v>15</v>
      </c>
      <c r="K572" t="str">
        <f>IF(D572&lt;=12,"0-12 Months",IF(D572&lt;=24,"13-24 Months",IF(D572&lt;=48,"25-48 Months","49+ Months")))</f>
        <v>25-48 Months</v>
      </c>
      <c r="L572">
        <f>IF(Table1346[[#This Row],[Churn]]="Yes",1,0)</f>
        <v>0</v>
      </c>
    </row>
    <row r="573" spans="1:12" x14ac:dyDescent="0.35">
      <c r="A573" t="s">
        <v>595</v>
      </c>
      <c r="B573" t="s">
        <v>11</v>
      </c>
      <c r="C573">
        <v>34</v>
      </c>
      <c r="D573">
        <v>68</v>
      </c>
      <c r="E573" t="s">
        <v>21</v>
      </c>
      <c r="F573" t="s">
        <v>22</v>
      </c>
      <c r="G573" t="s">
        <v>14</v>
      </c>
      <c r="H573">
        <v>92.46</v>
      </c>
      <c r="I573">
        <v>6691.1</v>
      </c>
      <c r="J573" t="s">
        <v>15</v>
      </c>
      <c r="K573" t="str">
        <f>IF(D573&lt;=12,"0-12 Months",IF(D573&lt;=24,"13-24 Months",IF(D573&lt;=48,"25-48 Months","49+ Months")))</f>
        <v>49+ Months</v>
      </c>
      <c r="L573">
        <f>IF(Table1346[[#This Row],[Churn]]="Yes",1,0)</f>
        <v>0</v>
      </c>
    </row>
    <row r="574" spans="1:12" x14ac:dyDescent="0.35">
      <c r="A574" t="s">
        <v>596</v>
      </c>
      <c r="B574" t="s">
        <v>11</v>
      </c>
      <c r="C574">
        <v>37</v>
      </c>
      <c r="D574">
        <v>13</v>
      </c>
      <c r="E574" t="s">
        <v>21</v>
      </c>
      <c r="F574" t="s">
        <v>29</v>
      </c>
      <c r="G574" t="s">
        <v>14</v>
      </c>
      <c r="H574">
        <v>111.91</v>
      </c>
      <c r="I574">
        <v>1591.44</v>
      </c>
      <c r="J574" t="s">
        <v>15</v>
      </c>
      <c r="K574" t="str">
        <f>IF(D574&lt;=12,"0-12 Months",IF(D574&lt;=24,"13-24 Months",IF(D574&lt;=48,"25-48 Months","49+ Months")))</f>
        <v>13-24 Months</v>
      </c>
      <c r="L574">
        <f>IF(Table1346[[#This Row],[Churn]]="Yes",1,0)</f>
        <v>0</v>
      </c>
    </row>
    <row r="575" spans="1:12" x14ac:dyDescent="0.35">
      <c r="A575" t="s">
        <v>597</v>
      </c>
      <c r="B575" t="s">
        <v>17</v>
      </c>
      <c r="C575">
        <v>58</v>
      </c>
      <c r="D575">
        <v>49</v>
      </c>
      <c r="E575" t="s">
        <v>12</v>
      </c>
      <c r="F575" t="s">
        <v>29</v>
      </c>
      <c r="G575" t="s">
        <v>23</v>
      </c>
      <c r="H575">
        <v>106.13</v>
      </c>
      <c r="I575">
        <v>5152.45</v>
      </c>
      <c r="J575" t="s">
        <v>27</v>
      </c>
      <c r="K575" t="str">
        <f>IF(D575&lt;=12,"0-12 Months",IF(D575&lt;=24,"13-24 Months",IF(D575&lt;=48,"25-48 Months","49+ Months")))</f>
        <v>49+ Months</v>
      </c>
      <c r="L575">
        <f>IF(Table1346[[#This Row],[Churn]]="Yes",1,0)</f>
        <v>1</v>
      </c>
    </row>
    <row r="576" spans="1:12" x14ac:dyDescent="0.35">
      <c r="A576" t="s">
        <v>598</v>
      </c>
      <c r="B576" t="s">
        <v>11</v>
      </c>
      <c r="C576">
        <v>66</v>
      </c>
      <c r="D576">
        <v>60</v>
      </c>
      <c r="E576" t="s">
        <v>12</v>
      </c>
      <c r="F576" t="s">
        <v>29</v>
      </c>
      <c r="G576" t="s">
        <v>23</v>
      </c>
      <c r="H576">
        <v>125</v>
      </c>
      <c r="I576">
        <v>7510.5</v>
      </c>
      <c r="J576" t="s">
        <v>27</v>
      </c>
      <c r="K576" t="str">
        <f>IF(D576&lt;=12,"0-12 Months",IF(D576&lt;=24,"13-24 Months",IF(D576&lt;=48,"25-48 Months","49+ Months")))</f>
        <v>49+ Months</v>
      </c>
      <c r="L576">
        <f>IF(Table1346[[#This Row],[Churn]]="Yes",1,0)</f>
        <v>1</v>
      </c>
    </row>
    <row r="577" spans="1:12" x14ac:dyDescent="0.35">
      <c r="A577" t="s">
        <v>599</v>
      </c>
      <c r="B577" t="s">
        <v>17</v>
      </c>
      <c r="C577">
        <v>37</v>
      </c>
      <c r="D577">
        <v>2</v>
      </c>
      <c r="E577" t="s">
        <v>18</v>
      </c>
      <c r="F577" t="s">
        <v>29</v>
      </c>
      <c r="G577" t="s">
        <v>14</v>
      </c>
      <c r="H577">
        <v>135.16999999999999</v>
      </c>
      <c r="I577">
        <v>274.24</v>
      </c>
      <c r="J577" t="s">
        <v>15</v>
      </c>
      <c r="K577" t="str">
        <f>IF(D577&lt;=12,"0-12 Months",IF(D577&lt;=24,"13-24 Months",IF(D577&lt;=48,"25-48 Months","49+ Months")))</f>
        <v>0-12 Months</v>
      </c>
      <c r="L577">
        <f>IF(Table1346[[#This Row],[Churn]]="Yes",1,0)</f>
        <v>0</v>
      </c>
    </row>
    <row r="578" spans="1:12" x14ac:dyDescent="0.35">
      <c r="A578" t="s">
        <v>600</v>
      </c>
      <c r="B578" t="s">
        <v>11</v>
      </c>
      <c r="C578">
        <v>39</v>
      </c>
      <c r="D578">
        <v>60</v>
      </c>
      <c r="E578" t="s">
        <v>21</v>
      </c>
      <c r="F578" t="s">
        <v>33</v>
      </c>
      <c r="G578" t="s">
        <v>14</v>
      </c>
      <c r="H578">
        <v>126.09</v>
      </c>
      <c r="I578">
        <v>8219.58</v>
      </c>
      <c r="J578" t="s">
        <v>27</v>
      </c>
      <c r="K578" t="str">
        <f>IF(D578&lt;=12,"0-12 Months",IF(D578&lt;=24,"13-24 Months",IF(D578&lt;=48,"25-48 Months","49+ Months")))</f>
        <v>49+ Months</v>
      </c>
      <c r="L578">
        <f>IF(Table1346[[#This Row],[Churn]]="Yes",1,0)</f>
        <v>1</v>
      </c>
    </row>
    <row r="579" spans="1:12" x14ac:dyDescent="0.35">
      <c r="A579" t="s">
        <v>601</v>
      </c>
      <c r="B579" t="s">
        <v>17</v>
      </c>
      <c r="C579">
        <v>45</v>
      </c>
      <c r="D579">
        <v>5</v>
      </c>
      <c r="E579" t="s">
        <v>12</v>
      </c>
      <c r="F579" t="s">
        <v>13</v>
      </c>
      <c r="G579" t="s">
        <v>14</v>
      </c>
      <c r="H579">
        <v>22.46</v>
      </c>
      <c r="I579">
        <v>120.35</v>
      </c>
      <c r="J579" t="s">
        <v>27</v>
      </c>
      <c r="K579" t="str">
        <f>IF(D579&lt;=12,"0-12 Months",IF(D579&lt;=24,"13-24 Months",IF(D579&lt;=48,"25-48 Months","49+ Months")))</f>
        <v>0-12 Months</v>
      </c>
      <c r="L579">
        <f>IF(Table1346[[#This Row],[Churn]]="Yes",1,0)</f>
        <v>1</v>
      </c>
    </row>
    <row r="580" spans="1:12" x14ac:dyDescent="0.35">
      <c r="A580" t="s">
        <v>602</v>
      </c>
      <c r="B580" t="s">
        <v>17</v>
      </c>
      <c r="C580">
        <v>57</v>
      </c>
      <c r="D580">
        <v>44</v>
      </c>
      <c r="E580" t="s">
        <v>18</v>
      </c>
      <c r="F580" t="s">
        <v>33</v>
      </c>
      <c r="G580" t="s">
        <v>23</v>
      </c>
      <c r="H580">
        <v>115.67</v>
      </c>
      <c r="I580">
        <v>4754.1899999999996</v>
      </c>
      <c r="J580" t="s">
        <v>15</v>
      </c>
      <c r="K580" t="str">
        <f>IF(D580&lt;=12,"0-12 Months",IF(D580&lt;=24,"13-24 Months",IF(D580&lt;=48,"25-48 Months","49+ Months")))</f>
        <v>25-48 Months</v>
      </c>
      <c r="L580">
        <f>IF(Table1346[[#This Row],[Churn]]="Yes",1,0)</f>
        <v>0</v>
      </c>
    </row>
    <row r="581" spans="1:12" x14ac:dyDescent="0.35">
      <c r="A581" t="s">
        <v>603</v>
      </c>
      <c r="B581" t="s">
        <v>17</v>
      </c>
      <c r="C581">
        <v>66</v>
      </c>
      <c r="D581">
        <v>27</v>
      </c>
      <c r="E581" t="s">
        <v>12</v>
      </c>
      <c r="F581" t="s">
        <v>13</v>
      </c>
      <c r="G581" t="s">
        <v>23</v>
      </c>
      <c r="H581">
        <v>47.09</v>
      </c>
      <c r="I581">
        <v>1255.3499999999999</v>
      </c>
      <c r="J581" t="s">
        <v>15</v>
      </c>
      <c r="K581" t="str">
        <f>IF(D581&lt;=12,"0-12 Months",IF(D581&lt;=24,"13-24 Months",IF(D581&lt;=48,"25-48 Months","49+ Months")))</f>
        <v>25-48 Months</v>
      </c>
      <c r="L581">
        <f>IF(Table1346[[#This Row],[Churn]]="Yes",1,0)</f>
        <v>0</v>
      </c>
    </row>
    <row r="582" spans="1:12" x14ac:dyDescent="0.35">
      <c r="A582" t="s">
        <v>604</v>
      </c>
      <c r="B582" t="s">
        <v>17</v>
      </c>
      <c r="C582">
        <v>24</v>
      </c>
      <c r="D582">
        <v>32</v>
      </c>
      <c r="E582" t="s">
        <v>12</v>
      </c>
      <c r="F582" t="s">
        <v>22</v>
      </c>
      <c r="G582" t="s">
        <v>19</v>
      </c>
      <c r="H582">
        <v>83.07</v>
      </c>
      <c r="I582">
        <v>1184.3699999999999</v>
      </c>
      <c r="J582" t="s">
        <v>15</v>
      </c>
      <c r="K582" t="str">
        <f>IF(D582&lt;=12,"0-12 Months",IF(D582&lt;=24,"13-24 Months",IF(D582&lt;=48,"25-48 Months","49+ Months")))</f>
        <v>25-48 Months</v>
      </c>
      <c r="L582">
        <f>IF(Table1346[[#This Row],[Churn]]="Yes",1,0)</f>
        <v>0</v>
      </c>
    </row>
    <row r="583" spans="1:12" x14ac:dyDescent="0.35">
      <c r="A583" t="s">
        <v>605</v>
      </c>
      <c r="B583" t="s">
        <v>11</v>
      </c>
      <c r="C583">
        <v>18</v>
      </c>
      <c r="D583">
        <v>21</v>
      </c>
      <c r="E583" t="s">
        <v>12</v>
      </c>
      <c r="F583" t="s">
        <v>29</v>
      </c>
      <c r="G583" t="s">
        <v>19</v>
      </c>
      <c r="H583">
        <v>103</v>
      </c>
      <c r="I583">
        <v>2288.06</v>
      </c>
      <c r="J583" t="s">
        <v>15</v>
      </c>
      <c r="K583" t="str">
        <f>IF(D583&lt;=12,"0-12 Months",IF(D583&lt;=24,"13-24 Months",IF(D583&lt;=48,"25-48 Months","49+ Months")))</f>
        <v>13-24 Months</v>
      </c>
      <c r="L583">
        <f>IF(Table1346[[#This Row],[Churn]]="Yes",1,0)</f>
        <v>0</v>
      </c>
    </row>
    <row r="584" spans="1:12" x14ac:dyDescent="0.35">
      <c r="A584" t="s">
        <v>606</v>
      </c>
      <c r="B584" t="s">
        <v>17</v>
      </c>
      <c r="C584">
        <v>49</v>
      </c>
      <c r="D584">
        <v>8</v>
      </c>
      <c r="E584" t="s">
        <v>21</v>
      </c>
      <c r="F584" t="s">
        <v>13</v>
      </c>
      <c r="G584" t="s">
        <v>14</v>
      </c>
      <c r="H584">
        <v>61.57</v>
      </c>
      <c r="I584">
        <v>502.7</v>
      </c>
      <c r="J584" t="s">
        <v>15</v>
      </c>
      <c r="K584" t="str">
        <f>IF(D584&lt;=12,"0-12 Months",IF(D584&lt;=24,"13-24 Months",IF(D584&lt;=48,"25-48 Months","49+ Months")))</f>
        <v>0-12 Months</v>
      </c>
      <c r="L584">
        <f>IF(Table1346[[#This Row],[Churn]]="Yes",1,0)</f>
        <v>0</v>
      </c>
    </row>
    <row r="585" spans="1:12" x14ac:dyDescent="0.35">
      <c r="A585" t="s">
        <v>607</v>
      </c>
      <c r="B585" t="s">
        <v>17</v>
      </c>
      <c r="C585">
        <v>30</v>
      </c>
      <c r="D585">
        <v>72</v>
      </c>
      <c r="E585" t="s">
        <v>21</v>
      </c>
      <c r="F585" t="s">
        <v>29</v>
      </c>
      <c r="G585" t="s">
        <v>14</v>
      </c>
      <c r="H585">
        <v>27.43</v>
      </c>
      <c r="I585">
        <v>2035.88</v>
      </c>
      <c r="J585" t="s">
        <v>15</v>
      </c>
      <c r="K585" t="str">
        <f>IF(D585&lt;=12,"0-12 Months",IF(D585&lt;=24,"13-24 Months",IF(D585&lt;=48,"25-48 Months","49+ Months")))</f>
        <v>49+ Months</v>
      </c>
      <c r="L585">
        <f>IF(Table1346[[#This Row],[Churn]]="Yes",1,0)</f>
        <v>0</v>
      </c>
    </row>
    <row r="586" spans="1:12" x14ac:dyDescent="0.35">
      <c r="A586" t="s">
        <v>608</v>
      </c>
      <c r="B586" t="s">
        <v>17</v>
      </c>
      <c r="C586">
        <v>47</v>
      </c>
      <c r="D586">
        <v>50</v>
      </c>
      <c r="E586" t="s">
        <v>12</v>
      </c>
      <c r="F586" t="s">
        <v>29</v>
      </c>
      <c r="G586" t="s">
        <v>14</v>
      </c>
      <c r="H586">
        <v>37.89</v>
      </c>
      <c r="I586">
        <v>2083.27</v>
      </c>
      <c r="J586" t="s">
        <v>15</v>
      </c>
      <c r="K586" t="str">
        <f>IF(D586&lt;=12,"0-12 Months",IF(D586&lt;=24,"13-24 Months",IF(D586&lt;=48,"25-48 Months","49+ Months")))</f>
        <v>49+ Months</v>
      </c>
      <c r="L586">
        <f>IF(Table1346[[#This Row],[Churn]]="Yes",1,0)</f>
        <v>0</v>
      </c>
    </row>
    <row r="587" spans="1:12" x14ac:dyDescent="0.35">
      <c r="A587" t="s">
        <v>609</v>
      </c>
      <c r="B587" t="s">
        <v>11</v>
      </c>
      <c r="C587">
        <v>40</v>
      </c>
      <c r="D587">
        <v>67</v>
      </c>
      <c r="E587" t="s">
        <v>18</v>
      </c>
      <c r="F587" t="s">
        <v>13</v>
      </c>
      <c r="G587" t="s">
        <v>14</v>
      </c>
      <c r="H587">
        <v>20.12</v>
      </c>
      <c r="I587">
        <v>1233.45</v>
      </c>
      <c r="J587" t="s">
        <v>15</v>
      </c>
      <c r="K587" t="str">
        <f>IF(D587&lt;=12,"0-12 Months",IF(D587&lt;=24,"13-24 Months",IF(D587&lt;=48,"25-48 Months","49+ Months")))</f>
        <v>49+ Months</v>
      </c>
      <c r="L587">
        <f>IF(Table1346[[#This Row],[Churn]]="Yes",1,0)</f>
        <v>0</v>
      </c>
    </row>
    <row r="588" spans="1:12" x14ac:dyDescent="0.35">
      <c r="A588" t="s">
        <v>610</v>
      </c>
      <c r="B588" t="s">
        <v>17</v>
      </c>
      <c r="C588">
        <v>68</v>
      </c>
      <c r="D588">
        <v>44</v>
      </c>
      <c r="E588" t="s">
        <v>12</v>
      </c>
      <c r="F588" t="s">
        <v>33</v>
      </c>
      <c r="G588" t="s">
        <v>23</v>
      </c>
      <c r="H588">
        <v>137.41999999999999</v>
      </c>
      <c r="I588">
        <v>5711.52</v>
      </c>
      <c r="J588" t="s">
        <v>15</v>
      </c>
      <c r="K588" t="str">
        <f>IF(D588&lt;=12,"0-12 Months",IF(D588&lt;=24,"13-24 Months",IF(D588&lt;=48,"25-48 Months","49+ Months")))</f>
        <v>25-48 Months</v>
      </c>
      <c r="L588">
        <f>IF(Table1346[[#This Row],[Churn]]="Yes",1,0)</f>
        <v>0</v>
      </c>
    </row>
    <row r="589" spans="1:12" x14ac:dyDescent="0.35">
      <c r="A589" t="s">
        <v>611</v>
      </c>
      <c r="B589" t="s">
        <v>11</v>
      </c>
      <c r="C589">
        <v>36</v>
      </c>
      <c r="D589">
        <v>58</v>
      </c>
      <c r="E589" t="s">
        <v>12</v>
      </c>
      <c r="F589" t="s">
        <v>22</v>
      </c>
      <c r="G589" t="s">
        <v>14</v>
      </c>
      <c r="H589">
        <v>23.2</v>
      </c>
      <c r="I589">
        <v>1320.81</v>
      </c>
      <c r="J589" t="s">
        <v>15</v>
      </c>
      <c r="K589" t="str">
        <f>IF(D589&lt;=12,"0-12 Months",IF(D589&lt;=24,"13-24 Months",IF(D589&lt;=48,"25-48 Months","49+ Months")))</f>
        <v>49+ Months</v>
      </c>
      <c r="L589">
        <f>IF(Table1346[[#This Row],[Churn]]="Yes",1,0)</f>
        <v>0</v>
      </c>
    </row>
    <row r="590" spans="1:12" x14ac:dyDescent="0.35">
      <c r="A590" t="s">
        <v>612</v>
      </c>
      <c r="B590" t="s">
        <v>17</v>
      </c>
      <c r="C590">
        <v>49</v>
      </c>
      <c r="D590">
        <v>3</v>
      </c>
      <c r="E590" t="s">
        <v>12</v>
      </c>
      <c r="F590" t="s">
        <v>29</v>
      </c>
      <c r="G590" t="s">
        <v>14</v>
      </c>
      <c r="H590">
        <v>47.23</v>
      </c>
      <c r="I590">
        <v>137.38</v>
      </c>
      <c r="J590" t="s">
        <v>15</v>
      </c>
      <c r="K590" t="str">
        <f>IF(D590&lt;=12,"0-12 Months",IF(D590&lt;=24,"13-24 Months",IF(D590&lt;=48,"25-48 Months","49+ Months")))</f>
        <v>0-12 Months</v>
      </c>
      <c r="L590">
        <f>IF(Table1346[[#This Row],[Churn]]="Yes",1,0)</f>
        <v>0</v>
      </c>
    </row>
    <row r="591" spans="1:12" x14ac:dyDescent="0.35">
      <c r="A591" t="s">
        <v>613</v>
      </c>
      <c r="B591" t="s">
        <v>11</v>
      </c>
      <c r="C591">
        <v>47</v>
      </c>
      <c r="D591">
        <v>70</v>
      </c>
      <c r="E591" t="s">
        <v>12</v>
      </c>
      <c r="F591" t="s">
        <v>29</v>
      </c>
      <c r="G591" t="s">
        <v>14</v>
      </c>
      <c r="H591">
        <v>74.11</v>
      </c>
      <c r="I591">
        <v>4691.3900000000003</v>
      </c>
      <c r="J591" t="s">
        <v>15</v>
      </c>
      <c r="K591" t="str">
        <f>IF(D591&lt;=12,"0-12 Months",IF(D591&lt;=24,"13-24 Months",IF(D591&lt;=48,"25-48 Months","49+ Months")))</f>
        <v>49+ Months</v>
      </c>
      <c r="L591">
        <f>IF(Table1346[[#This Row],[Churn]]="Yes",1,0)</f>
        <v>0</v>
      </c>
    </row>
    <row r="592" spans="1:12" x14ac:dyDescent="0.35">
      <c r="A592" t="s">
        <v>614</v>
      </c>
      <c r="B592" t="s">
        <v>11</v>
      </c>
      <c r="C592">
        <v>46</v>
      </c>
      <c r="D592">
        <v>2</v>
      </c>
      <c r="E592" t="s">
        <v>12</v>
      </c>
      <c r="F592" t="s">
        <v>29</v>
      </c>
      <c r="G592" t="s">
        <v>14</v>
      </c>
      <c r="H592">
        <v>66.349999999999994</v>
      </c>
      <c r="I592">
        <v>121.87</v>
      </c>
      <c r="J592" t="s">
        <v>27</v>
      </c>
      <c r="K592" t="str">
        <f>IF(D592&lt;=12,"0-12 Months",IF(D592&lt;=24,"13-24 Months",IF(D592&lt;=48,"25-48 Months","49+ Months")))</f>
        <v>0-12 Months</v>
      </c>
      <c r="L592">
        <f>IF(Table1346[[#This Row],[Churn]]="Yes",1,0)</f>
        <v>1</v>
      </c>
    </row>
    <row r="593" spans="1:12" x14ac:dyDescent="0.35">
      <c r="A593" t="s">
        <v>615</v>
      </c>
      <c r="B593" t="s">
        <v>17</v>
      </c>
      <c r="C593">
        <v>66</v>
      </c>
      <c r="D593">
        <v>44</v>
      </c>
      <c r="E593" t="s">
        <v>21</v>
      </c>
      <c r="F593" t="s">
        <v>13</v>
      </c>
      <c r="G593" t="s">
        <v>23</v>
      </c>
      <c r="H593">
        <v>138.52000000000001</v>
      </c>
      <c r="I593">
        <v>6315.46</v>
      </c>
      <c r="J593" t="s">
        <v>27</v>
      </c>
      <c r="K593" t="str">
        <f>IF(D593&lt;=12,"0-12 Months",IF(D593&lt;=24,"13-24 Months",IF(D593&lt;=48,"25-48 Months","49+ Months")))</f>
        <v>25-48 Months</v>
      </c>
      <c r="L593">
        <f>IF(Table1346[[#This Row],[Churn]]="Yes",1,0)</f>
        <v>1</v>
      </c>
    </row>
    <row r="594" spans="1:12" x14ac:dyDescent="0.35">
      <c r="A594" t="s">
        <v>616</v>
      </c>
      <c r="B594" t="s">
        <v>11</v>
      </c>
      <c r="C594">
        <v>62</v>
      </c>
      <c r="D594">
        <v>2</v>
      </c>
      <c r="E594" t="s">
        <v>18</v>
      </c>
      <c r="F594" t="s">
        <v>22</v>
      </c>
      <c r="G594" t="s">
        <v>23</v>
      </c>
      <c r="H594">
        <v>25.24</v>
      </c>
      <c r="I594">
        <v>54.31</v>
      </c>
      <c r="J594" t="s">
        <v>15</v>
      </c>
      <c r="K594" t="str">
        <f>IF(D594&lt;=12,"0-12 Months",IF(D594&lt;=24,"13-24 Months",IF(D594&lt;=48,"25-48 Months","49+ Months")))</f>
        <v>0-12 Months</v>
      </c>
      <c r="L594">
        <f>IF(Table1346[[#This Row],[Churn]]="Yes",1,0)</f>
        <v>0</v>
      </c>
    </row>
    <row r="595" spans="1:12" x14ac:dyDescent="0.35">
      <c r="A595" t="s">
        <v>617</v>
      </c>
      <c r="B595" t="s">
        <v>17</v>
      </c>
      <c r="C595">
        <v>46</v>
      </c>
      <c r="D595">
        <v>35</v>
      </c>
      <c r="E595" t="s">
        <v>12</v>
      </c>
      <c r="F595" t="s">
        <v>33</v>
      </c>
      <c r="G595" t="s">
        <v>14</v>
      </c>
      <c r="H595">
        <v>86.59</v>
      </c>
      <c r="I595">
        <v>3039.27</v>
      </c>
      <c r="J595" t="s">
        <v>15</v>
      </c>
      <c r="K595" t="str">
        <f>IF(D595&lt;=12,"0-12 Months",IF(D595&lt;=24,"13-24 Months",IF(D595&lt;=48,"25-48 Months","49+ Months")))</f>
        <v>25-48 Months</v>
      </c>
      <c r="L595">
        <f>IF(Table1346[[#This Row],[Churn]]="Yes",1,0)</f>
        <v>0</v>
      </c>
    </row>
    <row r="596" spans="1:12" x14ac:dyDescent="0.35">
      <c r="A596" t="s">
        <v>618</v>
      </c>
      <c r="B596" t="s">
        <v>17</v>
      </c>
      <c r="C596">
        <v>47</v>
      </c>
      <c r="D596">
        <v>30</v>
      </c>
      <c r="E596" t="s">
        <v>12</v>
      </c>
      <c r="F596" t="s">
        <v>29</v>
      </c>
      <c r="G596" t="s">
        <v>14</v>
      </c>
      <c r="H596">
        <v>108.46</v>
      </c>
      <c r="I596">
        <v>3279.3</v>
      </c>
      <c r="J596" t="s">
        <v>15</v>
      </c>
      <c r="K596" t="str">
        <f>IF(D596&lt;=12,"0-12 Months",IF(D596&lt;=24,"13-24 Months",IF(D596&lt;=48,"25-48 Months","49+ Months")))</f>
        <v>25-48 Months</v>
      </c>
      <c r="L596">
        <f>IF(Table1346[[#This Row],[Churn]]="Yes",1,0)</f>
        <v>0</v>
      </c>
    </row>
    <row r="597" spans="1:12" x14ac:dyDescent="0.35">
      <c r="A597" t="s">
        <v>619</v>
      </c>
      <c r="B597" t="s">
        <v>17</v>
      </c>
      <c r="C597">
        <v>33</v>
      </c>
      <c r="D597">
        <v>8</v>
      </c>
      <c r="E597" t="s">
        <v>12</v>
      </c>
      <c r="F597" t="s">
        <v>13</v>
      </c>
      <c r="G597" t="s">
        <v>14</v>
      </c>
      <c r="H597">
        <v>141.12</v>
      </c>
      <c r="I597">
        <v>1073.6600000000001</v>
      </c>
      <c r="J597" t="s">
        <v>27</v>
      </c>
      <c r="K597" t="str">
        <f>IF(D597&lt;=12,"0-12 Months",IF(D597&lt;=24,"13-24 Months",IF(D597&lt;=48,"25-48 Months","49+ Months")))</f>
        <v>0-12 Months</v>
      </c>
      <c r="L597">
        <f>IF(Table1346[[#This Row],[Churn]]="Yes",1,0)</f>
        <v>1</v>
      </c>
    </row>
    <row r="598" spans="1:12" x14ac:dyDescent="0.35">
      <c r="A598" t="s">
        <v>620</v>
      </c>
      <c r="B598" t="s">
        <v>11</v>
      </c>
      <c r="C598">
        <v>57</v>
      </c>
      <c r="D598">
        <v>22</v>
      </c>
      <c r="E598" t="s">
        <v>12</v>
      </c>
      <c r="F598" t="s">
        <v>13</v>
      </c>
      <c r="G598" t="s">
        <v>23</v>
      </c>
      <c r="H598">
        <v>100.65</v>
      </c>
      <c r="I598">
        <v>2332.9299999999998</v>
      </c>
      <c r="J598" t="s">
        <v>15</v>
      </c>
      <c r="K598" t="str">
        <f>IF(D598&lt;=12,"0-12 Months",IF(D598&lt;=24,"13-24 Months",IF(D598&lt;=48,"25-48 Months","49+ Months")))</f>
        <v>13-24 Months</v>
      </c>
      <c r="L598">
        <f>IF(Table1346[[#This Row],[Churn]]="Yes",1,0)</f>
        <v>0</v>
      </c>
    </row>
    <row r="599" spans="1:12" x14ac:dyDescent="0.35">
      <c r="A599" t="s">
        <v>621</v>
      </c>
      <c r="B599" t="s">
        <v>11</v>
      </c>
      <c r="C599">
        <v>36</v>
      </c>
      <c r="D599">
        <v>44</v>
      </c>
      <c r="E599" t="s">
        <v>12</v>
      </c>
      <c r="F599" t="s">
        <v>22</v>
      </c>
      <c r="G599" t="s">
        <v>14</v>
      </c>
      <c r="H599">
        <v>124.49</v>
      </c>
      <c r="I599">
        <v>5753.4</v>
      </c>
      <c r="J599" t="s">
        <v>15</v>
      </c>
      <c r="K599" t="str">
        <f>IF(D599&lt;=12,"0-12 Months",IF(D599&lt;=24,"13-24 Months",IF(D599&lt;=48,"25-48 Months","49+ Months")))</f>
        <v>25-48 Months</v>
      </c>
      <c r="L599">
        <f>IF(Table1346[[#This Row],[Churn]]="Yes",1,0)</f>
        <v>0</v>
      </c>
    </row>
    <row r="600" spans="1:12" x14ac:dyDescent="0.35">
      <c r="A600" t="s">
        <v>622</v>
      </c>
      <c r="B600" t="s">
        <v>17</v>
      </c>
      <c r="C600">
        <v>35</v>
      </c>
      <c r="D600">
        <v>58</v>
      </c>
      <c r="E600" t="s">
        <v>21</v>
      </c>
      <c r="F600" t="s">
        <v>13</v>
      </c>
      <c r="G600" t="s">
        <v>14</v>
      </c>
      <c r="H600">
        <v>30.88</v>
      </c>
      <c r="I600">
        <v>1822.69</v>
      </c>
      <c r="J600" t="s">
        <v>15</v>
      </c>
      <c r="K600" t="str">
        <f>IF(D600&lt;=12,"0-12 Months",IF(D600&lt;=24,"13-24 Months",IF(D600&lt;=48,"25-48 Months","49+ Months")))</f>
        <v>49+ Months</v>
      </c>
      <c r="L600">
        <f>IF(Table1346[[#This Row],[Churn]]="Yes",1,0)</f>
        <v>0</v>
      </c>
    </row>
    <row r="601" spans="1:12" x14ac:dyDescent="0.35">
      <c r="A601" t="s">
        <v>623</v>
      </c>
      <c r="B601" t="s">
        <v>17</v>
      </c>
      <c r="C601">
        <v>18</v>
      </c>
      <c r="D601">
        <v>36</v>
      </c>
      <c r="E601" t="s">
        <v>12</v>
      </c>
      <c r="F601" t="s">
        <v>22</v>
      </c>
      <c r="G601" t="s">
        <v>19</v>
      </c>
      <c r="H601">
        <v>70.17</v>
      </c>
      <c r="I601">
        <v>2380.9499999999998</v>
      </c>
      <c r="J601" t="s">
        <v>15</v>
      </c>
      <c r="K601" t="str">
        <f>IF(D601&lt;=12,"0-12 Months",IF(D601&lt;=24,"13-24 Months",IF(D601&lt;=48,"25-48 Months","49+ Months")))</f>
        <v>25-48 Months</v>
      </c>
      <c r="L601">
        <f>IF(Table1346[[#This Row],[Churn]]="Yes",1,0)</f>
        <v>0</v>
      </c>
    </row>
    <row r="602" spans="1:12" x14ac:dyDescent="0.35">
      <c r="A602" t="s">
        <v>624</v>
      </c>
      <c r="B602" t="s">
        <v>11</v>
      </c>
      <c r="C602">
        <v>31</v>
      </c>
      <c r="D602">
        <v>69</v>
      </c>
      <c r="E602" t="s">
        <v>21</v>
      </c>
      <c r="F602" t="s">
        <v>22</v>
      </c>
      <c r="G602" t="s">
        <v>14</v>
      </c>
      <c r="H602">
        <v>68.61</v>
      </c>
      <c r="I602">
        <v>4352.54</v>
      </c>
      <c r="J602" t="s">
        <v>15</v>
      </c>
      <c r="K602" t="str">
        <f>IF(D602&lt;=12,"0-12 Months",IF(D602&lt;=24,"13-24 Months",IF(D602&lt;=48,"25-48 Months","49+ Months")))</f>
        <v>49+ Months</v>
      </c>
      <c r="L602">
        <f>IF(Table1346[[#This Row],[Churn]]="Yes",1,0)</f>
        <v>0</v>
      </c>
    </row>
    <row r="603" spans="1:12" x14ac:dyDescent="0.35">
      <c r="A603" t="s">
        <v>625</v>
      </c>
      <c r="B603" t="s">
        <v>17</v>
      </c>
      <c r="C603">
        <v>68</v>
      </c>
      <c r="D603">
        <v>31</v>
      </c>
      <c r="E603" t="s">
        <v>18</v>
      </c>
      <c r="F603" t="s">
        <v>29</v>
      </c>
      <c r="G603" t="s">
        <v>23</v>
      </c>
      <c r="H603">
        <v>135.22</v>
      </c>
      <c r="I603">
        <v>3826.49</v>
      </c>
      <c r="J603" t="s">
        <v>15</v>
      </c>
      <c r="K603" t="str">
        <f>IF(D603&lt;=12,"0-12 Months",IF(D603&lt;=24,"13-24 Months",IF(D603&lt;=48,"25-48 Months","49+ Months")))</f>
        <v>25-48 Months</v>
      </c>
      <c r="L603">
        <f>IF(Table1346[[#This Row],[Churn]]="Yes",1,0)</f>
        <v>0</v>
      </c>
    </row>
    <row r="604" spans="1:12" x14ac:dyDescent="0.35">
      <c r="A604" t="s">
        <v>626</v>
      </c>
      <c r="B604" t="s">
        <v>17</v>
      </c>
      <c r="C604">
        <v>64</v>
      </c>
      <c r="D604">
        <v>47</v>
      </c>
      <c r="E604" t="s">
        <v>12</v>
      </c>
      <c r="F604" t="s">
        <v>22</v>
      </c>
      <c r="G604" t="s">
        <v>23</v>
      </c>
      <c r="H604">
        <v>39.68</v>
      </c>
      <c r="I604">
        <v>1899.53</v>
      </c>
      <c r="J604" t="s">
        <v>15</v>
      </c>
      <c r="K604" t="str">
        <f>IF(D604&lt;=12,"0-12 Months",IF(D604&lt;=24,"13-24 Months",IF(D604&lt;=48,"25-48 Months","49+ Months")))</f>
        <v>25-48 Months</v>
      </c>
      <c r="L604">
        <f>IF(Table1346[[#This Row],[Churn]]="Yes",1,0)</f>
        <v>0</v>
      </c>
    </row>
    <row r="605" spans="1:12" x14ac:dyDescent="0.35">
      <c r="A605" t="s">
        <v>627</v>
      </c>
      <c r="B605" t="s">
        <v>17</v>
      </c>
      <c r="C605">
        <v>67</v>
      </c>
      <c r="D605">
        <v>55</v>
      </c>
      <c r="E605" t="s">
        <v>18</v>
      </c>
      <c r="F605" t="s">
        <v>29</v>
      </c>
      <c r="G605" t="s">
        <v>23</v>
      </c>
      <c r="H605">
        <v>39.75</v>
      </c>
      <c r="I605">
        <v>2328.37</v>
      </c>
      <c r="J605" t="s">
        <v>15</v>
      </c>
      <c r="K605" t="str">
        <f>IF(D605&lt;=12,"0-12 Months",IF(D605&lt;=24,"13-24 Months",IF(D605&lt;=48,"25-48 Months","49+ Months")))</f>
        <v>49+ Months</v>
      </c>
      <c r="L605">
        <f>IF(Table1346[[#This Row],[Churn]]="Yes",1,0)</f>
        <v>0</v>
      </c>
    </row>
    <row r="606" spans="1:12" x14ac:dyDescent="0.35">
      <c r="A606" t="s">
        <v>628</v>
      </c>
      <c r="B606" t="s">
        <v>11</v>
      </c>
      <c r="C606">
        <v>19</v>
      </c>
      <c r="D606">
        <v>62</v>
      </c>
      <c r="E606" t="s">
        <v>21</v>
      </c>
      <c r="F606" t="s">
        <v>22</v>
      </c>
      <c r="G606" t="s">
        <v>19</v>
      </c>
      <c r="H606">
        <v>62.71</v>
      </c>
      <c r="I606">
        <v>4166.66</v>
      </c>
      <c r="J606" t="s">
        <v>15</v>
      </c>
      <c r="K606" t="str">
        <f>IF(D606&lt;=12,"0-12 Months",IF(D606&lt;=24,"13-24 Months",IF(D606&lt;=48,"25-48 Months","49+ Months")))</f>
        <v>49+ Months</v>
      </c>
      <c r="L606">
        <f>IF(Table1346[[#This Row],[Churn]]="Yes",1,0)</f>
        <v>0</v>
      </c>
    </row>
    <row r="607" spans="1:12" x14ac:dyDescent="0.35">
      <c r="A607" t="s">
        <v>629</v>
      </c>
      <c r="B607" t="s">
        <v>11</v>
      </c>
      <c r="C607">
        <v>45</v>
      </c>
      <c r="D607">
        <v>30</v>
      </c>
      <c r="E607" t="s">
        <v>21</v>
      </c>
      <c r="F607" t="s">
        <v>13</v>
      </c>
      <c r="G607" t="s">
        <v>14</v>
      </c>
      <c r="H607">
        <v>27.08</v>
      </c>
      <c r="I607">
        <v>806.49</v>
      </c>
      <c r="J607" t="s">
        <v>15</v>
      </c>
      <c r="K607" t="str">
        <f>IF(D607&lt;=12,"0-12 Months",IF(D607&lt;=24,"13-24 Months",IF(D607&lt;=48,"25-48 Months","49+ Months")))</f>
        <v>25-48 Months</v>
      </c>
      <c r="L607">
        <f>IF(Table1346[[#This Row],[Churn]]="Yes",1,0)</f>
        <v>0</v>
      </c>
    </row>
    <row r="608" spans="1:12" x14ac:dyDescent="0.35">
      <c r="A608" t="s">
        <v>630</v>
      </c>
      <c r="B608" t="s">
        <v>11</v>
      </c>
      <c r="C608">
        <v>66</v>
      </c>
      <c r="D608">
        <v>55</v>
      </c>
      <c r="E608" t="s">
        <v>12</v>
      </c>
      <c r="F608" t="s">
        <v>13</v>
      </c>
      <c r="G608" t="s">
        <v>23</v>
      </c>
      <c r="H608">
        <v>43.72</v>
      </c>
      <c r="I608">
        <v>2541.31</v>
      </c>
      <c r="J608" t="s">
        <v>15</v>
      </c>
      <c r="K608" t="str">
        <f>IF(D608&lt;=12,"0-12 Months",IF(D608&lt;=24,"13-24 Months",IF(D608&lt;=48,"25-48 Months","49+ Months")))</f>
        <v>49+ Months</v>
      </c>
      <c r="L608">
        <f>IF(Table1346[[#This Row],[Churn]]="Yes",1,0)</f>
        <v>0</v>
      </c>
    </row>
    <row r="609" spans="1:12" x14ac:dyDescent="0.35">
      <c r="A609" t="s">
        <v>631</v>
      </c>
      <c r="B609" t="s">
        <v>17</v>
      </c>
      <c r="C609">
        <v>67</v>
      </c>
      <c r="D609">
        <v>16</v>
      </c>
      <c r="E609" t="s">
        <v>12</v>
      </c>
      <c r="F609" t="s">
        <v>33</v>
      </c>
      <c r="G609" t="s">
        <v>23</v>
      </c>
      <c r="H609">
        <v>145.47999999999999</v>
      </c>
      <c r="I609">
        <v>2535.7199999999998</v>
      </c>
      <c r="J609" t="s">
        <v>27</v>
      </c>
      <c r="K609" t="str">
        <f>IF(D609&lt;=12,"0-12 Months",IF(D609&lt;=24,"13-24 Months",IF(D609&lt;=48,"25-48 Months","49+ Months")))</f>
        <v>13-24 Months</v>
      </c>
      <c r="L609">
        <f>IF(Table1346[[#This Row],[Churn]]="Yes",1,0)</f>
        <v>1</v>
      </c>
    </row>
    <row r="610" spans="1:12" x14ac:dyDescent="0.35">
      <c r="A610" t="s">
        <v>632</v>
      </c>
      <c r="B610" t="s">
        <v>17</v>
      </c>
      <c r="C610">
        <v>47</v>
      </c>
      <c r="D610">
        <v>12</v>
      </c>
      <c r="E610" t="s">
        <v>12</v>
      </c>
      <c r="F610" t="s">
        <v>33</v>
      </c>
      <c r="G610" t="s">
        <v>14</v>
      </c>
      <c r="H610">
        <v>75.66</v>
      </c>
      <c r="I610">
        <v>867.09</v>
      </c>
      <c r="J610" t="s">
        <v>27</v>
      </c>
      <c r="K610" t="str">
        <f>IF(D610&lt;=12,"0-12 Months",IF(D610&lt;=24,"13-24 Months",IF(D610&lt;=48,"25-48 Months","49+ Months")))</f>
        <v>0-12 Months</v>
      </c>
      <c r="L610">
        <f>IF(Table1346[[#This Row],[Churn]]="Yes",1,0)</f>
        <v>1</v>
      </c>
    </row>
    <row r="611" spans="1:12" x14ac:dyDescent="0.35">
      <c r="A611" t="s">
        <v>633</v>
      </c>
      <c r="B611" t="s">
        <v>17</v>
      </c>
      <c r="C611">
        <v>55</v>
      </c>
      <c r="D611">
        <v>17</v>
      </c>
      <c r="E611" t="s">
        <v>12</v>
      </c>
      <c r="F611" t="s">
        <v>33</v>
      </c>
      <c r="G611" t="s">
        <v>23</v>
      </c>
      <c r="H611">
        <v>102.16</v>
      </c>
      <c r="I611">
        <v>1701.28</v>
      </c>
      <c r="J611" t="s">
        <v>27</v>
      </c>
      <c r="K611" t="str">
        <f>IF(D611&lt;=12,"0-12 Months",IF(D611&lt;=24,"13-24 Months",IF(D611&lt;=48,"25-48 Months","49+ Months")))</f>
        <v>13-24 Months</v>
      </c>
      <c r="L611">
        <f>IF(Table1346[[#This Row],[Churn]]="Yes",1,0)</f>
        <v>1</v>
      </c>
    </row>
    <row r="612" spans="1:12" x14ac:dyDescent="0.35">
      <c r="A612" t="s">
        <v>634</v>
      </c>
      <c r="B612" t="s">
        <v>11</v>
      </c>
      <c r="C612">
        <v>68</v>
      </c>
      <c r="D612">
        <v>16</v>
      </c>
      <c r="E612" t="s">
        <v>12</v>
      </c>
      <c r="F612" t="s">
        <v>13</v>
      </c>
      <c r="G612" t="s">
        <v>23</v>
      </c>
      <c r="H612">
        <v>114.39</v>
      </c>
      <c r="I612">
        <v>1988.18</v>
      </c>
      <c r="J612" t="s">
        <v>15</v>
      </c>
      <c r="K612" t="str">
        <f>IF(D612&lt;=12,"0-12 Months",IF(D612&lt;=24,"13-24 Months",IF(D612&lt;=48,"25-48 Months","49+ Months")))</f>
        <v>13-24 Months</v>
      </c>
      <c r="L612">
        <f>IF(Table1346[[#This Row],[Churn]]="Yes",1,0)</f>
        <v>0</v>
      </c>
    </row>
    <row r="613" spans="1:12" x14ac:dyDescent="0.35">
      <c r="A613" t="s">
        <v>635</v>
      </c>
      <c r="B613" t="s">
        <v>17</v>
      </c>
      <c r="C613">
        <v>21</v>
      </c>
      <c r="D613">
        <v>12</v>
      </c>
      <c r="E613" t="s">
        <v>21</v>
      </c>
      <c r="F613" t="s">
        <v>22</v>
      </c>
      <c r="G613" t="s">
        <v>19</v>
      </c>
      <c r="H613">
        <v>67.7</v>
      </c>
      <c r="I613">
        <v>786.12</v>
      </c>
      <c r="J613" t="s">
        <v>15</v>
      </c>
      <c r="K613" t="str">
        <f>IF(D613&lt;=12,"0-12 Months",IF(D613&lt;=24,"13-24 Months",IF(D613&lt;=48,"25-48 Months","49+ Months")))</f>
        <v>0-12 Months</v>
      </c>
      <c r="L613">
        <f>IF(Table1346[[#This Row],[Churn]]="Yes",1,0)</f>
        <v>0</v>
      </c>
    </row>
    <row r="614" spans="1:12" x14ac:dyDescent="0.35">
      <c r="A614" t="s">
        <v>636</v>
      </c>
      <c r="B614" t="s">
        <v>17</v>
      </c>
      <c r="C614">
        <v>18</v>
      </c>
      <c r="D614">
        <v>8</v>
      </c>
      <c r="E614" t="s">
        <v>12</v>
      </c>
      <c r="F614" t="s">
        <v>13</v>
      </c>
      <c r="G614" t="s">
        <v>19</v>
      </c>
      <c r="H614">
        <v>39.14</v>
      </c>
      <c r="I614">
        <v>339.04</v>
      </c>
      <c r="J614" t="s">
        <v>15</v>
      </c>
      <c r="K614" t="str">
        <f>IF(D614&lt;=12,"0-12 Months",IF(D614&lt;=24,"13-24 Months",IF(D614&lt;=48,"25-48 Months","49+ Months")))</f>
        <v>0-12 Months</v>
      </c>
      <c r="L614">
        <f>IF(Table1346[[#This Row],[Churn]]="Yes",1,0)</f>
        <v>0</v>
      </c>
    </row>
    <row r="615" spans="1:12" x14ac:dyDescent="0.35">
      <c r="A615" t="s">
        <v>637</v>
      </c>
      <c r="B615" t="s">
        <v>17</v>
      </c>
      <c r="C615">
        <v>25</v>
      </c>
      <c r="D615">
        <v>3</v>
      </c>
      <c r="E615" t="s">
        <v>18</v>
      </c>
      <c r="F615" t="s">
        <v>33</v>
      </c>
      <c r="G615" t="s">
        <v>19</v>
      </c>
      <c r="H615">
        <v>46.86</v>
      </c>
      <c r="I615">
        <v>154.11000000000001</v>
      </c>
      <c r="J615" t="s">
        <v>15</v>
      </c>
      <c r="K615" t="str">
        <f>IF(D615&lt;=12,"0-12 Months",IF(D615&lt;=24,"13-24 Months",IF(D615&lt;=48,"25-48 Months","49+ Months")))</f>
        <v>0-12 Months</v>
      </c>
      <c r="L615">
        <f>IF(Table1346[[#This Row],[Churn]]="Yes",1,0)</f>
        <v>0</v>
      </c>
    </row>
    <row r="616" spans="1:12" x14ac:dyDescent="0.35">
      <c r="A616" t="s">
        <v>638</v>
      </c>
      <c r="B616" t="s">
        <v>17</v>
      </c>
      <c r="C616">
        <v>46</v>
      </c>
      <c r="D616">
        <v>16</v>
      </c>
      <c r="E616" t="s">
        <v>21</v>
      </c>
      <c r="F616" t="s">
        <v>13</v>
      </c>
      <c r="G616" t="s">
        <v>14</v>
      </c>
      <c r="H616">
        <v>60.72</v>
      </c>
      <c r="I616">
        <v>1002.96</v>
      </c>
      <c r="J616" t="s">
        <v>15</v>
      </c>
      <c r="K616" t="str">
        <f>IF(D616&lt;=12,"0-12 Months",IF(D616&lt;=24,"13-24 Months",IF(D616&lt;=48,"25-48 Months","49+ Months")))</f>
        <v>13-24 Months</v>
      </c>
      <c r="L616">
        <f>IF(Table1346[[#This Row],[Churn]]="Yes",1,0)</f>
        <v>0</v>
      </c>
    </row>
    <row r="617" spans="1:12" x14ac:dyDescent="0.35">
      <c r="A617" t="s">
        <v>639</v>
      </c>
      <c r="B617" t="s">
        <v>11</v>
      </c>
      <c r="C617">
        <v>56</v>
      </c>
      <c r="D617">
        <v>30</v>
      </c>
      <c r="E617" t="s">
        <v>12</v>
      </c>
      <c r="F617" t="s">
        <v>33</v>
      </c>
      <c r="G617" t="s">
        <v>23</v>
      </c>
      <c r="H617">
        <v>102.69</v>
      </c>
      <c r="I617">
        <v>3275.95</v>
      </c>
      <c r="J617" t="s">
        <v>27</v>
      </c>
      <c r="K617" t="str">
        <f>IF(D617&lt;=12,"0-12 Months",IF(D617&lt;=24,"13-24 Months",IF(D617&lt;=48,"25-48 Months","49+ Months")))</f>
        <v>25-48 Months</v>
      </c>
      <c r="L617">
        <f>IF(Table1346[[#This Row],[Churn]]="Yes",1,0)</f>
        <v>1</v>
      </c>
    </row>
    <row r="618" spans="1:12" x14ac:dyDescent="0.35">
      <c r="A618" t="s">
        <v>640</v>
      </c>
      <c r="B618" t="s">
        <v>11</v>
      </c>
      <c r="C618">
        <v>20</v>
      </c>
      <c r="D618">
        <v>23</v>
      </c>
      <c r="E618" t="s">
        <v>12</v>
      </c>
      <c r="F618" t="s">
        <v>33</v>
      </c>
      <c r="G618" t="s">
        <v>19</v>
      </c>
      <c r="H618">
        <v>71.78</v>
      </c>
      <c r="I618">
        <v>1733.34</v>
      </c>
      <c r="J618" t="s">
        <v>15</v>
      </c>
      <c r="K618" t="str">
        <f>IF(D618&lt;=12,"0-12 Months",IF(D618&lt;=24,"13-24 Months",IF(D618&lt;=48,"25-48 Months","49+ Months")))</f>
        <v>13-24 Months</v>
      </c>
      <c r="L618">
        <f>IF(Table1346[[#This Row],[Churn]]="Yes",1,0)</f>
        <v>0</v>
      </c>
    </row>
    <row r="619" spans="1:12" x14ac:dyDescent="0.35">
      <c r="A619" t="s">
        <v>641</v>
      </c>
      <c r="B619" t="s">
        <v>17</v>
      </c>
      <c r="C619">
        <v>49</v>
      </c>
      <c r="D619">
        <v>5</v>
      </c>
      <c r="E619" t="s">
        <v>18</v>
      </c>
      <c r="F619" t="s">
        <v>22</v>
      </c>
      <c r="G619" t="s">
        <v>14</v>
      </c>
      <c r="H619">
        <v>20.89</v>
      </c>
      <c r="I619">
        <v>108.62</v>
      </c>
      <c r="J619" t="s">
        <v>15</v>
      </c>
      <c r="K619" t="str">
        <f>IF(D619&lt;=12,"0-12 Months",IF(D619&lt;=24,"13-24 Months",IF(D619&lt;=48,"25-48 Months","49+ Months")))</f>
        <v>0-12 Months</v>
      </c>
      <c r="L619">
        <f>IF(Table1346[[#This Row],[Churn]]="Yes",1,0)</f>
        <v>0</v>
      </c>
    </row>
    <row r="620" spans="1:12" x14ac:dyDescent="0.35">
      <c r="A620" t="s">
        <v>642</v>
      </c>
      <c r="B620" t="s">
        <v>11</v>
      </c>
      <c r="C620">
        <v>27</v>
      </c>
      <c r="D620">
        <v>65</v>
      </c>
      <c r="E620" t="s">
        <v>18</v>
      </c>
      <c r="F620" t="s">
        <v>29</v>
      </c>
      <c r="G620" t="s">
        <v>19</v>
      </c>
      <c r="H620">
        <v>88.04</v>
      </c>
      <c r="I620">
        <v>5501.63</v>
      </c>
      <c r="J620" t="s">
        <v>15</v>
      </c>
      <c r="K620" t="str">
        <f>IF(D620&lt;=12,"0-12 Months",IF(D620&lt;=24,"13-24 Months",IF(D620&lt;=48,"25-48 Months","49+ Months")))</f>
        <v>49+ Months</v>
      </c>
      <c r="L620">
        <f>IF(Table1346[[#This Row],[Churn]]="Yes",1,0)</f>
        <v>0</v>
      </c>
    </row>
    <row r="621" spans="1:12" x14ac:dyDescent="0.35">
      <c r="A621" t="s">
        <v>643</v>
      </c>
      <c r="B621" t="s">
        <v>11</v>
      </c>
      <c r="C621">
        <v>27</v>
      </c>
      <c r="D621">
        <v>30</v>
      </c>
      <c r="E621" t="s">
        <v>21</v>
      </c>
      <c r="F621" t="s">
        <v>29</v>
      </c>
      <c r="G621" t="s">
        <v>19</v>
      </c>
      <c r="H621">
        <v>139.80000000000001</v>
      </c>
      <c r="I621">
        <v>3822.49</v>
      </c>
      <c r="J621" t="s">
        <v>15</v>
      </c>
      <c r="K621" t="str">
        <f>IF(D621&lt;=12,"0-12 Months",IF(D621&lt;=24,"13-24 Months",IF(D621&lt;=48,"25-48 Months","49+ Months")))</f>
        <v>25-48 Months</v>
      </c>
      <c r="L621">
        <f>IF(Table1346[[#This Row],[Churn]]="Yes",1,0)</f>
        <v>0</v>
      </c>
    </row>
    <row r="622" spans="1:12" x14ac:dyDescent="0.35">
      <c r="A622" t="s">
        <v>644</v>
      </c>
      <c r="B622" t="s">
        <v>17</v>
      </c>
      <c r="C622">
        <v>36</v>
      </c>
      <c r="D622">
        <v>21</v>
      </c>
      <c r="E622" t="s">
        <v>12</v>
      </c>
      <c r="F622" t="s">
        <v>33</v>
      </c>
      <c r="G622" t="s">
        <v>14</v>
      </c>
      <c r="H622">
        <v>125.57</v>
      </c>
      <c r="I622">
        <v>2554.1999999999998</v>
      </c>
      <c r="J622" t="s">
        <v>15</v>
      </c>
      <c r="K622" t="str">
        <f>IF(D622&lt;=12,"0-12 Months",IF(D622&lt;=24,"13-24 Months",IF(D622&lt;=48,"25-48 Months","49+ Months")))</f>
        <v>13-24 Months</v>
      </c>
      <c r="L622">
        <f>IF(Table1346[[#This Row],[Churn]]="Yes",1,0)</f>
        <v>0</v>
      </c>
    </row>
    <row r="623" spans="1:12" x14ac:dyDescent="0.35">
      <c r="A623" t="s">
        <v>645</v>
      </c>
      <c r="B623" t="s">
        <v>17</v>
      </c>
      <c r="C623">
        <v>63</v>
      </c>
      <c r="D623">
        <v>70</v>
      </c>
      <c r="E623" t="s">
        <v>12</v>
      </c>
      <c r="F623" t="s">
        <v>29</v>
      </c>
      <c r="G623" t="s">
        <v>23</v>
      </c>
      <c r="H623">
        <v>127.28</v>
      </c>
      <c r="I623">
        <v>9207.07</v>
      </c>
      <c r="J623" t="s">
        <v>27</v>
      </c>
      <c r="K623" t="str">
        <f>IF(D623&lt;=12,"0-12 Months",IF(D623&lt;=24,"13-24 Months",IF(D623&lt;=48,"25-48 Months","49+ Months")))</f>
        <v>49+ Months</v>
      </c>
      <c r="L623">
        <f>IF(Table1346[[#This Row],[Churn]]="Yes",1,0)</f>
        <v>1</v>
      </c>
    </row>
    <row r="624" spans="1:12" x14ac:dyDescent="0.35">
      <c r="A624" t="s">
        <v>646</v>
      </c>
      <c r="B624" t="s">
        <v>11</v>
      </c>
      <c r="C624">
        <v>51</v>
      </c>
      <c r="D624">
        <v>22</v>
      </c>
      <c r="E624" t="s">
        <v>12</v>
      </c>
      <c r="F624" t="s">
        <v>33</v>
      </c>
      <c r="G624" t="s">
        <v>23</v>
      </c>
      <c r="H624">
        <v>123.36</v>
      </c>
      <c r="I624">
        <v>2498.1799999999998</v>
      </c>
      <c r="J624" t="s">
        <v>15</v>
      </c>
      <c r="K624" t="str">
        <f>IF(D624&lt;=12,"0-12 Months",IF(D624&lt;=24,"13-24 Months",IF(D624&lt;=48,"25-48 Months","49+ Months")))</f>
        <v>13-24 Months</v>
      </c>
      <c r="L624">
        <f>IF(Table1346[[#This Row],[Churn]]="Yes",1,0)</f>
        <v>0</v>
      </c>
    </row>
    <row r="625" spans="1:12" x14ac:dyDescent="0.35">
      <c r="A625" t="s">
        <v>647</v>
      </c>
      <c r="B625" t="s">
        <v>17</v>
      </c>
      <c r="C625">
        <v>50</v>
      </c>
      <c r="D625">
        <v>72</v>
      </c>
      <c r="E625" t="s">
        <v>12</v>
      </c>
      <c r="F625" t="s">
        <v>13</v>
      </c>
      <c r="G625" t="s">
        <v>23</v>
      </c>
      <c r="H625">
        <v>62.09</v>
      </c>
      <c r="I625">
        <v>4034.09</v>
      </c>
      <c r="J625" t="s">
        <v>15</v>
      </c>
      <c r="K625" t="str">
        <f>IF(D625&lt;=12,"0-12 Months",IF(D625&lt;=24,"13-24 Months",IF(D625&lt;=48,"25-48 Months","49+ Months")))</f>
        <v>49+ Months</v>
      </c>
      <c r="L625">
        <f>IF(Table1346[[#This Row],[Churn]]="Yes",1,0)</f>
        <v>0</v>
      </c>
    </row>
    <row r="626" spans="1:12" x14ac:dyDescent="0.35">
      <c r="A626" t="s">
        <v>648</v>
      </c>
      <c r="B626" t="s">
        <v>11</v>
      </c>
      <c r="C626">
        <v>40</v>
      </c>
      <c r="D626">
        <v>32</v>
      </c>
      <c r="E626" t="s">
        <v>21</v>
      </c>
      <c r="F626" t="s">
        <v>13</v>
      </c>
      <c r="G626" t="s">
        <v>14</v>
      </c>
      <c r="H626">
        <v>119.48</v>
      </c>
      <c r="I626">
        <v>3547.84</v>
      </c>
      <c r="J626" t="s">
        <v>15</v>
      </c>
      <c r="K626" t="str">
        <f>IF(D626&lt;=12,"0-12 Months",IF(D626&lt;=24,"13-24 Months",IF(D626&lt;=48,"25-48 Months","49+ Months")))</f>
        <v>25-48 Months</v>
      </c>
      <c r="L626">
        <f>IF(Table1346[[#This Row],[Churn]]="Yes",1,0)</f>
        <v>0</v>
      </c>
    </row>
    <row r="627" spans="1:12" x14ac:dyDescent="0.35">
      <c r="A627" t="s">
        <v>649</v>
      </c>
      <c r="B627" t="s">
        <v>17</v>
      </c>
      <c r="C627">
        <v>45</v>
      </c>
      <c r="D627">
        <v>33</v>
      </c>
      <c r="E627" t="s">
        <v>21</v>
      </c>
      <c r="F627" t="s">
        <v>33</v>
      </c>
      <c r="G627" t="s">
        <v>14</v>
      </c>
      <c r="H627">
        <v>38.61</v>
      </c>
      <c r="I627">
        <v>1329.11</v>
      </c>
      <c r="J627" t="s">
        <v>15</v>
      </c>
      <c r="K627" t="str">
        <f>IF(D627&lt;=12,"0-12 Months",IF(D627&lt;=24,"13-24 Months",IF(D627&lt;=48,"25-48 Months","49+ Months")))</f>
        <v>25-48 Months</v>
      </c>
      <c r="L627">
        <f>IF(Table1346[[#This Row],[Churn]]="Yes",1,0)</f>
        <v>0</v>
      </c>
    </row>
    <row r="628" spans="1:12" x14ac:dyDescent="0.35">
      <c r="A628" t="s">
        <v>650</v>
      </c>
      <c r="B628" t="s">
        <v>11</v>
      </c>
      <c r="C628">
        <v>49</v>
      </c>
      <c r="D628">
        <v>16</v>
      </c>
      <c r="E628" t="s">
        <v>21</v>
      </c>
      <c r="F628" t="s">
        <v>22</v>
      </c>
      <c r="G628" t="s">
        <v>14</v>
      </c>
      <c r="H628">
        <v>105.5</v>
      </c>
      <c r="I628">
        <v>1847.62</v>
      </c>
      <c r="J628" t="s">
        <v>15</v>
      </c>
      <c r="K628" t="str">
        <f>IF(D628&lt;=12,"0-12 Months",IF(D628&lt;=24,"13-24 Months",IF(D628&lt;=48,"25-48 Months","49+ Months")))</f>
        <v>13-24 Months</v>
      </c>
      <c r="L628">
        <f>IF(Table1346[[#This Row],[Churn]]="Yes",1,0)</f>
        <v>0</v>
      </c>
    </row>
    <row r="629" spans="1:12" x14ac:dyDescent="0.35">
      <c r="A629" t="s">
        <v>651</v>
      </c>
      <c r="B629" t="s">
        <v>17</v>
      </c>
      <c r="C629">
        <v>67</v>
      </c>
      <c r="D629">
        <v>38</v>
      </c>
      <c r="E629" t="s">
        <v>18</v>
      </c>
      <c r="F629" t="s">
        <v>13</v>
      </c>
      <c r="G629" t="s">
        <v>23</v>
      </c>
      <c r="H629">
        <v>103.4</v>
      </c>
      <c r="I629">
        <v>4308.8100000000004</v>
      </c>
      <c r="J629" t="s">
        <v>15</v>
      </c>
      <c r="K629" t="str">
        <f>IF(D629&lt;=12,"0-12 Months",IF(D629&lt;=24,"13-24 Months",IF(D629&lt;=48,"25-48 Months","49+ Months")))</f>
        <v>25-48 Months</v>
      </c>
      <c r="L629">
        <f>IF(Table1346[[#This Row],[Churn]]="Yes",1,0)</f>
        <v>0</v>
      </c>
    </row>
    <row r="630" spans="1:12" x14ac:dyDescent="0.35">
      <c r="A630" t="s">
        <v>652</v>
      </c>
      <c r="B630" t="s">
        <v>11</v>
      </c>
      <c r="C630">
        <v>24</v>
      </c>
      <c r="D630">
        <v>14</v>
      </c>
      <c r="E630" t="s">
        <v>21</v>
      </c>
      <c r="F630" t="s">
        <v>13</v>
      </c>
      <c r="G630" t="s">
        <v>19</v>
      </c>
      <c r="H630">
        <v>23.32</v>
      </c>
      <c r="I630">
        <v>326.08999999999997</v>
      </c>
      <c r="J630" t="s">
        <v>15</v>
      </c>
      <c r="K630" t="str">
        <f>IF(D630&lt;=12,"0-12 Months",IF(D630&lt;=24,"13-24 Months",IF(D630&lt;=48,"25-48 Months","49+ Months")))</f>
        <v>13-24 Months</v>
      </c>
      <c r="L630">
        <f>IF(Table1346[[#This Row],[Churn]]="Yes",1,0)</f>
        <v>0</v>
      </c>
    </row>
    <row r="631" spans="1:12" x14ac:dyDescent="0.35">
      <c r="A631" t="s">
        <v>653</v>
      </c>
      <c r="B631" t="s">
        <v>11</v>
      </c>
      <c r="C631">
        <v>46</v>
      </c>
      <c r="D631">
        <v>36</v>
      </c>
      <c r="E631" t="s">
        <v>12</v>
      </c>
      <c r="F631" t="s">
        <v>13</v>
      </c>
      <c r="G631" t="s">
        <v>14</v>
      </c>
      <c r="H631">
        <v>122.44</v>
      </c>
      <c r="I631">
        <v>4733.45</v>
      </c>
      <c r="J631" t="s">
        <v>27</v>
      </c>
      <c r="K631" t="str">
        <f>IF(D631&lt;=12,"0-12 Months",IF(D631&lt;=24,"13-24 Months",IF(D631&lt;=48,"25-48 Months","49+ Months")))</f>
        <v>25-48 Months</v>
      </c>
      <c r="L631">
        <f>IF(Table1346[[#This Row],[Churn]]="Yes",1,0)</f>
        <v>1</v>
      </c>
    </row>
    <row r="632" spans="1:12" x14ac:dyDescent="0.35">
      <c r="A632" t="s">
        <v>654</v>
      </c>
      <c r="B632" t="s">
        <v>11</v>
      </c>
      <c r="C632">
        <v>25</v>
      </c>
      <c r="D632">
        <v>23</v>
      </c>
      <c r="E632" t="s">
        <v>12</v>
      </c>
      <c r="F632" t="s">
        <v>22</v>
      </c>
      <c r="G632" t="s">
        <v>19</v>
      </c>
      <c r="H632">
        <v>137.41999999999999</v>
      </c>
      <c r="I632">
        <v>3310.37</v>
      </c>
      <c r="J632" t="s">
        <v>15</v>
      </c>
      <c r="K632" t="str">
        <f>IF(D632&lt;=12,"0-12 Months",IF(D632&lt;=24,"13-24 Months",IF(D632&lt;=48,"25-48 Months","49+ Months")))</f>
        <v>13-24 Months</v>
      </c>
      <c r="L632">
        <f>IF(Table1346[[#This Row],[Churn]]="Yes",1,0)</f>
        <v>0</v>
      </c>
    </row>
    <row r="633" spans="1:12" x14ac:dyDescent="0.35">
      <c r="A633" t="s">
        <v>655</v>
      </c>
      <c r="B633" t="s">
        <v>17</v>
      </c>
      <c r="C633">
        <v>18</v>
      </c>
      <c r="D633">
        <v>66</v>
      </c>
      <c r="E633" t="s">
        <v>18</v>
      </c>
      <c r="F633" t="s">
        <v>29</v>
      </c>
      <c r="G633" t="s">
        <v>19</v>
      </c>
      <c r="H633">
        <v>54.76</v>
      </c>
      <c r="I633">
        <v>3614.91</v>
      </c>
      <c r="J633" t="s">
        <v>27</v>
      </c>
      <c r="K633" t="str">
        <f>IF(D633&lt;=12,"0-12 Months",IF(D633&lt;=24,"13-24 Months",IF(D633&lt;=48,"25-48 Months","49+ Months")))</f>
        <v>49+ Months</v>
      </c>
      <c r="L633">
        <f>IF(Table1346[[#This Row],[Churn]]="Yes",1,0)</f>
        <v>1</v>
      </c>
    </row>
    <row r="634" spans="1:12" x14ac:dyDescent="0.35">
      <c r="A634" t="s">
        <v>656</v>
      </c>
      <c r="B634" t="s">
        <v>11</v>
      </c>
      <c r="C634">
        <v>20</v>
      </c>
      <c r="D634">
        <v>2</v>
      </c>
      <c r="E634" t="s">
        <v>12</v>
      </c>
      <c r="F634" t="s">
        <v>33</v>
      </c>
      <c r="G634" t="s">
        <v>19</v>
      </c>
      <c r="H634">
        <v>125.61</v>
      </c>
      <c r="I634">
        <v>254.88</v>
      </c>
      <c r="J634" t="s">
        <v>15</v>
      </c>
      <c r="K634" t="str">
        <f>IF(D634&lt;=12,"0-12 Months",IF(D634&lt;=24,"13-24 Months",IF(D634&lt;=48,"25-48 Months","49+ Months")))</f>
        <v>0-12 Months</v>
      </c>
      <c r="L634">
        <f>IF(Table1346[[#This Row],[Churn]]="Yes",1,0)</f>
        <v>0</v>
      </c>
    </row>
    <row r="635" spans="1:12" x14ac:dyDescent="0.35">
      <c r="A635" t="s">
        <v>657</v>
      </c>
      <c r="B635" t="s">
        <v>11</v>
      </c>
      <c r="C635">
        <v>41</v>
      </c>
      <c r="D635">
        <v>65</v>
      </c>
      <c r="E635" t="s">
        <v>18</v>
      </c>
      <c r="F635" t="s">
        <v>33</v>
      </c>
      <c r="G635" t="s">
        <v>14</v>
      </c>
      <c r="H635">
        <v>30.71</v>
      </c>
      <c r="I635">
        <v>1851.32</v>
      </c>
      <c r="J635" t="s">
        <v>15</v>
      </c>
      <c r="K635" t="str">
        <f>IF(D635&lt;=12,"0-12 Months",IF(D635&lt;=24,"13-24 Months",IF(D635&lt;=48,"25-48 Months","49+ Months")))</f>
        <v>49+ Months</v>
      </c>
      <c r="L635">
        <f>IF(Table1346[[#This Row],[Churn]]="Yes",1,0)</f>
        <v>0</v>
      </c>
    </row>
    <row r="636" spans="1:12" x14ac:dyDescent="0.35">
      <c r="A636" t="s">
        <v>658</v>
      </c>
      <c r="B636" t="s">
        <v>17</v>
      </c>
      <c r="C636">
        <v>40</v>
      </c>
      <c r="D636">
        <v>67</v>
      </c>
      <c r="E636" t="s">
        <v>18</v>
      </c>
      <c r="F636" t="s">
        <v>29</v>
      </c>
      <c r="G636" t="s">
        <v>14</v>
      </c>
      <c r="H636">
        <v>98</v>
      </c>
      <c r="I636">
        <v>7140.74</v>
      </c>
      <c r="J636" t="s">
        <v>15</v>
      </c>
      <c r="K636" t="str">
        <f>IF(D636&lt;=12,"0-12 Months",IF(D636&lt;=24,"13-24 Months",IF(D636&lt;=48,"25-48 Months","49+ Months")))</f>
        <v>49+ Months</v>
      </c>
      <c r="L636">
        <f>IF(Table1346[[#This Row],[Churn]]="Yes",1,0)</f>
        <v>0</v>
      </c>
    </row>
    <row r="637" spans="1:12" x14ac:dyDescent="0.35">
      <c r="A637" t="s">
        <v>659</v>
      </c>
      <c r="B637" t="s">
        <v>17</v>
      </c>
      <c r="C637">
        <v>25</v>
      </c>
      <c r="D637">
        <v>52</v>
      </c>
      <c r="E637" t="s">
        <v>12</v>
      </c>
      <c r="F637" t="s">
        <v>22</v>
      </c>
      <c r="G637" t="s">
        <v>19</v>
      </c>
      <c r="H637">
        <v>83.13</v>
      </c>
      <c r="I637">
        <v>4194.75</v>
      </c>
      <c r="J637" t="s">
        <v>15</v>
      </c>
      <c r="K637" t="str">
        <f>IF(D637&lt;=12,"0-12 Months",IF(D637&lt;=24,"13-24 Months",IF(D637&lt;=48,"25-48 Months","49+ Months")))</f>
        <v>49+ Months</v>
      </c>
      <c r="L637">
        <f>IF(Table1346[[#This Row],[Churn]]="Yes",1,0)</f>
        <v>0</v>
      </c>
    </row>
    <row r="638" spans="1:12" x14ac:dyDescent="0.35">
      <c r="A638" t="s">
        <v>660</v>
      </c>
      <c r="B638" t="s">
        <v>11</v>
      </c>
      <c r="C638">
        <v>64</v>
      </c>
      <c r="D638">
        <v>62</v>
      </c>
      <c r="E638" t="s">
        <v>21</v>
      </c>
      <c r="F638" t="s">
        <v>13</v>
      </c>
      <c r="G638" t="s">
        <v>23</v>
      </c>
      <c r="H638">
        <v>90.97</v>
      </c>
      <c r="I638">
        <v>5579.39</v>
      </c>
      <c r="J638" t="s">
        <v>15</v>
      </c>
      <c r="K638" t="str">
        <f>IF(D638&lt;=12,"0-12 Months",IF(D638&lt;=24,"13-24 Months",IF(D638&lt;=48,"25-48 Months","49+ Months")))</f>
        <v>49+ Months</v>
      </c>
      <c r="L638">
        <f>IF(Table1346[[#This Row],[Churn]]="Yes",1,0)</f>
        <v>0</v>
      </c>
    </row>
    <row r="639" spans="1:12" x14ac:dyDescent="0.35">
      <c r="A639" t="s">
        <v>661</v>
      </c>
      <c r="B639" t="s">
        <v>11</v>
      </c>
      <c r="C639">
        <v>54</v>
      </c>
      <c r="D639">
        <v>23</v>
      </c>
      <c r="E639" t="s">
        <v>18</v>
      </c>
      <c r="F639" t="s">
        <v>29</v>
      </c>
      <c r="G639" t="s">
        <v>23</v>
      </c>
      <c r="H639">
        <v>140.41</v>
      </c>
      <c r="I639">
        <v>3340.3</v>
      </c>
      <c r="J639" t="s">
        <v>27</v>
      </c>
      <c r="K639" t="str">
        <f>IF(D639&lt;=12,"0-12 Months",IF(D639&lt;=24,"13-24 Months",IF(D639&lt;=48,"25-48 Months","49+ Months")))</f>
        <v>13-24 Months</v>
      </c>
      <c r="L639">
        <f>IF(Table1346[[#This Row],[Churn]]="Yes",1,0)</f>
        <v>1</v>
      </c>
    </row>
    <row r="640" spans="1:12" x14ac:dyDescent="0.35">
      <c r="A640" t="s">
        <v>662</v>
      </c>
      <c r="B640" t="s">
        <v>17</v>
      </c>
      <c r="C640">
        <v>20</v>
      </c>
      <c r="D640">
        <v>26</v>
      </c>
      <c r="E640" t="s">
        <v>21</v>
      </c>
      <c r="F640" t="s">
        <v>33</v>
      </c>
      <c r="G640" t="s">
        <v>19</v>
      </c>
      <c r="H640">
        <v>133.27000000000001</v>
      </c>
      <c r="I640">
        <v>3349.91</v>
      </c>
      <c r="J640" t="s">
        <v>15</v>
      </c>
      <c r="K640" t="str">
        <f>IF(D640&lt;=12,"0-12 Months",IF(D640&lt;=24,"13-24 Months",IF(D640&lt;=48,"25-48 Months","49+ Months")))</f>
        <v>25-48 Months</v>
      </c>
      <c r="L640">
        <f>IF(Table1346[[#This Row],[Churn]]="Yes",1,0)</f>
        <v>0</v>
      </c>
    </row>
    <row r="641" spans="1:12" x14ac:dyDescent="0.35">
      <c r="A641" t="s">
        <v>663</v>
      </c>
      <c r="B641" t="s">
        <v>17</v>
      </c>
      <c r="C641">
        <v>68</v>
      </c>
      <c r="D641">
        <v>68</v>
      </c>
      <c r="E641" t="s">
        <v>18</v>
      </c>
      <c r="F641" t="s">
        <v>29</v>
      </c>
      <c r="G641" t="s">
        <v>23</v>
      </c>
      <c r="H641">
        <v>122.06</v>
      </c>
      <c r="I641">
        <v>7892.15</v>
      </c>
      <c r="J641" t="s">
        <v>15</v>
      </c>
      <c r="K641" t="str">
        <f>IF(D641&lt;=12,"0-12 Months",IF(D641&lt;=24,"13-24 Months",IF(D641&lt;=48,"25-48 Months","49+ Months")))</f>
        <v>49+ Months</v>
      </c>
      <c r="L641">
        <f>IF(Table1346[[#This Row],[Churn]]="Yes",1,0)</f>
        <v>0</v>
      </c>
    </row>
    <row r="642" spans="1:12" x14ac:dyDescent="0.35">
      <c r="A642" t="s">
        <v>664</v>
      </c>
      <c r="B642" t="s">
        <v>17</v>
      </c>
      <c r="C642">
        <v>50</v>
      </c>
      <c r="D642">
        <v>55</v>
      </c>
      <c r="E642" t="s">
        <v>18</v>
      </c>
      <c r="F642" t="s">
        <v>29</v>
      </c>
      <c r="G642" t="s">
        <v>23</v>
      </c>
      <c r="H642">
        <v>55.58</v>
      </c>
      <c r="I642">
        <v>3137.02</v>
      </c>
      <c r="J642" t="s">
        <v>15</v>
      </c>
      <c r="K642" t="str">
        <f>IF(D642&lt;=12,"0-12 Months",IF(D642&lt;=24,"13-24 Months",IF(D642&lt;=48,"25-48 Months","49+ Months")))</f>
        <v>49+ Months</v>
      </c>
      <c r="L642">
        <f>IF(Table1346[[#This Row],[Churn]]="Yes",1,0)</f>
        <v>0</v>
      </c>
    </row>
    <row r="643" spans="1:12" x14ac:dyDescent="0.35">
      <c r="A643" t="s">
        <v>665</v>
      </c>
      <c r="B643" t="s">
        <v>17</v>
      </c>
      <c r="C643">
        <v>45</v>
      </c>
      <c r="D643">
        <v>6</v>
      </c>
      <c r="E643" t="s">
        <v>12</v>
      </c>
      <c r="F643" t="s">
        <v>13</v>
      </c>
      <c r="G643" t="s">
        <v>14</v>
      </c>
      <c r="H643">
        <v>138.54</v>
      </c>
      <c r="I643">
        <v>752.27</v>
      </c>
      <c r="J643" t="s">
        <v>15</v>
      </c>
      <c r="K643" t="str">
        <f>IF(D643&lt;=12,"0-12 Months",IF(D643&lt;=24,"13-24 Months",IF(D643&lt;=48,"25-48 Months","49+ Months")))</f>
        <v>0-12 Months</v>
      </c>
      <c r="L643">
        <f>IF(Table1346[[#This Row],[Churn]]="Yes",1,0)</f>
        <v>0</v>
      </c>
    </row>
    <row r="644" spans="1:12" x14ac:dyDescent="0.35">
      <c r="A644" t="s">
        <v>666</v>
      </c>
      <c r="B644" t="s">
        <v>17</v>
      </c>
      <c r="C644">
        <v>64</v>
      </c>
      <c r="D644">
        <v>35</v>
      </c>
      <c r="E644" t="s">
        <v>12</v>
      </c>
      <c r="F644" t="s">
        <v>13</v>
      </c>
      <c r="G644" t="s">
        <v>23</v>
      </c>
      <c r="H644">
        <v>32.68</v>
      </c>
      <c r="I644">
        <v>1194.29</v>
      </c>
      <c r="J644" t="s">
        <v>15</v>
      </c>
      <c r="K644" t="str">
        <f>IF(D644&lt;=12,"0-12 Months",IF(D644&lt;=24,"13-24 Months",IF(D644&lt;=48,"25-48 Months","49+ Months")))</f>
        <v>25-48 Months</v>
      </c>
      <c r="L644">
        <f>IF(Table1346[[#This Row],[Churn]]="Yes",1,0)</f>
        <v>0</v>
      </c>
    </row>
    <row r="645" spans="1:12" x14ac:dyDescent="0.35">
      <c r="A645" t="s">
        <v>667</v>
      </c>
      <c r="B645" t="s">
        <v>11</v>
      </c>
      <c r="C645">
        <v>25</v>
      </c>
      <c r="D645">
        <v>22</v>
      </c>
      <c r="E645" t="s">
        <v>18</v>
      </c>
      <c r="F645" t="s">
        <v>13</v>
      </c>
      <c r="G645" t="s">
        <v>19</v>
      </c>
      <c r="H645">
        <v>130.93</v>
      </c>
      <c r="I645">
        <v>2888.54</v>
      </c>
      <c r="J645" t="s">
        <v>15</v>
      </c>
      <c r="K645" t="str">
        <f>IF(D645&lt;=12,"0-12 Months",IF(D645&lt;=24,"13-24 Months",IF(D645&lt;=48,"25-48 Months","49+ Months")))</f>
        <v>13-24 Months</v>
      </c>
      <c r="L645">
        <f>IF(Table1346[[#This Row],[Churn]]="Yes",1,0)</f>
        <v>0</v>
      </c>
    </row>
    <row r="646" spans="1:12" x14ac:dyDescent="0.35">
      <c r="A646" t="s">
        <v>668</v>
      </c>
      <c r="B646" t="s">
        <v>17</v>
      </c>
      <c r="C646">
        <v>51</v>
      </c>
      <c r="D646">
        <v>43</v>
      </c>
      <c r="E646" t="s">
        <v>21</v>
      </c>
      <c r="F646" t="s">
        <v>22</v>
      </c>
      <c r="G646" t="s">
        <v>23</v>
      </c>
      <c r="H646">
        <v>62.66</v>
      </c>
      <c r="I646">
        <v>2751.37</v>
      </c>
      <c r="J646" t="s">
        <v>15</v>
      </c>
      <c r="K646" t="str">
        <f>IF(D646&lt;=12,"0-12 Months",IF(D646&lt;=24,"13-24 Months",IF(D646&lt;=48,"25-48 Months","49+ Months")))</f>
        <v>25-48 Months</v>
      </c>
      <c r="L646">
        <f>IF(Table1346[[#This Row],[Churn]]="Yes",1,0)</f>
        <v>0</v>
      </c>
    </row>
    <row r="647" spans="1:12" x14ac:dyDescent="0.35">
      <c r="A647" t="s">
        <v>669</v>
      </c>
      <c r="B647" t="s">
        <v>11</v>
      </c>
      <c r="C647">
        <v>52</v>
      </c>
      <c r="D647">
        <v>15</v>
      </c>
      <c r="E647" t="s">
        <v>12</v>
      </c>
      <c r="F647" t="s">
        <v>22</v>
      </c>
      <c r="G647" t="s">
        <v>23</v>
      </c>
      <c r="H647">
        <v>26.99</v>
      </c>
      <c r="I647">
        <v>415.53</v>
      </c>
      <c r="J647" t="s">
        <v>27</v>
      </c>
      <c r="K647" t="str">
        <f>IF(D647&lt;=12,"0-12 Months",IF(D647&lt;=24,"13-24 Months",IF(D647&lt;=48,"25-48 Months","49+ Months")))</f>
        <v>13-24 Months</v>
      </c>
      <c r="L647">
        <f>IF(Table1346[[#This Row],[Churn]]="Yes",1,0)</f>
        <v>1</v>
      </c>
    </row>
    <row r="648" spans="1:12" x14ac:dyDescent="0.35">
      <c r="A648" t="s">
        <v>670</v>
      </c>
      <c r="B648" t="s">
        <v>11</v>
      </c>
      <c r="C648">
        <v>49</v>
      </c>
      <c r="D648">
        <v>60</v>
      </c>
      <c r="E648" t="s">
        <v>12</v>
      </c>
      <c r="F648" t="s">
        <v>22</v>
      </c>
      <c r="G648" t="s">
        <v>14</v>
      </c>
      <c r="H648">
        <v>107.02</v>
      </c>
      <c r="I648">
        <v>6455.94</v>
      </c>
      <c r="J648" t="s">
        <v>15</v>
      </c>
      <c r="K648" t="str">
        <f>IF(D648&lt;=12,"0-12 Months",IF(D648&lt;=24,"13-24 Months",IF(D648&lt;=48,"25-48 Months","49+ Months")))</f>
        <v>49+ Months</v>
      </c>
      <c r="L648">
        <f>IF(Table1346[[#This Row],[Churn]]="Yes",1,0)</f>
        <v>0</v>
      </c>
    </row>
    <row r="649" spans="1:12" x14ac:dyDescent="0.35">
      <c r="A649" t="s">
        <v>671</v>
      </c>
      <c r="B649" t="s">
        <v>11</v>
      </c>
      <c r="C649">
        <v>41</v>
      </c>
      <c r="D649">
        <v>12</v>
      </c>
      <c r="E649" t="s">
        <v>21</v>
      </c>
      <c r="F649" t="s">
        <v>29</v>
      </c>
      <c r="G649" t="s">
        <v>14</v>
      </c>
      <c r="H649">
        <v>50.07</v>
      </c>
      <c r="I649">
        <v>610.76</v>
      </c>
      <c r="J649" t="s">
        <v>15</v>
      </c>
      <c r="K649" t="str">
        <f>IF(D649&lt;=12,"0-12 Months",IF(D649&lt;=24,"13-24 Months",IF(D649&lt;=48,"25-48 Months","49+ Months")))</f>
        <v>0-12 Months</v>
      </c>
      <c r="L649">
        <f>IF(Table1346[[#This Row],[Churn]]="Yes",1,0)</f>
        <v>0</v>
      </c>
    </row>
    <row r="650" spans="1:12" x14ac:dyDescent="0.35">
      <c r="A650" t="s">
        <v>672</v>
      </c>
      <c r="B650" t="s">
        <v>17</v>
      </c>
      <c r="C650">
        <v>31</v>
      </c>
      <c r="D650">
        <v>49</v>
      </c>
      <c r="E650" t="s">
        <v>18</v>
      </c>
      <c r="F650" t="s">
        <v>13</v>
      </c>
      <c r="G650" t="s">
        <v>14</v>
      </c>
      <c r="H650">
        <v>51.66</v>
      </c>
      <c r="I650">
        <v>2624.39</v>
      </c>
      <c r="J650" t="s">
        <v>15</v>
      </c>
      <c r="K650" t="str">
        <f>IF(D650&lt;=12,"0-12 Months",IF(D650&lt;=24,"13-24 Months",IF(D650&lt;=48,"25-48 Months","49+ Months")))</f>
        <v>49+ Months</v>
      </c>
      <c r="L650">
        <f>IF(Table1346[[#This Row],[Churn]]="Yes",1,0)</f>
        <v>0</v>
      </c>
    </row>
    <row r="651" spans="1:12" x14ac:dyDescent="0.35">
      <c r="A651" t="s">
        <v>673</v>
      </c>
      <c r="B651" t="s">
        <v>11</v>
      </c>
      <c r="C651">
        <v>49</v>
      </c>
      <c r="D651">
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/v>
      </c>
      <c r="J651" t="s">
        <v>15</v>
      </c>
      <c r="K651" t="str">
        <f>IF(D651&lt;=12,"0-12 Months",IF(D651&lt;=24,"13-24 Months",IF(D651&lt;=48,"25-48 Months","49+ Months")))</f>
        <v>25-48 Months</v>
      </c>
      <c r="L651">
        <f>IF(Table1346[[#This Row],[Churn]]="Yes",1,0)</f>
        <v>0</v>
      </c>
    </row>
    <row r="652" spans="1:12" x14ac:dyDescent="0.35">
      <c r="A652" t="s">
        <v>674</v>
      </c>
      <c r="B652" t="s">
        <v>11</v>
      </c>
      <c r="C652">
        <v>63</v>
      </c>
      <c r="D652">
        <v>38</v>
      </c>
      <c r="E652" t="s">
        <v>21</v>
      </c>
      <c r="F652" t="s">
        <v>29</v>
      </c>
      <c r="G652" t="s">
        <v>23</v>
      </c>
      <c r="H652">
        <v>28.28</v>
      </c>
      <c r="I652">
        <v>1123.53</v>
      </c>
      <c r="J652" t="s">
        <v>15</v>
      </c>
      <c r="K652" t="str">
        <f>IF(D652&lt;=12,"0-12 Months",IF(D652&lt;=24,"13-24 Months",IF(D652&lt;=48,"25-48 Months","49+ Months")))</f>
        <v>25-48 Months</v>
      </c>
      <c r="L652">
        <f>IF(Table1346[[#This Row],[Churn]]="Yes",1,0)</f>
        <v>0</v>
      </c>
    </row>
    <row r="653" spans="1:12" x14ac:dyDescent="0.35">
      <c r="A653" t="s">
        <v>675</v>
      </c>
      <c r="B653" t="s">
        <v>17</v>
      </c>
      <c r="C653">
        <v>60</v>
      </c>
      <c r="D653">
        <v>45</v>
      </c>
      <c r="E653" t="s">
        <v>12</v>
      </c>
      <c r="F653" t="s">
        <v>13</v>
      </c>
      <c r="G653" t="s">
        <v>23</v>
      </c>
      <c r="H653">
        <v>43.03</v>
      </c>
      <c r="I653">
        <v>2079.4899999999998</v>
      </c>
      <c r="J653" t="s">
        <v>15</v>
      </c>
      <c r="K653" t="str">
        <f>IF(D653&lt;=12,"0-12 Months",IF(D653&lt;=24,"13-24 Months",IF(D653&lt;=48,"25-48 Months","49+ Months")))</f>
        <v>25-48 Months</v>
      </c>
      <c r="L653">
        <f>IF(Table1346[[#This Row],[Churn]]="Yes",1,0)</f>
        <v>0</v>
      </c>
    </row>
    <row r="654" spans="1:12" x14ac:dyDescent="0.35">
      <c r="A654" t="s">
        <v>676</v>
      </c>
      <c r="B654" t="s">
        <v>11</v>
      </c>
      <c r="C654">
        <v>33</v>
      </c>
      <c r="D654">
        <v>35</v>
      </c>
      <c r="E654" t="s">
        <v>12</v>
      </c>
      <c r="F654" t="s">
        <v>29</v>
      </c>
      <c r="G654" t="s">
        <v>14</v>
      </c>
      <c r="H654">
        <v>20.67</v>
      </c>
      <c r="I654">
        <v>678.52</v>
      </c>
      <c r="J654" t="s">
        <v>15</v>
      </c>
      <c r="K654" t="str">
        <f>IF(D654&lt;=12,"0-12 Months",IF(D654&lt;=24,"13-24 Months",IF(D654&lt;=48,"25-48 Months","49+ Months")))</f>
        <v>25-48 Months</v>
      </c>
      <c r="L654">
        <f>IF(Table1346[[#This Row],[Churn]]="Yes",1,0)</f>
        <v>0</v>
      </c>
    </row>
    <row r="655" spans="1:12" x14ac:dyDescent="0.35">
      <c r="A655" t="s">
        <v>677</v>
      </c>
      <c r="B655" t="s">
        <v>11</v>
      </c>
      <c r="C655">
        <v>21</v>
      </c>
      <c r="D655">
        <v>30</v>
      </c>
      <c r="E655" t="s">
        <v>18</v>
      </c>
      <c r="F655" t="s">
        <v>29</v>
      </c>
      <c r="G655" t="s">
        <v>19</v>
      </c>
      <c r="H655">
        <v>77.900000000000006</v>
      </c>
      <c r="I655">
        <v>2290.8000000000002</v>
      </c>
      <c r="J655" t="s">
        <v>27</v>
      </c>
      <c r="K655" t="str">
        <f>IF(D655&lt;=12,"0-12 Months",IF(D655&lt;=24,"13-24 Months",IF(D655&lt;=48,"25-48 Months","49+ Months")))</f>
        <v>25-48 Months</v>
      </c>
      <c r="L655">
        <f>IF(Table1346[[#This Row],[Churn]]="Yes",1,0)</f>
        <v>1</v>
      </c>
    </row>
    <row r="656" spans="1:12" x14ac:dyDescent="0.35">
      <c r="A656" t="s">
        <v>678</v>
      </c>
      <c r="B656" t="s">
        <v>17</v>
      </c>
      <c r="C656">
        <v>69</v>
      </c>
      <c r="D656">
        <v>30</v>
      </c>
      <c r="E656" t="s">
        <v>12</v>
      </c>
      <c r="F656" t="s">
        <v>29</v>
      </c>
      <c r="G656" t="s">
        <v>23</v>
      </c>
      <c r="H656">
        <v>30.95</v>
      </c>
      <c r="I656">
        <v>1011.66</v>
      </c>
      <c r="J656" t="s">
        <v>15</v>
      </c>
      <c r="K656" t="str">
        <f>IF(D656&lt;=12,"0-12 Months",IF(D656&lt;=24,"13-24 Months",IF(D656&lt;=48,"25-48 Months","49+ Months")))</f>
        <v>25-48 Months</v>
      </c>
      <c r="L656">
        <f>IF(Table1346[[#This Row],[Churn]]="Yes",1,0)</f>
        <v>0</v>
      </c>
    </row>
    <row r="657" spans="1:12" x14ac:dyDescent="0.35">
      <c r="A657" t="s">
        <v>679</v>
      </c>
      <c r="B657" t="s">
        <v>11</v>
      </c>
      <c r="C657">
        <v>54</v>
      </c>
      <c r="D657">
        <v>6</v>
      </c>
      <c r="E657" t="s">
        <v>12</v>
      </c>
      <c r="F657" t="s">
        <v>33</v>
      </c>
      <c r="G657" t="s">
        <v>23</v>
      </c>
      <c r="H657">
        <v>108.74</v>
      </c>
      <c r="I657">
        <v>638.95000000000005</v>
      </c>
      <c r="J657" t="s">
        <v>15</v>
      </c>
      <c r="K657" t="str">
        <f>IF(D657&lt;=12,"0-12 Months",IF(D657&lt;=24,"13-24 Months",IF(D657&lt;=48,"25-48 Months","49+ Months")))</f>
        <v>0-12 Months</v>
      </c>
      <c r="L657">
        <f>IF(Table1346[[#This Row],[Churn]]="Yes",1,0)</f>
        <v>0</v>
      </c>
    </row>
    <row r="658" spans="1:12" x14ac:dyDescent="0.35">
      <c r="A658" t="s">
        <v>680</v>
      </c>
      <c r="B658" t="s">
        <v>11</v>
      </c>
      <c r="C658">
        <v>38</v>
      </c>
      <c r="D658">
        <v>67</v>
      </c>
      <c r="E658" t="s">
        <v>12</v>
      </c>
      <c r="F658" t="s">
        <v>33</v>
      </c>
      <c r="G658" t="s">
        <v>14</v>
      </c>
      <c r="H658">
        <v>50.63</v>
      </c>
      <c r="I658">
        <v>3137.71</v>
      </c>
      <c r="J658" t="s">
        <v>15</v>
      </c>
      <c r="K658" t="str">
        <f>IF(D658&lt;=12,"0-12 Months",IF(D658&lt;=24,"13-24 Months",IF(D658&lt;=48,"25-48 Months","49+ Months")))</f>
        <v>49+ Months</v>
      </c>
      <c r="L658">
        <f>IF(Table1346[[#This Row],[Churn]]="Yes",1,0)</f>
        <v>0</v>
      </c>
    </row>
    <row r="659" spans="1:12" x14ac:dyDescent="0.35">
      <c r="A659" t="s">
        <v>681</v>
      </c>
      <c r="B659" t="s">
        <v>11</v>
      </c>
      <c r="C659">
        <v>31</v>
      </c>
      <c r="D659">
        <v>7</v>
      </c>
      <c r="E659" t="s">
        <v>21</v>
      </c>
      <c r="F659" t="s">
        <v>22</v>
      </c>
      <c r="G659" t="s">
        <v>14</v>
      </c>
      <c r="H659">
        <v>142.66</v>
      </c>
      <c r="I659">
        <v>1003.7</v>
      </c>
      <c r="J659" t="s">
        <v>15</v>
      </c>
      <c r="K659" t="str">
        <f>IF(D659&lt;=12,"0-12 Months",IF(D659&lt;=24,"13-24 Months",IF(D659&lt;=48,"25-48 Months","49+ Months")))</f>
        <v>0-12 Months</v>
      </c>
      <c r="L659">
        <f>IF(Table1346[[#This Row],[Churn]]="Yes",1,0)</f>
        <v>0</v>
      </c>
    </row>
    <row r="660" spans="1:12" x14ac:dyDescent="0.35">
      <c r="A660" t="s">
        <v>682</v>
      </c>
      <c r="B660" t="s">
        <v>17</v>
      </c>
      <c r="C660">
        <v>48</v>
      </c>
      <c r="D660">
        <v>52</v>
      </c>
      <c r="E660" t="s">
        <v>18</v>
      </c>
      <c r="F660" t="s">
        <v>33</v>
      </c>
      <c r="G660" t="s">
        <v>14</v>
      </c>
      <c r="H660">
        <v>133.26</v>
      </c>
      <c r="I660">
        <v>6388.31</v>
      </c>
      <c r="J660" t="s">
        <v>15</v>
      </c>
      <c r="K660" t="str">
        <f>IF(D660&lt;=12,"0-12 Months",IF(D660&lt;=24,"13-24 Months",IF(D660&lt;=48,"25-48 Months","49+ Months")))</f>
        <v>49+ Months</v>
      </c>
      <c r="L660">
        <f>IF(Table1346[[#This Row],[Churn]]="Yes",1,0)</f>
        <v>0</v>
      </c>
    </row>
    <row r="661" spans="1:12" x14ac:dyDescent="0.35">
      <c r="A661" t="s">
        <v>683</v>
      </c>
      <c r="B661" t="s">
        <v>17</v>
      </c>
      <c r="C661">
        <v>65</v>
      </c>
      <c r="D661">
        <v>14</v>
      </c>
      <c r="E661" t="s">
        <v>12</v>
      </c>
      <c r="F661" t="s">
        <v>22</v>
      </c>
      <c r="G661" t="s">
        <v>23</v>
      </c>
      <c r="H661">
        <v>57.63</v>
      </c>
      <c r="I661">
        <v>758.87</v>
      </c>
      <c r="J661" t="s">
        <v>27</v>
      </c>
      <c r="K661" t="str">
        <f>IF(D661&lt;=12,"0-12 Months",IF(D661&lt;=24,"13-24 Months",IF(D661&lt;=48,"25-48 Months","49+ Months")))</f>
        <v>13-24 Months</v>
      </c>
      <c r="L661">
        <f>IF(Table1346[[#This Row],[Churn]]="Yes",1,0)</f>
        <v>1</v>
      </c>
    </row>
    <row r="662" spans="1:12" x14ac:dyDescent="0.35">
      <c r="A662" t="s">
        <v>684</v>
      </c>
      <c r="B662" t="s">
        <v>17</v>
      </c>
      <c r="C662">
        <v>35</v>
      </c>
      <c r="D662">
        <v>15</v>
      </c>
      <c r="E662" t="s">
        <v>12</v>
      </c>
      <c r="F662" t="s">
        <v>13</v>
      </c>
      <c r="G662" t="s">
        <v>14</v>
      </c>
      <c r="H662">
        <v>121.82</v>
      </c>
      <c r="I662">
        <v>2009.42</v>
      </c>
      <c r="J662" t="s">
        <v>15</v>
      </c>
      <c r="K662" t="str">
        <f>IF(D662&lt;=12,"0-12 Months",IF(D662&lt;=24,"13-24 Months",IF(D662&lt;=48,"25-48 Months","49+ Months")))</f>
        <v>13-24 Months</v>
      </c>
      <c r="L662">
        <f>IF(Table1346[[#This Row],[Churn]]="Yes",1,0)</f>
        <v>0</v>
      </c>
    </row>
    <row r="663" spans="1:12" x14ac:dyDescent="0.35">
      <c r="A663" t="s">
        <v>685</v>
      </c>
      <c r="B663" t="s">
        <v>11</v>
      </c>
      <c r="C663">
        <v>24</v>
      </c>
      <c r="D663">
        <v>21</v>
      </c>
      <c r="E663" t="s">
        <v>21</v>
      </c>
      <c r="F663" t="s">
        <v>29</v>
      </c>
      <c r="G663" t="s">
        <v>19</v>
      </c>
      <c r="H663">
        <v>124.42</v>
      </c>
      <c r="I663">
        <v>2634.43</v>
      </c>
      <c r="J663" t="s">
        <v>15</v>
      </c>
      <c r="K663" t="str">
        <f>IF(D663&lt;=12,"0-12 Months",IF(D663&lt;=24,"13-24 Months",IF(D663&lt;=48,"25-48 Months","49+ Months")))</f>
        <v>13-24 Months</v>
      </c>
      <c r="L663">
        <f>IF(Table1346[[#This Row],[Churn]]="Yes",1,0)</f>
        <v>0</v>
      </c>
    </row>
    <row r="664" spans="1:12" x14ac:dyDescent="0.35">
      <c r="A664" t="s">
        <v>686</v>
      </c>
      <c r="B664" t="s">
        <v>11</v>
      </c>
      <c r="C664">
        <v>27</v>
      </c>
      <c r="D664">
        <v>35</v>
      </c>
      <c r="E664" t="s">
        <v>18</v>
      </c>
      <c r="F664" t="s">
        <v>22</v>
      </c>
      <c r="G664" t="s">
        <v>19</v>
      </c>
      <c r="H664">
        <v>148.25</v>
      </c>
      <c r="I664">
        <v>4964.66</v>
      </c>
      <c r="J664" t="s">
        <v>27</v>
      </c>
      <c r="K664" t="str">
        <f>IF(D664&lt;=12,"0-12 Months",IF(D664&lt;=24,"13-24 Months",IF(D664&lt;=48,"25-48 Months","49+ Months")))</f>
        <v>25-48 Months</v>
      </c>
      <c r="L664">
        <f>IF(Table1346[[#This Row],[Churn]]="Yes",1,0)</f>
        <v>1</v>
      </c>
    </row>
    <row r="665" spans="1:12" x14ac:dyDescent="0.35">
      <c r="A665" t="s">
        <v>687</v>
      </c>
      <c r="B665" t="s">
        <v>17</v>
      </c>
      <c r="C665">
        <v>24</v>
      </c>
      <c r="D665">
        <v>66</v>
      </c>
      <c r="E665" t="s">
        <v>12</v>
      </c>
      <c r="F665" t="s">
        <v>22</v>
      </c>
      <c r="G665" t="s">
        <v>19</v>
      </c>
      <c r="H665">
        <v>97.72</v>
      </c>
      <c r="I665">
        <v>7087.73</v>
      </c>
      <c r="J665" t="s">
        <v>15</v>
      </c>
      <c r="K665" t="str">
        <f>IF(D665&lt;=12,"0-12 Months",IF(D665&lt;=24,"13-24 Months",IF(D665&lt;=48,"25-48 Months","49+ Months")))</f>
        <v>49+ Months</v>
      </c>
      <c r="L665">
        <f>IF(Table1346[[#This Row],[Churn]]="Yes",1,0)</f>
        <v>0</v>
      </c>
    </row>
    <row r="666" spans="1:12" x14ac:dyDescent="0.35">
      <c r="A666" t="s">
        <v>688</v>
      </c>
      <c r="B666" t="s">
        <v>11</v>
      </c>
      <c r="C666">
        <v>50</v>
      </c>
      <c r="D666">
        <v>2</v>
      </c>
      <c r="E666" t="s">
        <v>12</v>
      </c>
      <c r="F666" t="s">
        <v>22</v>
      </c>
      <c r="G666" t="s">
        <v>23</v>
      </c>
      <c r="H666">
        <v>30.66</v>
      </c>
      <c r="I666">
        <v>67.040000000000006</v>
      </c>
      <c r="J666" t="s">
        <v>27</v>
      </c>
      <c r="K666" t="str">
        <f>IF(D666&lt;=12,"0-12 Months",IF(D666&lt;=24,"13-24 Months",IF(D666&lt;=48,"25-48 Months","49+ Months")))</f>
        <v>0-12 Months</v>
      </c>
      <c r="L666">
        <f>IF(Table1346[[#This Row],[Churn]]="Yes",1,0)</f>
        <v>1</v>
      </c>
    </row>
    <row r="667" spans="1:12" x14ac:dyDescent="0.35">
      <c r="A667" t="s">
        <v>689</v>
      </c>
      <c r="B667" t="s">
        <v>11</v>
      </c>
      <c r="C667">
        <v>40</v>
      </c>
      <c r="D667">
        <v>35</v>
      </c>
      <c r="E667" t="s">
        <v>12</v>
      </c>
      <c r="F667" t="s">
        <v>22</v>
      </c>
      <c r="G667" t="s">
        <v>14</v>
      </c>
      <c r="H667">
        <v>104.09</v>
      </c>
      <c r="I667">
        <v>3599.97</v>
      </c>
      <c r="J667" t="s">
        <v>15</v>
      </c>
      <c r="K667" t="str">
        <f>IF(D667&lt;=12,"0-12 Months",IF(D667&lt;=24,"13-24 Months",IF(D667&lt;=48,"25-48 Months","49+ Months")))</f>
        <v>25-48 Months</v>
      </c>
      <c r="L667">
        <f>IF(Table1346[[#This Row],[Churn]]="Yes",1,0)</f>
        <v>0</v>
      </c>
    </row>
    <row r="668" spans="1:12" x14ac:dyDescent="0.35">
      <c r="A668" t="s">
        <v>690</v>
      </c>
      <c r="B668" t="s">
        <v>17</v>
      </c>
      <c r="C668">
        <v>38</v>
      </c>
      <c r="D668">
        <v>20</v>
      </c>
      <c r="E668" t="s">
        <v>18</v>
      </c>
      <c r="F668" t="s">
        <v>13</v>
      </c>
      <c r="G668" t="s">
        <v>14</v>
      </c>
      <c r="H668">
        <v>101.25</v>
      </c>
      <c r="I668">
        <v>1927.96</v>
      </c>
      <c r="J668" t="s">
        <v>15</v>
      </c>
      <c r="K668" t="str">
        <f>IF(D668&lt;=12,"0-12 Months",IF(D668&lt;=24,"13-24 Months",IF(D668&lt;=48,"25-48 Months","49+ Months")))</f>
        <v>13-24 Months</v>
      </c>
      <c r="L668">
        <f>IF(Table1346[[#This Row],[Churn]]="Yes",1,0)</f>
        <v>0</v>
      </c>
    </row>
    <row r="669" spans="1:12" x14ac:dyDescent="0.35">
      <c r="A669" t="s">
        <v>691</v>
      </c>
      <c r="B669" t="s">
        <v>17</v>
      </c>
      <c r="C669">
        <v>36</v>
      </c>
      <c r="D669">
        <v>10</v>
      </c>
      <c r="E669" t="s">
        <v>12</v>
      </c>
      <c r="F669" t="s">
        <v>22</v>
      </c>
      <c r="G669" t="s">
        <v>14</v>
      </c>
      <c r="H669">
        <v>102.99</v>
      </c>
      <c r="I669">
        <v>1099.5999999999999</v>
      </c>
      <c r="J669" t="s">
        <v>15</v>
      </c>
      <c r="K669" t="str">
        <f>IF(D669&lt;=12,"0-12 Months",IF(D669&lt;=24,"13-24 Months",IF(D669&lt;=48,"25-48 Months","49+ Months")))</f>
        <v>0-12 Months</v>
      </c>
      <c r="L669">
        <f>IF(Table1346[[#This Row],[Churn]]="Yes",1,0)</f>
        <v>0</v>
      </c>
    </row>
    <row r="670" spans="1:12" x14ac:dyDescent="0.35">
      <c r="A670" t="s">
        <v>692</v>
      </c>
      <c r="B670" t="s">
        <v>11</v>
      </c>
      <c r="C670">
        <v>65</v>
      </c>
      <c r="D670">
        <v>25</v>
      </c>
      <c r="E670" t="s">
        <v>12</v>
      </c>
      <c r="F670" t="s">
        <v>33</v>
      </c>
      <c r="G670" t="s">
        <v>23</v>
      </c>
      <c r="H670">
        <v>59.93</v>
      </c>
      <c r="I670">
        <v>1562.86</v>
      </c>
      <c r="J670" t="s">
        <v>15</v>
      </c>
      <c r="K670" t="str">
        <f>IF(D670&lt;=12,"0-12 Months",IF(D670&lt;=24,"13-24 Months",IF(D670&lt;=48,"25-48 Months","49+ Months")))</f>
        <v>25-48 Months</v>
      </c>
      <c r="L670">
        <f>IF(Table1346[[#This Row],[Churn]]="Yes",1,0)</f>
        <v>0</v>
      </c>
    </row>
    <row r="671" spans="1:12" x14ac:dyDescent="0.35">
      <c r="A671" t="s">
        <v>693</v>
      </c>
      <c r="B671" t="s">
        <v>11</v>
      </c>
      <c r="C671">
        <v>36</v>
      </c>
      <c r="D671">
        <v>66</v>
      </c>
      <c r="E671" t="s">
        <v>21</v>
      </c>
      <c r="F671" t="s">
        <v>13</v>
      </c>
      <c r="G671" t="s">
        <v>14</v>
      </c>
      <c r="H671">
        <v>131.76</v>
      </c>
      <c r="I671">
        <v>9021.2900000000009</v>
      </c>
      <c r="J671" t="s">
        <v>15</v>
      </c>
      <c r="K671" t="str">
        <f>IF(D671&lt;=12,"0-12 Months",IF(D671&lt;=24,"13-24 Months",IF(D671&lt;=48,"25-48 Months","49+ Months")))</f>
        <v>49+ Months</v>
      </c>
      <c r="L671">
        <f>IF(Table1346[[#This Row],[Churn]]="Yes",1,0)</f>
        <v>0</v>
      </c>
    </row>
    <row r="672" spans="1:12" x14ac:dyDescent="0.35">
      <c r="A672" t="s">
        <v>694</v>
      </c>
      <c r="B672" t="s">
        <v>11</v>
      </c>
      <c r="C672">
        <v>53</v>
      </c>
      <c r="D672">
        <v>25</v>
      </c>
      <c r="E672" t="s">
        <v>21</v>
      </c>
      <c r="F672" t="s">
        <v>22</v>
      </c>
      <c r="G672" t="s">
        <v>23</v>
      </c>
      <c r="H672">
        <v>144.72999999999999</v>
      </c>
      <c r="I672">
        <v>3902.73</v>
      </c>
      <c r="J672" t="s">
        <v>15</v>
      </c>
      <c r="K672" t="str">
        <f>IF(D672&lt;=12,"0-12 Months",IF(D672&lt;=24,"13-24 Months",IF(D672&lt;=48,"25-48 Months","49+ Months")))</f>
        <v>25-48 Months</v>
      </c>
      <c r="L672">
        <f>IF(Table1346[[#This Row],[Churn]]="Yes",1,0)</f>
        <v>0</v>
      </c>
    </row>
    <row r="673" spans="1:12" x14ac:dyDescent="0.35">
      <c r="A673" t="s">
        <v>695</v>
      </c>
      <c r="B673" t="s">
        <v>17</v>
      </c>
      <c r="C673">
        <v>46</v>
      </c>
      <c r="D673">
        <v>54</v>
      </c>
      <c r="E673" t="s">
        <v>12</v>
      </c>
      <c r="F673" t="s">
        <v>13</v>
      </c>
      <c r="G673" t="s">
        <v>14</v>
      </c>
      <c r="H673">
        <v>48.3</v>
      </c>
      <c r="I673">
        <v>2707.01</v>
      </c>
      <c r="J673" t="s">
        <v>15</v>
      </c>
      <c r="K673" t="str">
        <f>IF(D673&lt;=12,"0-12 Months",IF(D673&lt;=24,"13-24 Months",IF(D673&lt;=48,"25-48 Months","49+ Months")))</f>
        <v>49+ Months</v>
      </c>
      <c r="L673">
        <f>IF(Table1346[[#This Row],[Churn]]="Yes",1,0)</f>
        <v>0</v>
      </c>
    </row>
    <row r="674" spans="1:12" x14ac:dyDescent="0.35">
      <c r="A674" t="s">
        <v>696</v>
      </c>
      <c r="B674" t="s">
        <v>17</v>
      </c>
      <c r="C674">
        <v>35</v>
      </c>
      <c r="D674">
        <v>33</v>
      </c>
      <c r="E674" t="s">
        <v>18</v>
      </c>
      <c r="F674" t="s">
        <v>22</v>
      </c>
      <c r="G674" t="s">
        <v>14</v>
      </c>
      <c r="H674">
        <v>31.46</v>
      </c>
      <c r="I674">
        <v>993.29</v>
      </c>
      <c r="J674" t="s">
        <v>15</v>
      </c>
      <c r="K674" t="str">
        <f>IF(D674&lt;=12,"0-12 Months",IF(D674&lt;=24,"13-24 Months",IF(D674&lt;=48,"25-48 Months","49+ Months")))</f>
        <v>25-48 Months</v>
      </c>
      <c r="L674">
        <f>IF(Table1346[[#This Row],[Churn]]="Yes",1,0)</f>
        <v>0</v>
      </c>
    </row>
    <row r="675" spans="1:12" x14ac:dyDescent="0.35">
      <c r="A675" t="s">
        <v>697</v>
      </c>
      <c r="B675" t="s">
        <v>17</v>
      </c>
      <c r="C675">
        <v>19</v>
      </c>
      <c r="D675">
        <v>36</v>
      </c>
      <c r="E675" t="s">
        <v>12</v>
      </c>
      <c r="F675" t="s">
        <v>22</v>
      </c>
      <c r="G675" t="s">
        <v>19</v>
      </c>
      <c r="H675">
        <v>45.29</v>
      </c>
      <c r="I675">
        <v>1693.66</v>
      </c>
      <c r="J675" t="s">
        <v>15</v>
      </c>
      <c r="K675" t="str">
        <f>IF(D675&lt;=12,"0-12 Months",IF(D675&lt;=24,"13-24 Months",IF(D675&lt;=48,"25-48 Months","49+ Months")))</f>
        <v>25-48 Months</v>
      </c>
      <c r="L675">
        <f>IF(Table1346[[#This Row],[Churn]]="Yes",1,0)</f>
        <v>0</v>
      </c>
    </row>
    <row r="676" spans="1:12" x14ac:dyDescent="0.35">
      <c r="A676" t="s">
        <v>698</v>
      </c>
      <c r="B676" t="s">
        <v>17</v>
      </c>
      <c r="C676">
        <v>18</v>
      </c>
      <c r="D676">
        <v>14</v>
      </c>
      <c r="E676" t="s">
        <v>21</v>
      </c>
      <c r="F676" t="s">
        <v>29</v>
      </c>
      <c r="G676" t="s">
        <v>19</v>
      </c>
      <c r="H676">
        <v>126.67</v>
      </c>
      <c r="I676">
        <v>1704.51</v>
      </c>
      <c r="J676" t="s">
        <v>15</v>
      </c>
      <c r="K676" t="str">
        <f>IF(D676&lt;=12,"0-12 Months",IF(D676&lt;=24,"13-24 Months",IF(D676&lt;=48,"25-48 Months","49+ Months")))</f>
        <v>13-24 Months</v>
      </c>
      <c r="L676">
        <f>IF(Table1346[[#This Row],[Churn]]="Yes",1,0)</f>
        <v>0</v>
      </c>
    </row>
    <row r="677" spans="1:12" x14ac:dyDescent="0.35">
      <c r="A677" t="s">
        <v>699</v>
      </c>
      <c r="B677" t="s">
        <v>11</v>
      </c>
      <c r="C677">
        <v>64</v>
      </c>
      <c r="D677">
        <v>65</v>
      </c>
      <c r="E677" t="s">
        <v>12</v>
      </c>
      <c r="F677" t="s">
        <v>22</v>
      </c>
      <c r="G677" t="s">
        <v>23</v>
      </c>
      <c r="H677">
        <v>107.96</v>
      </c>
      <c r="I677">
        <v>7381.24</v>
      </c>
      <c r="J677" t="s">
        <v>27</v>
      </c>
      <c r="K677" t="str">
        <f>IF(D677&lt;=12,"0-12 Months",IF(D677&lt;=24,"13-24 Months",IF(D677&lt;=48,"25-48 Months","49+ Months")))</f>
        <v>49+ Months</v>
      </c>
      <c r="L677">
        <f>IF(Table1346[[#This Row],[Churn]]="Yes",1,0)</f>
        <v>1</v>
      </c>
    </row>
    <row r="678" spans="1:12" x14ac:dyDescent="0.35">
      <c r="A678" t="s">
        <v>700</v>
      </c>
      <c r="B678" t="s">
        <v>17</v>
      </c>
      <c r="C678">
        <v>22</v>
      </c>
      <c r="D678">
        <v>54</v>
      </c>
      <c r="E678" t="s">
        <v>21</v>
      </c>
      <c r="F678" t="s">
        <v>29</v>
      </c>
      <c r="G678" t="s">
        <v>19</v>
      </c>
      <c r="H678">
        <v>102.69</v>
      </c>
      <c r="I678">
        <v>5678.07</v>
      </c>
      <c r="J678" t="s">
        <v>27</v>
      </c>
      <c r="K678" t="str">
        <f>IF(D678&lt;=12,"0-12 Months",IF(D678&lt;=24,"13-24 Months",IF(D678&lt;=48,"25-48 Months","49+ Months")))</f>
        <v>49+ Months</v>
      </c>
      <c r="L678">
        <f>IF(Table1346[[#This Row],[Churn]]="Yes",1,0)</f>
        <v>1</v>
      </c>
    </row>
    <row r="679" spans="1:12" x14ac:dyDescent="0.35">
      <c r="A679" t="s">
        <v>701</v>
      </c>
      <c r="B679" t="s">
        <v>17</v>
      </c>
      <c r="C679">
        <v>37</v>
      </c>
      <c r="D679">
        <v>52</v>
      </c>
      <c r="E679" t="s">
        <v>12</v>
      </c>
      <c r="F679" t="s">
        <v>22</v>
      </c>
      <c r="G679" t="s">
        <v>14</v>
      </c>
      <c r="H679">
        <v>72.23</v>
      </c>
      <c r="I679">
        <v>3438.51</v>
      </c>
      <c r="J679" t="s">
        <v>15</v>
      </c>
      <c r="K679" t="str">
        <f>IF(D679&lt;=12,"0-12 Months",IF(D679&lt;=24,"13-24 Months",IF(D679&lt;=48,"25-48 Months","49+ Months")))</f>
        <v>49+ Months</v>
      </c>
      <c r="L679">
        <f>IF(Table1346[[#This Row],[Churn]]="Yes",1,0)</f>
        <v>0</v>
      </c>
    </row>
    <row r="680" spans="1:12" x14ac:dyDescent="0.35">
      <c r="A680" t="s">
        <v>702</v>
      </c>
      <c r="B680" t="s">
        <v>17</v>
      </c>
      <c r="C680">
        <v>28</v>
      </c>
      <c r="D680">
        <v>3</v>
      </c>
      <c r="E680" t="s">
        <v>18</v>
      </c>
      <c r="F680" t="s">
        <v>13</v>
      </c>
      <c r="G680" t="s">
        <v>19</v>
      </c>
      <c r="H680">
        <v>95.12</v>
      </c>
      <c r="I680">
        <v>286.08999999999997</v>
      </c>
      <c r="J680" t="s">
        <v>15</v>
      </c>
      <c r="K680" t="str">
        <f>IF(D680&lt;=12,"0-12 Months",IF(D680&lt;=24,"13-24 Months",IF(D680&lt;=48,"25-48 Months","49+ Months")))</f>
        <v>0-12 Months</v>
      </c>
      <c r="L680">
        <f>IF(Table1346[[#This Row],[Churn]]="Yes",1,0)</f>
        <v>0</v>
      </c>
    </row>
    <row r="681" spans="1:12" x14ac:dyDescent="0.35">
      <c r="A681" t="s">
        <v>703</v>
      </c>
      <c r="B681" t="s">
        <v>17</v>
      </c>
      <c r="C681">
        <v>59</v>
      </c>
      <c r="D681">
        <v>41</v>
      </c>
      <c r="E681" t="s">
        <v>21</v>
      </c>
      <c r="F681" t="s">
        <v>22</v>
      </c>
      <c r="G681" t="s">
        <v>23</v>
      </c>
      <c r="H681">
        <v>60.02</v>
      </c>
      <c r="I681">
        <v>2383.6999999999998</v>
      </c>
      <c r="J681" t="s">
        <v>15</v>
      </c>
      <c r="K681" t="str">
        <f>IF(D681&lt;=12,"0-12 Months",IF(D681&lt;=24,"13-24 Months",IF(D681&lt;=48,"25-48 Months","49+ Months")))</f>
        <v>25-48 Months</v>
      </c>
      <c r="L681">
        <f>IF(Table1346[[#This Row],[Churn]]="Yes",1,0)</f>
        <v>0</v>
      </c>
    </row>
    <row r="682" spans="1:12" x14ac:dyDescent="0.35">
      <c r="A682" t="s">
        <v>704</v>
      </c>
      <c r="B682" t="s">
        <v>17</v>
      </c>
      <c r="C682">
        <v>19</v>
      </c>
      <c r="D682">
        <v>6</v>
      </c>
      <c r="E682" t="s">
        <v>21</v>
      </c>
      <c r="F682" t="s">
        <v>29</v>
      </c>
      <c r="G682" t="s">
        <v>19</v>
      </c>
      <c r="H682">
        <v>82.04</v>
      </c>
      <c r="I682">
        <v>475.36</v>
      </c>
      <c r="J682" t="s">
        <v>15</v>
      </c>
      <c r="K682" t="str">
        <f>IF(D682&lt;=12,"0-12 Months",IF(D682&lt;=24,"13-24 Months",IF(D682&lt;=48,"25-48 Months","49+ Months")))</f>
        <v>0-12 Months</v>
      </c>
      <c r="L682">
        <f>IF(Table1346[[#This Row],[Churn]]="Yes",1,0)</f>
        <v>0</v>
      </c>
    </row>
    <row r="683" spans="1:12" x14ac:dyDescent="0.35">
      <c r="A683" t="s">
        <v>705</v>
      </c>
      <c r="B683" t="s">
        <v>11</v>
      </c>
      <c r="C683">
        <v>20</v>
      </c>
      <c r="D683">
        <v>25</v>
      </c>
      <c r="E683" t="s">
        <v>21</v>
      </c>
      <c r="F683" t="s">
        <v>22</v>
      </c>
      <c r="G683" t="s">
        <v>19</v>
      </c>
      <c r="H683">
        <v>123.1</v>
      </c>
      <c r="I683">
        <v>3140.44</v>
      </c>
      <c r="J683" t="s">
        <v>15</v>
      </c>
      <c r="K683" t="str">
        <f>IF(D683&lt;=12,"0-12 Months",IF(D683&lt;=24,"13-24 Months",IF(D683&lt;=48,"25-48 Months","49+ Months")))</f>
        <v>25-48 Months</v>
      </c>
      <c r="L683">
        <f>IF(Table1346[[#This Row],[Churn]]="Yes",1,0)</f>
        <v>0</v>
      </c>
    </row>
    <row r="684" spans="1:12" x14ac:dyDescent="0.35">
      <c r="A684" t="s">
        <v>706</v>
      </c>
      <c r="B684" t="s">
        <v>11</v>
      </c>
      <c r="C684">
        <v>40</v>
      </c>
      <c r="D684">
        <v>13</v>
      </c>
      <c r="E684" t="s">
        <v>21</v>
      </c>
      <c r="F684" t="s">
        <v>29</v>
      </c>
      <c r="G684" t="s">
        <v>14</v>
      </c>
      <c r="H684">
        <v>147.56</v>
      </c>
      <c r="I684">
        <v>1850.11</v>
      </c>
      <c r="J684" t="s">
        <v>15</v>
      </c>
      <c r="K684" t="str">
        <f>IF(D684&lt;=12,"0-12 Months",IF(D684&lt;=24,"13-24 Months",IF(D684&lt;=48,"25-48 Months","49+ Months")))</f>
        <v>13-24 Months</v>
      </c>
      <c r="L684">
        <f>IF(Table1346[[#This Row],[Churn]]="Yes",1,0)</f>
        <v>0</v>
      </c>
    </row>
    <row r="685" spans="1:12" x14ac:dyDescent="0.35">
      <c r="A685" t="s">
        <v>707</v>
      </c>
      <c r="B685" t="s">
        <v>17</v>
      </c>
      <c r="C685">
        <v>29</v>
      </c>
      <c r="D685">
        <v>8</v>
      </c>
      <c r="E685" t="s">
        <v>12</v>
      </c>
      <c r="F685" t="s">
        <v>33</v>
      </c>
      <c r="G685" t="s">
        <v>19</v>
      </c>
      <c r="H685">
        <v>141.22</v>
      </c>
      <c r="I685">
        <v>1192.32</v>
      </c>
      <c r="J685" t="s">
        <v>27</v>
      </c>
      <c r="K685" t="str">
        <f>IF(D685&lt;=12,"0-12 Months",IF(D685&lt;=24,"13-24 Months",IF(D685&lt;=48,"25-48 Months","49+ Months")))</f>
        <v>0-12 Months</v>
      </c>
      <c r="L685">
        <f>IF(Table1346[[#This Row],[Churn]]="Yes",1,0)</f>
        <v>1</v>
      </c>
    </row>
    <row r="686" spans="1:12" x14ac:dyDescent="0.35">
      <c r="A686" t="s">
        <v>708</v>
      </c>
      <c r="B686" t="s">
        <v>11</v>
      </c>
      <c r="C686">
        <v>37</v>
      </c>
      <c r="D686">
        <v>21</v>
      </c>
      <c r="E686" t="s">
        <v>12</v>
      </c>
      <c r="F686" t="s">
        <v>33</v>
      </c>
      <c r="G686" t="s">
        <v>14</v>
      </c>
      <c r="H686">
        <v>141.4</v>
      </c>
      <c r="I686">
        <v>2714.5</v>
      </c>
      <c r="J686" t="s">
        <v>27</v>
      </c>
      <c r="K686" t="str">
        <f>IF(D686&lt;=12,"0-12 Months",IF(D686&lt;=24,"13-24 Months",IF(D686&lt;=48,"25-48 Months","49+ Months")))</f>
        <v>13-24 Months</v>
      </c>
      <c r="L686">
        <f>IF(Table1346[[#This Row],[Churn]]="Yes",1,0)</f>
        <v>1</v>
      </c>
    </row>
    <row r="687" spans="1:12" x14ac:dyDescent="0.35">
      <c r="A687" t="s">
        <v>709</v>
      </c>
      <c r="B687" t="s">
        <v>17</v>
      </c>
      <c r="C687">
        <v>22</v>
      </c>
      <c r="D687">
        <v>68</v>
      </c>
      <c r="E687" t="s">
        <v>18</v>
      </c>
      <c r="F687" t="s">
        <v>33</v>
      </c>
      <c r="G687" t="s">
        <v>19</v>
      </c>
      <c r="H687">
        <v>72.290000000000006</v>
      </c>
      <c r="I687">
        <v>5073.3999999999996</v>
      </c>
      <c r="J687" t="s">
        <v>15</v>
      </c>
      <c r="K687" t="str">
        <f>IF(D687&lt;=12,"0-12 Months",IF(D687&lt;=24,"13-24 Months",IF(D687&lt;=48,"25-48 Months","49+ Months")))</f>
        <v>49+ Months</v>
      </c>
      <c r="L687">
        <f>IF(Table1346[[#This Row],[Churn]]="Yes",1,0)</f>
        <v>0</v>
      </c>
    </row>
    <row r="688" spans="1:12" x14ac:dyDescent="0.35">
      <c r="A688" t="s">
        <v>710</v>
      </c>
      <c r="B688" t="s">
        <v>17</v>
      </c>
      <c r="C688">
        <v>54</v>
      </c>
      <c r="D688">
        <v>25</v>
      </c>
      <c r="E688" t="s">
        <v>12</v>
      </c>
      <c r="F688" t="s">
        <v>22</v>
      </c>
      <c r="G688" t="s">
        <v>23</v>
      </c>
      <c r="H688">
        <v>80.94</v>
      </c>
      <c r="I688">
        <v>2148.63</v>
      </c>
      <c r="J688" t="s">
        <v>15</v>
      </c>
      <c r="K688" t="str">
        <f>IF(D688&lt;=12,"0-12 Months",IF(D688&lt;=24,"13-24 Months",IF(D688&lt;=48,"25-48 Months","49+ Months")))</f>
        <v>25-48 Months</v>
      </c>
      <c r="L688">
        <f>IF(Table1346[[#This Row],[Churn]]="Yes",1,0)</f>
        <v>0</v>
      </c>
    </row>
    <row r="689" spans="1:12" x14ac:dyDescent="0.35">
      <c r="A689" t="s">
        <v>711</v>
      </c>
      <c r="B689" t="s">
        <v>11</v>
      </c>
      <c r="C689">
        <v>55</v>
      </c>
      <c r="D689">
        <v>68</v>
      </c>
      <c r="E689" t="s">
        <v>21</v>
      </c>
      <c r="F689" t="s">
        <v>22</v>
      </c>
      <c r="G689" t="s">
        <v>23</v>
      </c>
      <c r="H689">
        <v>111.73</v>
      </c>
      <c r="I689">
        <v>7860.26</v>
      </c>
      <c r="J689" t="s">
        <v>15</v>
      </c>
      <c r="K689" t="str">
        <f>IF(D689&lt;=12,"0-12 Months",IF(D689&lt;=24,"13-24 Months",IF(D689&lt;=48,"25-48 Months","49+ Months")))</f>
        <v>49+ Months</v>
      </c>
      <c r="L689">
        <f>IF(Table1346[[#This Row],[Churn]]="Yes",1,0)</f>
        <v>0</v>
      </c>
    </row>
    <row r="690" spans="1:12" x14ac:dyDescent="0.35">
      <c r="A690" t="s">
        <v>712</v>
      </c>
      <c r="B690" t="s">
        <v>11</v>
      </c>
      <c r="C690">
        <v>47</v>
      </c>
      <c r="D690">
        <v>45</v>
      </c>
      <c r="E690" t="s">
        <v>18</v>
      </c>
      <c r="F690" t="s">
        <v>29</v>
      </c>
      <c r="G690" t="s">
        <v>14</v>
      </c>
      <c r="H690">
        <v>139.88</v>
      </c>
      <c r="I690">
        <v>6291.11</v>
      </c>
      <c r="J690" t="s">
        <v>15</v>
      </c>
      <c r="K690" t="str">
        <f>IF(D690&lt;=12,"0-12 Months",IF(D690&lt;=24,"13-24 Months",IF(D690&lt;=48,"25-48 Months","49+ Months")))</f>
        <v>25-48 Months</v>
      </c>
      <c r="L690">
        <f>IF(Table1346[[#This Row],[Churn]]="Yes",1,0)</f>
        <v>0</v>
      </c>
    </row>
    <row r="691" spans="1:12" x14ac:dyDescent="0.35">
      <c r="A691" t="s">
        <v>713</v>
      </c>
      <c r="B691" t="s">
        <v>17</v>
      </c>
      <c r="C691">
        <v>26</v>
      </c>
      <c r="D691">
        <v>60</v>
      </c>
      <c r="E691" t="s">
        <v>12</v>
      </c>
      <c r="F691" t="s">
        <v>29</v>
      </c>
      <c r="G691" t="s">
        <v>19</v>
      </c>
      <c r="H691">
        <v>38.46</v>
      </c>
      <c r="I691">
        <v>2515.4299999999998</v>
      </c>
      <c r="J691" t="s">
        <v>15</v>
      </c>
      <c r="K691" t="str">
        <f>IF(D691&lt;=12,"0-12 Months",IF(D691&lt;=24,"13-24 Months",IF(D691&lt;=48,"25-48 Months","49+ Months")))</f>
        <v>49+ Months</v>
      </c>
      <c r="L691">
        <f>IF(Table1346[[#This Row],[Churn]]="Yes",1,0)</f>
        <v>0</v>
      </c>
    </row>
    <row r="692" spans="1:12" x14ac:dyDescent="0.35">
      <c r="A692" t="s">
        <v>714</v>
      </c>
      <c r="B692" t="s">
        <v>17</v>
      </c>
      <c r="C692">
        <v>51</v>
      </c>
      <c r="D692">
        <v>12</v>
      </c>
      <c r="E692" t="s">
        <v>21</v>
      </c>
      <c r="F692" t="s">
        <v>13</v>
      </c>
      <c r="G692" t="s">
        <v>23</v>
      </c>
      <c r="H692">
        <v>59.55</v>
      </c>
      <c r="I692">
        <v>686.01</v>
      </c>
      <c r="J692" t="s">
        <v>15</v>
      </c>
      <c r="K692" t="str">
        <f>IF(D692&lt;=12,"0-12 Months",IF(D692&lt;=24,"13-24 Months",IF(D692&lt;=48,"25-48 Months","49+ Months")))</f>
        <v>0-12 Months</v>
      </c>
      <c r="L692">
        <f>IF(Table1346[[#This Row],[Churn]]="Yes",1,0)</f>
        <v>0</v>
      </c>
    </row>
    <row r="693" spans="1:12" x14ac:dyDescent="0.35">
      <c r="A693" t="s">
        <v>715</v>
      </c>
      <c r="B693" t="s">
        <v>17</v>
      </c>
      <c r="C693">
        <v>70</v>
      </c>
      <c r="D693">
        <v>32</v>
      </c>
      <c r="E693" t="s">
        <v>12</v>
      </c>
      <c r="F693" t="s">
        <v>22</v>
      </c>
      <c r="G693" t="s">
        <v>23</v>
      </c>
      <c r="H693">
        <v>38.1</v>
      </c>
      <c r="I693">
        <v>1101.95</v>
      </c>
      <c r="J693" t="s">
        <v>27</v>
      </c>
      <c r="K693" t="str">
        <f>IF(D693&lt;=12,"0-12 Months",IF(D693&lt;=24,"13-24 Months",IF(D693&lt;=48,"25-48 Months","49+ Months")))</f>
        <v>25-48 Months</v>
      </c>
      <c r="L693">
        <f>IF(Table1346[[#This Row],[Churn]]="Yes",1,0)</f>
        <v>1</v>
      </c>
    </row>
    <row r="694" spans="1:12" x14ac:dyDescent="0.35">
      <c r="A694" t="s">
        <v>716</v>
      </c>
      <c r="B694" t="s">
        <v>11</v>
      </c>
      <c r="C694">
        <v>61</v>
      </c>
      <c r="D694">
        <v>13</v>
      </c>
      <c r="E694" t="s">
        <v>21</v>
      </c>
      <c r="F694" t="s">
        <v>33</v>
      </c>
      <c r="G694" t="s">
        <v>23</v>
      </c>
      <c r="H694">
        <v>99.56</v>
      </c>
      <c r="I694">
        <v>1276.68</v>
      </c>
      <c r="J694" t="s">
        <v>15</v>
      </c>
      <c r="K694" t="str">
        <f>IF(D694&lt;=12,"0-12 Months",IF(D694&lt;=24,"13-24 Months",IF(D694&lt;=48,"25-48 Months","49+ Months")))</f>
        <v>13-24 Months</v>
      </c>
      <c r="L694">
        <f>IF(Table1346[[#This Row],[Churn]]="Yes",1,0)</f>
        <v>0</v>
      </c>
    </row>
    <row r="695" spans="1:12" x14ac:dyDescent="0.35">
      <c r="A695" t="s">
        <v>717</v>
      </c>
      <c r="B695" t="s">
        <v>17</v>
      </c>
      <c r="C695">
        <v>52</v>
      </c>
      <c r="D695">
        <v>31</v>
      </c>
      <c r="E695" t="s">
        <v>12</v>
      </c>
      <c r="F695" t="s">
        <v>29</v>
      </c>
      <c r="G695" t="s">
        <v>23</v>
      </c>
      <c r="H695">
        <v>59.82</v>
      </c>
      <c r="I695">
        <v>1681.22</v>
      </c>
      <c r="J695" t="s">
        <v>15</v>
      </c>
      <c r="K695" t="str">
        <f>IF(D695&lt;=12,"0-12 Months",IF(D695&lt;=24,"13-24 Months",IF(D695&lt;=48,"25-48 Months","49+ Months")))</f>
        <v>25-48 Months</v>
      </c>
      <c r="L695">
        <f>IF(Table1346[[#This Row],[Churn]]="Yes",1,0)</f>
        <v>0</v>
      </c>
    </row>
    <row r="696" spans="1:12" x14ac:dyDescent="0.35">
      <c r="A696" t="s">
        <v>718</v>
      </c>
      <c r="B696" t="s">
        <v>17</v>
      </c>
      <c r="C696">
        <v>69</v>
      </c>
      <c r="D696">
        <v>20</v>
      </c>
      <c r="E696" t="s">
        <v>12</v>
      </c>
      <c r="F696" t="s">
        <v>33</v>
      </c>
      <c r="G696" t="s">
        <v>23</v>
      </c>
      <c r="H696">
        <v>62.39</v>
      </c>
      <c r="I696">
        <v>1361.08</v>
      </c>
      <c r="J696" t="s">
        <v>15</v>
      </c>
      <c r="K696" t="str">
        <f>IF(D696&lt;=12,"0-12 Months",IF(D696&lt;=24,"13-24 Months",IF(D696&lt;=48,"25-48 Months","49+ Months")))</f>
        <v>13-24 Months</v>
      </c>
      <c r="L696">
        <f>IF(Table1346[[#This Row],[Churn]]="Yes",1,0)</f>
        <v>0</v>
      </c>
    </row>
    <row r="697" spans="1:12" x14ac:dyDescent="0.35">
      <c r="A697" t="s">
        <v>719</v>
      </c>
      <c r="B697" t="s">
        <v>17</v>
      </c>
      <c r="C697">
        <v>39</v>
      </c>
      <c r="D697">
        <v>18</v>
      </c>
      <c r="E697" t="s">
        <v>21</v>
      </c>
      <c r="F697" t="s">
        <v>22</v>
      </c>
      <c r="G697" t="s">
        <v>14</v>
      </c>
      <c r="H697">
        <v>29.22</v>
      </c>
      <c r="I697">
        <v>495.45</v>
      </c>
      <c r="J697" t="s">
        <v>15</v>
      </c>
      <c r="K697" t="str">
        <f>IF(D697&lt;=12,"0-12 Months",IF(D697&lt;=24,"13-24 Months",IF(D697&lt;=48,"25-48 Months","49+ Months")))</f>
        <v>13-24 Months</v>
      </c>
      <c r="L697">
        <f>IF(Table1346[[#This Row],[Churn]]="Yes",1,0)</f>
        <v>0</v>
      </c>
    </row>
    <row r="698" spans="1:12" x14ac:dyDescent="0.35">
      <c r="A698" t="s">
        <v>720</v>
      </c>
      <c r="B698" t="s">
        <v>11</v>
      </c>
      <c r="C698">
        <v>61</v>
      </c>
      <c r="D698">
        <v>60</v>
      </c>
      <c r="E698" t="s">
        <v>18</v>
      </c>
      <c r="F698" t="s">
        <v>22</v>
      </c>
      <c r="G698" t="s">
        <v>23</v>
      </c>
      <c r="H698">
        <v>65.47</v>
      </c>
      <c r="I698">
        <v>4155.1899999999996</v>
      </c>
      <c r="J698" t="s">
        <v>15</v>
      </c>
      <c r="K698" t="str">
        <f>IF(D698&lt;=12,"0-12 Months",IF(D698&lt;=24,"13-24 Months",IF(D698&lt;=48,"25-48 Months","49+ Months")))</f>
        <v>49+ Months</v>
      </c>
      <c r="L698">
        <f>IF(Table1346[[#This Row],[Churn]]="Yes",1,0)</f>
        <v>0</v>
      </c>
    </row>
    <row r="699" spans="1:12" x14ac:dyDescent="0.35">
      <c r="A699" t="s">
        <v>721</v>
      </c>
      <c r="B699" t="s">
        <v>17</v>
      </c>
      <c r="C699">
        <v>41</v>
      </c>
      <c r="D699">
        <v>63</v>
      </c>
      <c r="E699" t="s">
        <v>21</v>
      </c>
      <c r="F699" t="s">
        <v>29</v>
      </c>
      <c r="G699" t="s">
        <v>14</v>
      </c>
      <c r="H699">
        <v>132.12</v>
      </c>
      <c r="I699">
        <v>8780.64</v>
      </c>
      <c r="J699" t="s">
        <v>27</v>
      </c>
      <c r="K699" t="str">
        <f>IF(D699&lt;=12,"0-12 Months",IF(D699&lt;=24,"13-24 Months",IF(D699&lt;=48,"25-48 Months","49+ Months")))</f>
        <v>49+ Months</v>
      </c>
      <c r="L699">
        <f>IF(Table1346[[#This Row],[Churn]]="Yes",1,0)</f>
        <v>1</v>
      </c>
    </row>
    <row r="700" spans="1:12" x14ac:dyDescent="0.35">
      <c r="A700" t="s">
        <v>722</v>
      </c>
      <c r="B700" t="s">
        <v>17</v>
      </c>
      <c r="C700">
        <v>34</v>
      </c>
      <c r="D700">
        <v>6</v>
      </c>
      <c r="E700" t="s">
        <v>12</v>
      </c>
      <c r="F700" t="s">
        <v>29</v>
      </c>
      <c r="G700" t="s">
        <v>14</v>
      </c>
      <c r="H700">
        <v>50.3</v>
      </c>
      <c r="I700">
        <v>284.76</v>
      </c>
      <c r="J700" t="s">
        <v>27</v>
      </c>
      <c r="K700" t="str">
        <f>IF(D700&lt;=12,"0-12 Months",IF(D700&lt;=24,"13-24 Months",IF(D700&lt;=48,"25-48 Months","49+ Months")))</f>
        <v>0-12 Months</v>
      </c>
      <c r="L700">
        <f>IF(Table1346[[#This Row],[Churn]]="Yes",1,0)</f>
        <v>1</v>
      </c>
    </row>
    <row r="701" spans="1:12" x14ac:dyDescent="0.35">
      <c r="A701" t="s">
        <v>723</v>
      </c>
      <c r="B701" t="s">
        <v>11</v>
      </c>
      <c r="C701">
        <v>27</v>
      </c>
      <c r="D701">
        <v>32</v>
      </c>
      <c r="E701" t="s">
        <v>12</v>
      </c>
      <c r="F701" t="s">
        <v>13</v>
      </c>
      <c r="G701" t="s">
        <v>19</v>
      </c>
      <c r="H701">
        <v>110.37</v>
      </c>
      <c r="I701">
        <v>3617.47</v>
      </c>
      <c r="J701" t="s">
        <v>15</v>
      </c>
      <c r="K701" t="str">
        <f>IF(D701&lt;=12,"0-12 Months",IF(D701&lt;=24,"13-24 Months",IF(D701&lt;=48,"25-48 Months","49+ Months")))</f>
        <v>25-48 Months</v>
      </c>
      <c r="L701">
        <f>IF(Table1346[[#This Row],[Churn]]="Yes",1,0)</f>
        <v>0</v>
      </c>
    </row>
    <row r="702" spans="1:12" x14ac:dyDescent="0.35">
      <c r="A702" t="s">
        <v>724</v>
      </c>
      <c r="B702" t="s">
        <v>17</v>
      </c>
      <c r="C702">
        <v>47</v>
      </c>
      <c r="D702">
        <v>43</v>
      </c>
      <c r="E702" t="s">
        <v>21</v>
      </c>
      <c r="F702" t="s">
        <v>22</v>
      </c>
      <c r="G702" t="s">
        <v>14</v>
      </c>
      <c r="H702">
        <v>101.85</v>
      </c>
      <c r="I702">
        <v>3983.71</v>
      </c>
      <c r="J702" t="s">
        <v>15</v>
      </c>
      <c r="K702" t="str">
        <f>IF(D702&lt;=12,"0-12 Months",IF(D702&lt;=24,"13-24 Months",IF(D702&lt;=48,"25-48 Months","49+ Months")))</f>
        <v>25-48 Months</v>
      </c>
      <c r="L702">
        <f>IF(Table1346[[#This Row],[Churn]]="Yes",1,0)</f>
        <v>0</v>
      </c>
    </row>
    <row r="703" spans="1:12" x14ac:dyDescent="0.35">
      <c r="A703" t="s">
        <v>725</v>
      </c>
      <c r="B703" t="s">
        <v>17</v>
      </c>
      <c r="C703">
        <v>63</v>
      </c>
      <c r="D703">
        <v>2</v>
      </c>
      <c r="E703" t="s">
        <v>12</v>
      </c>
      <c r="F703" t="s">
        <v>29</v>
      </c>
      <c r="G703" t="s">
        <v>23</v>
      </c>
      <c r="H703">
        <v>132.25</v>
      </c>
      <c r="I703">
        <v>263.63</v>
      </c>
      <c r="J703" t="s">
        <v>27</v>
      </c>
      <c r="K703" t="str">
        <f>IF(D703&lt;=12,"0-12 Months",IF(D703&lt;=24,"13-24 Months",IF(D703&lt;=48,"25-48 Months","49+ Months")))</f>
        <v>0-12 Months</v>
      </c>
      <c r="L703">
        <f>IF(Table1346[[#This Row],[Churn]]="Yes",1,0)</f>
        <v>1</v>
      </c>
    </row>
    <row r="704" spans="1:12" x14ac:dyDescent="0.35">
      <c r="A704" t="s">
        <v>726</v>
      </c>
      <c r="B704" t="s">
        <v>11</v>
      </c>
      <c r="C704">
        <v>40</v>
      </c>
      <c r="D704">
        <v>60</v>
      </c>
      <c r="E704" t="s">
        <v>18</v>
      </c>
      <c r="F704" t="s">
        <v>13</v>
      </c>
      <c r="G704" t="s">
        <v>14</v>
      </c>
      <c r="H704">
        <v>37.200000000000003</v>
      </c>
      <c r="I704">
        <v>2015.34</v>
      </c>
      <c r="J704" t="s">
        <v>15</v>
      </c>
      <c r="K704" t="str">
        <f>IF(D704&lt;=12,"0-12 Months",IF(D704&lt;=24,"13-24 Months",IF(D704&lt;=48,"25-48 Months","49+ Months")))</f>
        <v>49+ Months</v>
      </c>
      <c r="L704">
        <f>IF(Table1346[[#This Row],[Churn]]="Yes",1,0)</f>
        <v>0</v>
      </c>
    </row>
    <row r="705" spans="1:12" x14ac:dyDescent="0.35">
      <c r="A705" t="s">
        <v>727</v>
      </c>
      <c r="B705" t="s">
        <v>17</v>
      </c>
      <c r="C705">
        <v>49</v>
      </c>
      <c r="D705">
        <v>23</v>
      </c>
      <c r="E705" t="s">
        <v>18</v>
      </c>
      <c r="F705" t="s">
        <v>33</v>
      </c>
      <c r="G705" t="s">
        <v>14</v>
      </c>
      <c r="H705">
        <v>147.09</v>
      </c>
      <c r="I705">
        <v>3668.02</v>
      </c>
      <c r="J705" t="s">
        <v>15</v>
      </c>
      <c r="K705" t="str">
        <f>IF(D705&lt;=12,"0-12 Months",IF(D705&lt;=24,"13-24 Months",IF(D705&lt;=48,"25-48 Months","49+ Months")))</f>
        <v>13-24 Months</v>
      </c>
      <c r="L705">
        <f>IF(Table1346[[#This Row],[Churn]]="Yes",1,0)</f>
        <v>0</v>
      </c>
    </row>
    <row r="706" spans="1:12" x14ac:dyDescent="0.35">
      <c r="A706" t="s">
        <v>728</v>
      </c>
      <c r="B706" t="s">
        <v>11</v>
      </c>
      <c r="C706">
        <v>34</v>
      </c>
      <c r="D706">
        <v>31</v>
      </c>
      <c r="E706" t="s">
        <v>21</v>
      </c>
      <c r="F706" t="s">
        <v>33</v>
      </c>
      <c r="G706" t="s">
        <v>14</v>
      </c>
      <c r="H706">
        <v>95.74</v>
      </c>
      <c r="I706">
        <v>3250.54</v>
      </c>
      <c r="J706" t="s">
        <v>15</v>
      </c>
      <c r="K706" t="str">
        <f>IF(D706&lt;=12,"0-12 Months",IF(D706&lt;=24,"13-24 Months",IF(D706&lt;=48,"25-48 Months","49+ Months")))</f>
        <v>25-48 Months</v>
      </c>
      <c r="L706">
        <f>IF(Table1346[[#This Row],[Churn]]="Yes",1,0)</f>
        <v>0</v>
      </c>
    </row>
    <row r="707" spans="1:12" x14ac:dyDescent="0.35">
      <c r="A707" t="s">
        <v>729</v>
      </c>
      <c r="B707" t="s">
        <v>11</v>
      </c>
      <c r="C707">
        <v>67</v>
      </c>
      <c r="D707">
        <v>5</v>
      </c>
      <c r="E707" t="s">
        <v>18</v>
      </c>
      <c r="F707" t="s">
        <v>33</v>
      </c>
      <c r="G707" t="s">
        <v>23</v>
      </c>
      <c r="H707">
        <v>149.41</v>
      </c>
      <c r="I707">
        <v>705.56</v>
      </c>
      <c r="J707" t="s">
        <v>27</v>
      </c>
      <c r="K707" t="str">
        <f>IF(D707&lt;=12,"0-12 Months",IF(D707&lt;=24,"13-24 Months",IF(D707&lt;=48,"25-48 Months","49+ Months")))</f>
        <v>0-12 Months</v>
      </c>
      <c r="L707">
        <f>IF(Table1346[[#This Row],[Churn]]="Yes",1,0)</f>
        <v>1</v>
      </c>
    </row>
    <row r="708" spans="1:12" x14ac:dyDescent="0.35">
      <c r="A708" t="s">
        <v>730</v>
      </c>
      <c r="B708" t="s">
        <v>17</v>
      </c>
      <c r="C708">
        <v>68</v>
      </c>
      <c r="D708">
        <v>34</v>
      </c>
      <c r="E708" t="s">
        <v>12</v>
      </c>
      <c r="F708" t="s">
        <v>13</v>
      </c>
      <c r="G708" t="s">
        <v>23</v>
      </c>
      <c r="H708">
        <v>138.5</v>
      </c>
      <c r="I708">
        <v>4434.09</v>
      </c>
      <c r="J708" t="s">
        <v>15</v>
      </c>
      <c r="K708" t="str">
        <f>IF(D708&lt;=12,"0-12 Months",IF(D708&lt;=24,"13-24 Months",IF(D708&lt;=48,"25-48 Months","49+ Months")))</f>
        <v>25-48 Months</v>
      </c>
      <c r="L708">
        <f>IF(Table1346[[#This Row],[Churn]]="Yes",1,0)</f>
        <v>0</v>
      </c>
    </row>
    <row r="709" spans="1:12" x14ac:dyDescent="0.35">
      <c r="A709" t="s">
        <v>731</v>
      </c>
      <c r="B709" t="s">
        <v>17</v>
      </c>
      <c r="C709">
        <v>34</v>
      </c>
      <c r="D709">
        <v>10</v>
      </c>
      <c r="E709" t="s">
        <v>21</v>
      </c>
      <c r="F709" t="s">
        <v>29</v>
      </c>
      <c r="G709" t="s">
        <v>14</v>
      </c>
      <c r="H709">
        <v>48.8</v>
      </c>
      <c r="I709">
        <v>512.76</v>
      </c>
      <c r="J709" t="s">
        <v>27</v>
      </c>
      <c r="K709" t="str">
        <f>IF(D709&lt;=12,"0-12 Months",IF(D709&lt;=24,"13-24 Months",IF(D709&lt;=48,"25-48 Months","49+ Months")))</f>
        <v>0-12 Months</v>
      </c>
      <c r="L709">
        <f>IF(Table1346[[#This Row],[Churn]]="Yes",1,0)</f>
        <v>1</v>
      </c>
    </row>
    <row r="710" spans="1:12" x14ac:dyDescent="0.35">
      <c r="A710" t="s">
        <v>732</v>
      </c>
      <c r="B710" t="s">
        <v>17</v>
      </c>
      <c r="C710">
        <v>31</v>
      </c>
      <c r="D710">
        <v>2</v>
      </c>
      <c r="E710" t="s">
        <v>12</v>
      </c>
      <c r="F710" t="s">
        <v>22</v>
      </c>
      <c r="G710" t="s">
        <v>14</v>
      </c>
      <c r="H710">
        <v>27.3</v>
      </c>
      <c r="I710">
        <v>51.91</v>
      </c>
      <c r="J710" t="s">
        <v>15</v>
      </c>
      <c r="K710" t="str">
        <f>IF(D710&lt;=12,"0-12 Months",IF(D710&lt;=24,"13-24 Months",IF(D710&lt;=48,"25-48 Months","49+ Months")))</f>
        <v>0-12 Months</v>
      </c>
      <c r="L710">
        <f>IF(Table1346[[#This Row],[Churn]]="Yes",1,0)</f>
        <v>0</v>
      </c>
    </row>
    <row r="711" spans="1:12" x14ac:dyDescent="0.35">
      <c r="A711" t="s">
        <v>733</v>
      </c>
      <c r="B711" t="s">
        <v>17</v>
      </c>
      <c r="C711">
        <v>26</v>
      </c>
      <c r="D711">
        <v>11</v>
      </c>
      <c r="E711" t="s">
        <v>18</v>
      </c>
      <c r="F711" t="s">
        <v>13</v>
      </c>
      <c r="G711" t="s">
        <v>19</v>
      </c>
      <c r="H711">
        <v>53.23</v>
      </c>
      <c r="I711">
        <v>631.79999999999995</v>
      </c>
      <c r="J711" t="s">
        <v>15</v>
      </c>
      <c r="K711" t="str">
        <f>IF(D711&lt;=12,"0-12 Months",IF(D711&lt;=24,"13-24 Months",IF(D711&lt;=48,"25-48 Months","49+ Months")))</f>
        <v>0-12 Months</v>
      </c>
      <c r="L711">
        <f>IF(Table1346[[#This Row],[Churn]]="Yes",1,0)</f>
        <v>0</v>
      </c>
    </row>
    <row r="712" spans="1:12" x14ac:dyDescent="0.35">
      <c r="A712" t="s">
        <v>734</v>
      </c>
      <c r="B712" t="s">
        <v>11</v>
      </c>
      <c r="C712">
        <v>57</v>
      </c>
      <c r="D712">
        <v>50</v>
      </c>
      <c r="E712" t="s">
        <v>12</v>
      </c>
      <c r="F712" t="s">
        <v>29</v>
      </c>
      <c r="G712" t="s">
        <v>23</v>
      </c>
      <c r="H712">
        <v>88.58</v>
      </c>
      <c r="I712">
        <v>4494.49</v>
      </c>
      <c r="J712" t="s">
        <v>15</v>
      </c>
      <c r="K712" t="str">
        <f>IF(D712&lt;=12,"0-12 Months",IF(D712&lt;=24,"13-24 Months",IF(D712&lt;=48,"25-48 Months","49+ Months")))</f>
        <v>49+ Months</v>
      </c>
      <c r="L712">
        <f>IF(Table1346[[#This Row],[Churn]]="Yes",1,0)</f>
        <v>0</v>
      </c>
    </row>
    <row r="713" spans="1:12" x14ac:dyDescent="0.35">
      <c r="A713" t="s">
        <v>735</v>
      </c>
      <c r="B713" t="s">
        <v>17</v>
      </c>
      <c r="C713">
        <v>19</v>
      </c>
      <c r="D713">
        <v>31</v>
      </c>
      <c r="E713" t="s">
        <v>21</v>
      </c>
      <c r="F713" t="s">
        <v>29</v>
      </c>
      <c r="G713" t="s">
        <v>19</v>
      </c>
      <c r="H713">
        <v>42.31</v>
      </c>
      <c r="I713">
        <v>1272.47</v>
      </c>
      <c r="J713" t="s">
        <v>15</v>
      </c>
      <c r="K713" t="str">
        <f>IF(D713&lt;=12,"0-12 Months",IF(D713&lt;=24,"13-24 Months",IF(D713&lt;=48,"25-48 Months","49+ Months")))</f>
        <v>25-48 Months</v>
      </c>
      <c r="L713">
        <f>IF(Table1346[[#This Row],[Churn]]="Yes",1,0)</f>
        <v>0</v>
      </c>
    </row>
    <row r="714" spans="1:12" x14ac:dyDescent="0.35">
      <c r="A714" t="s">
        <v>736</v>
      </c>
      <c r="B714" t="s">
        <v>11</v>
      </c>
      <c r="C714">
        <v>62</v>
      </c>
      <c r="D714">
        <v>56</v>
      </c>
      <c r="E714" t="s">
        <v>18</v>
      </c>
      <c r="F714" t="s">
        <v>13</v>
      </c>
      <c r="G714" t="s">
        <v>23</v>
      </c>
      <c r="H714">
        <v>41.77</v>
      </c>
      <c r="I714">
        <v>2494.7600000000002</v>
      </c>
      <c r="J714" t="s">
        <v>15</v>
      </c>
      <c r="K714" t="str">
        <f>IF(D714&lt;=12,"0-12 Months",IF(D714&lt;=24,"13-24 Months",IF(D714&lt;=48,"25-48 Months","49+ Months")))</f>
        <v>49+ Months</v>
      </c>
      <c r="L714">
        <f>IF(Table1346[[#This Row],[Churn]]="Yes",1,0)</f>
        <v>0</v>
      </c>
    </row>
    <row r="715" spans="1:12" x14ac:dyDescent="0.35">
      <c r="A715" t="s">
        <v>737</v>
      </c>
      <c r="B715" t="s">
        <v>17</v>
      </c>
      <c r="C715">
        <v>42</v>
      </c>
      <c r="D715">
        <v>9</v>
      </c>
      <c r="E715" t="s">
        <v>12</v>
      </c>
      <c r="F715" t="s">
        <v>29</v>
      </c>
      <c r="G715" t="s">
        <v>14</v>
      </c>
      <c r="H715">
        <v>80.14</v>
      </c>
      <c r="I715">
        <v>720.31</v>
      </c>
      <c r="J715" t="s">
        <v>27</v>
      </c>
      <c r="K715" t="str">
        <f>IF(D715&lt;=12,"0-12 Months",IF(D715&lt;=24,"13-24 Months",IF(D715&lt;=48,"25-48 Months","49+ Months")))</f>
        <v>0-12 Months</v>
      </c>
      <c r="L715">
        <f>IF(Table1346[[#This Row],[Churn]]="Yes",1,0)</f>
        <v>1</v>
      </c>
    </row>
    <row r="716" spans="1:12" x14ac:dyDescent="0.35">
      <c r="A716" t="s">
        <v>738</v>
      </c>
      <c r="B716" t="s">
        <v>17</v>
      </c>
      <c r="C716">
        <v>56</v>
      </c>
      <c r="D716">
        <v>21</v>
      </c>
      <c r="E716" t="s">
        <v>12</v>
      </c>
      <c r="F716" t="s">
        <v>29</v>
      </c>
      <c r="G716" t="s">
        <v>23</v>
      </c>
      <c r="H716">
        <v>24.32</v>
      </c>
      <c r="I716">
        <v>552.77</v>
      </c>
      <c r="J716" t="s">
        <v>15</v>
      </c>
      <c r="K716" t="str">
        <f>IF(D716&lt;=12,"0-12 Months",IF(D716&lt;=24,"13-24 Months",IF(D716&lt;=48,"25-48 Months","49+ Months")))</f>
        <v>13-24 Months</v>
      </c>
      <c r="L716">
        <f>IF(Table1346[[#This Row],[Churn]]="Yes",1,0)</f>
        <v>0</v>
      </c>
    </row>
    <row r="717" spans="1:12" x14ac:dyDescent="0.35">
      <c r="A717" t="s">
        <v>739</v>
      </c>
      <c r="B717" t="s">
        <v>17</v>
      </c>
      <c r="C717">
        <v>26</v>
      </c>
      <c r="D717">
        <v>28</v>
      </c>
      <c r="E717" t="s">
        <v>21</v>
      </c>
      <c r="F717" t="s">
        <v>29</v>
      </c>
      <c r="G717" t="s">
        <v>19</v>
      </c>
      <c r="H717">
        <v>35.85</v>
      </c>
      <c r="I717">
        <v>1089.73</v>
      </c>
      <c r="J717" t="s">
        <v>15</v>
      </c>
      <c r="K717" t="str">
        <f>IF(D717&lt;=12,"0-12 Months",IF(D717&lt;=24,"13-24 Months",IF(D717&lt;=48,"25-48 Months","49+ Months")))</f>
        <v>25-48 Months</v>
      </c>
      <c r="L717">
        <f>IF(Table1346[[#This Row],[Churn]]="Yes",1,0)</f>
        <v>0</v>
      </c>
    </row>
    <row r="718" spans="1:12" x14ac:dyDescent="0.35">
      <c r="A718" t="s">
        <v>740</v>
      </c>
      <c r="B718" t="s">
        <v>11</v>
      </c>
      <c r="C718">
        <v>39</v>
      </c>
      <c r="D718">
        <v>62</v>
      </c>
      <c r="E718" t="s">
        <v>12</v>
      </c>
      <c r="F718" t="s">
        <v>29</v>
      </c>
      <c r="G718" t="s">
        <v>14</v>
      </c>
      <c r="H718">
        <v>74.06</v>
      </c>
      <c r="I718">
        <v>4284.46</v>
      </c>
      <c r="J718" t="s">
        <v>15</v>
      </c>
      <c r="K718" t="str">
        <f>IF(D718&lt;=12,"0-12 Months",IF(D718&lt;=24,"13-24 Months",IF(D718&lt;=48,"25-48 Months","49+ Months")))</f>
        <v>49+ Months</v>
      </c>
      <c r="L718">
        <f>IF(Table1346[[#This Row],[Churn]]="Yes",1,0)</f>
        <v>0</v>
      </c>
    </row>
    <row r="719" spans="1:12" x14ac:dyDescent="0.35">
      <c r="A719" t="s">
        <v>741</v>
      </c>
      <c r="B719" t="s">
        <v>17</v>
      </c>
      <c r="C719">
        <v>60</v>
      </c>
      <c r="D719">
        <v>7</v>
      </c>
      <c r="E719" t="s">
        <v>12</v>
      </c>
      <c r="F719" t="s">
        <v>22</v>
      </c>
      <c r="G719" t="s">
        <v>23</v>
      </c>
      <c r="H719">
        <v>28.21</v>
      </c>
      <c r="I719">
        <v>177.81</v>
      </c>
      <c r="J719" t="s">
        <v>27</v>
      </c>
      <c r="K719" t="str">
        <f>IF(D719&lt;=12,"0-12 Months",IF(D719&lt;=24,"13-24 Months",IF(D719&lt;=48,"25-48 Months","49+ Months")))</f>
        <v>0-12 Months</v>
      </c>
      <c r="L719">
        <f>IF(Table1346[[#This Row],[Churn]]="Yes",1,0)</f>
        <v>1</v>
      </c>
    </row>
    <row r="720" spans="1:12" x14ac:dyDescent="0.35">
      <c r="A720" t="s">
        <v>742</v>
      </c>
      <c r="B720" t="s">
        <v>17</v>
      </c>
      <c r="C720">
        <v>63</v>
      </c>
      <c r="D720">
        <v>16</v>
      </c>
      <c r="E720" t="s">
        <v>12</v>
      </c>
      <c r="F720" t="s">
        <v>13</v>
      </c>
      <c r="G720" t="s">
        <v>23</v>
      </c>
      <c r="H720">
        <v>71.58</v>
      </c>
      <c r="I720">
        <v>1256.1300000000001</v>
      </c>
      <c r="J720" t="s">
        <v>15</v>
      </c>
      <c r="K720" t="str">
        <f>IF(D720&lt;=12,"0-12 Months",IF(D720&lt;=24,"13-24 Months",IF(D720&lt;=48,"25-48 Months","49+ Months")))</f>
        <v>13-24 Months</v>
      </c>
      <c r="L720">
        <f>IF(Table1346[[#This Row],[Churn]]="Yes",1,0)</f>
        <v>0</v>
      </c>
    </row>
    <row r="721" spans="1:12" x14ac:dyDescent="0.35">
      <c r="A721" t="s">
        <v>743</v>
      </c>
      <c r="B721" t="s">
        <v>17</v>
      </c>
      <c r="C721">
        <v>21</v>
      </c>
      <c r="D721">
        <v>4</v>
      </c>
      <c r="E721" t="s">
        <v>12</v>
      </c>
      <c r="F721" t="s">
        <v>22</v>
      </c>
      <c r="G721" t="s">
        <v>19</v>
      </c>
      <c r="H721">
        <v>81.62</v>
      </c>
      <c r="I721">
        <v>353</v>
      </c>
      <c r="J721" t="s">
        <v>27</v>
      </c>
      <c r="K721" t="str">
        <f>IF(D721&lt;=12,"0-12 Months",IF(D721&lt;=24,"13-24 Months",IF(D721&lt;=48,"25-48 Months","49+ Months")))</f>
        <v>0-12 Months</v>
      </c>
      <c r="L721">
        <f>IF(Table1346[[#This Row],[Churn]]="Yes",1,0)</f>
        <v>1</v>
      </c>
    </row>
    <row r="722" spans="1:12" x14ac:dyDescent="0.35">
      <c r="A722" t="s">
        <v>744</v>
      </c>
      <c r="B722" t="s">
        <v>17</v>
      </c>
      <c r="C722">
        <v>43</v>
      </c>
      <c r="D722">
        <v>4</v>
      </c>
      <c r="E722" t="s">
        <v>18</v>
      </c>
      <c r="F722" t="s">
        <v>29</v>
      </c>
      <c r="G722" t="s">
        <v>14</v>
      </c>
      <c r="H722">
        <v>78.66</v>
      </c>
      <c r="I722">
        <v>286.67</v>
      </c>
      <c r="J722" t="s">
        <v>27</v>
      </c>
      <c r="K722" t="str">
        <f>IF(D722&lt;=12,"0-12 Months",IF(D722&lt;=24,"13-24 Months",IF(D722&lt;=48,"25-48 Months","49+ Months")))</f>
        <v>0-12 Months</v>
      </c>
      <c r="L722">
        <f>IF(Table1346[[#This Row],[Churn]]="Yes",1,0)</f>
        <v>1</v>
      </c>
    </row>
    <row r="723" spans="1:12" x14ac:dyDescent="0.35">
      <c r="A723" t="s">
        <v>745</v>
      </c>
      <c r="B723" t="s">
        <v>11</v>
      </c>
      <c r="C723">
        <v>46</v>
      </c>
      <c r="D723">
        <v>40</v>
      </c>
      <c r="E723" t="s">
        <v>21</v>
      </c>
      <c r="F723" t="s">
        <v>29</v>
      </c>
      <c r="G723" t="s">
        <v>14</v>
      </c>
      <c r="H723">
        <v>132.99</v>
      </c>
      <c r="I723">
        <v>5673.92</v>
      </c>
      <c r="J723" t="s">
        <v>27</v>
      </c>
      <c r="K723" t="str">
        <f>IF(D723&lt;=12,"0-12 Months",IF(D723&lt;=24,"13-24 Months",IF(D723&lt;=48,"25-48 Months","49+ Months")))</f>
        <v>25-48 Months</v>
      </c>
      <c r="L723">
        <f>IF(Table1346[[#This Row],[Churn]]="Yes",1,0)</f>
        <v>1</v>
      </c>
    </row>
    <row r="724" spans="1:12" x14ac:dyDescent="0.35">
      <c r="A724" t="s">
        <v>746</v>
      </c>
      <c r="B724" t="s">
        <v>17</v>
      </c>
      <c r="C724">
        <v>62</v>
      </c>
      <c r="D724">
        <v>17</v>
      </c>
      <c r="E724" t="s">
        <v>12</v>
      </c>
      <c r="F724" t="s">
        <v>22</v>
      </c>
      <c r="G724" t="s">
        <v>23</v>
      </c>
      <c r="H724">
        <v>88.91</v>
      </c>
      <c r="I724">
        <v>1498.71</v>
      </c>
      <c r="J724" t="s">
        <v>15</v>
      </c>
      <c r="K724" t="str">
        <f>IF(D724&lt;=12,"0-12 Months",IF(D724&lt;=24,"13-24 Months",IF(D724&lt;=48,"25-48 Months","49+ Months")))</f>
        <v>13-24 Months</v>
      </c>
      <c r="L724">
        <f>IF(Table1346[[#This Row],[Churn]]="Yes",1,0)</f>
        <v>0</v>
      </c>
    </row>
    <row r="725" spans="1:12" x14ac:dyDescent="0.35">
      <c r="A725" t="s">
        <v>747</v>
      </c>
      <c r="B725" t="s">
        <v>11</v>
      </c>
      <c r="C725">
        <v>51</v>
      </c>
      <c r="D725">
        <v>52</v>
      </c>
      <c r="E725" t="s">
        <v>12</v>
      </c>
      <c r="F725" t="s">
        <v>13</v>
      </c>
      <c r="G725" t="s">
        <v>23</v>
      </c>
      <c r="H725">
        <v>80.84</v>
      </c>
      <c r="I725">
        <v>4001.03</v>
      </c>
      <c r="J725" t="s">
        <v>15</v>
      </c>
      <c r="K725" t="str">
        <f>IF(D725&lt;=12,"0-12 Months",IF(D725&lt;=24,"13-24 Months",IF(D725&lt;=48,"25-48 Months","49+ Months")))</f>
        <v>49+ Months</v>
      </c>
      <c r="L725">
        <f>IF(Table1346[[#This Row],[Churn]]="Yes",1,0)</f>
        <v>0</v>
      </c>
    </row>
    <row r="726" spans="1:12" x14ac:dyDescent="0.35">
      <c r="A726" t="s">
        <v>748</v>
      </c>
      <c r="B726" t="s">
        <v>11</v>
      </c>
      <c r="C726">
        <v>40</v>
      </c>
      <c r="D726">
        <v>52</v>
      </c>
      <c r="E726" t="s">
        <v>12</v>
      </c>
      <c r="F726" t="s">
        <v>13</v>
      </c>
      <c r="G726" t="s">
        <v>14</v>
      </c>
      <c r="H726">
        <v>73.39</v>
      </c>
      <c r="I726">
        <v>4105.3599999999997</v>
      </c>
      <c r="J726" t="s">
        <v>15</v>
      </c>
      <c r="K726" t="str">
        <f>IF(D726&lt;=12,"0-12 Months",IF(D726&lt;=24,"13-24 Months",IF(D726&lt;=48,"25-48 Months","49+ Months")))</f>
        <v>49+ Months</v>
      </c>
      <c r="L726">
        <f>IF(Table1346[[#This Row],[Churn]]="Yes",1,0)</f>
        <v>0</v>
      </c>
    </row>
    <row r="727" spans="1:12" x14ac:dyDescent="0.35">
      <c r="A727" t="s">
        <v>749</v>
      </c>
      <c r="B727" t="s">
        <v>11</v>
      </c>
      <c r="C727">
        <v>54</v>
      </c>
      <c r="D727">
        <v>36</v>
      </c>
      <c r="E727" t="s">
        <v>12</v>
      </c>
      <c r="F727" t="s">
        <v>13</v>
      </c>
      <c r="G727" t="s">
        <v>23</v>
      </c>
      <c r="H727">
        <v>126.29</v>
      </c>
      <c r="I727">
        <v>4270.62</v>
      </c>
      <c r="J727" t="s">
        <v>27</v>
      </c>
      <c r="K727" t="str">
        <f>IF(D727&lt;=12,"0-12 Months",IF(D727&lt;=24,"13-24 Months",IF(D727&lt;=48,"25-48 Months","49+ Months")))</f>
        <v>25-48 Months</v>
      </c>
      <c r="L727">
        <f>IF(Table1346[[#This Row],[Churn]]="Yes",1,0)</f>
        <v>1</v>
      </c>
    </row>
    <row r="728" spans="1:12" x14ac:dyDescent="0.35">
      <c r="A728" t="s">
        <v>750</v>
      </c>
      <c r="B728" t="s">
        <v>11</v>
      </c>
      <c r="C728">
        <v>28</v>
      </c>
      <c r="D728">
        <v>38</v>
      </c>
      <c r="E728" t="s">
        <v>12</v>
      </c>
      <c r="F728" t="s">
        <v>33</v>
      </c>
      <c r="G728" t="s">
        <v>19</v>
      </c>
      <c r="H728">
        <v>136.36000000000001</v>
      </c>
      <c r="I728">
        <v>5645.23</v>
      </c>
      <c r="J728" t="s">
        <v>27</v>
      </c>
      <c r="K728" t="str">
        <f>IF(D728&lt;=12,"0-12 Months",IF(D728&lt;=24,"13-24 Months",IF(D728&lt;=48,"25-48 Months","49+ Months")))</f>
        <v>25-48 Months</v>
      </c>
      <c r="L728">
        <f>IF(Table1346[[#This Row],[Churn]]="Yes",1,0)</f>
        <v>1</v>
      </c>
    </row>
    <row r="729" spans="1:12" x14ac:dyDescent="0.35">
      <c r="A729" t="s">
        <v>751</v>
      </c>
      <c r="B729" t="s">
        <v>11</v>
      </c>
      <c r="C729">
        <v>23</v>
      </c>
      <c r="D729">
        <v>50</v>
      </c>
      <c r="E729" t="s">
        <v>12</v>
      </c>
      <c r="F729" t="s">
        <v>29</v>
      </c>
      <c r="G729" t="s">
        <v>19</v>
      </c>
      <c r="H729">
        <v>130.91999999999999</v>
      </c>
      <c r="I729">
        <v>6160.6</v>
      </c>
      <c r="J729" t="s">
        <v>27</v>
      </c>
      <c r="K729" t="str">
        <f>IF(D729&lt;=12,"0-12 Months",IF(D729&lt;=24,"13-24 Months",IF(D729&lt;=48,"25-48 Months","49+ Months")))</f>
        <v>49+ Months</v>
      </c>
      <c r="L729">
        <f>IF(Table1346[[#This Row],[Churn]]="Yes",1,0)</f>
        <v>1</v>
      </c>
    </row>
    <row r="730" spans="1:12" x14ac:dyDescent="0.35">
      <c r="A730" t="s">
        <v>752</v>
      </c>
      <c r="B730" t="s">
        <v>11</v>
      </c>
      <c r="C730">
        <v>35</v>
      </c>
      <c r="D730">
        <v>63</v>
      </c>
      <c r="E730" t="s">
        <v>12</v>
      </c>
      <c r="F730" t="s">
        <v>13</v>
      </c>
      <c r="G730" t="s">
        <v>14</v>
      </c>
      <c r="H730">
        <v>107.56</v>
      </c>
      <c r="I730">
        <v>6930.35</v>
      </c>
      <c r="J730" t="s">
        <v>15</v>
      </c>
      <c r="K730" t="str">
        <f>IF(D730&lt;=12,"0-12 Months",IF(D730&lt;=24,"13-24 Months",IF(D730&lt;=48,"25-48 Months","49+ Months")))</f>
        <v>49+ Months</v>
      </c>
      <c r="L730">
        <f>IF(Table1346[[#This Row],[Churn]]="Yes",1,0)</f>
        <v>0</v>
      </c>
    </row>
    <row r="731" spans="1:12" x14ac:dyDescent="0.35">
      <c r="A731" t="s">
        <v>753</v>
      </c>
      <c r="B731" t="s">
        <v>17</v>
      </c>
      <c r="C731">
        <v>38</v>
      </c>
      <c r="D731">
        <v>63</v>
      </c>
      <c r="E731" t="s">
        <v>21</v>
      </c>
      <c r="F731" t="s">
        <v>22</v>
      </c>
      <c r="G731" t="s">
        <v>14</v>
      </c>
      <c r="H731">
        <v>37.86</v>
      </c>
      <c r="I731">
        <v>2253.08</v>
      </c>
      <c r="J731" t="s">
        <v>15</v>
      </c>
      <c r="K731" t="str">
        <f>IF(D731&lt;=12,"0-12 Months",IF(D731&lt;=24,"13-24 Months",IF(D731&lt;=48,"25-48 Months","49+ Months")))</f>
        <v>49+ Months</v>
      </c>
      <c r="L731">
        <f>IF(Table1346[[#This Row],[Churn]]="Yes",1,0)</f>
        <v>0</v>
      </c>
    </row>
    <row r="732" spans="1:12" x14ac:dyDescent="0.35">
      <c r="A732" t="s">
        <v>754</v>
      </c>
      <c r="B732" t="s">
        <v>11</v>
      </c>
      <c r="C732">
        <v>59</v>
      </c>
      <c r="D732">
        <v>62</v>
      </c>
      <c r="E732" t="s">
        <v>12</v>
      </c>
      <c r="F732" t="s">
        <v>13</v>
      </c>
      <c r="G732" t="s">
        <v>23</v>
      </c>
      <c r="H732">
        <v>55.99</v>
      </c>
      <c r="I732">
        <v>3503.09</v>
      </c>
      <c r="J732" t="s">
        <v>15</v>
      </c>
      <c r="K732" t="str">
        <f>IF(D732&lt;=12,"0-12 Months",IF(D732&lt;=24,"13-24 Months",IF(D732&lt;=48,"25-48 Months","49+ Months")))</f>
        <v>49+ Months</v>
      </c>
      <c r="L732">
        <f>IF(Table1346[[#This Row],[Churn]]="Yes",1,0)</f>
        <v>0</v>
      </c>
    </row>
    <row r="733" spans="1:12" x14ac:dyDescent="0.35">
      <c r="A733" t="s">
        <v>755</v>
      </c>
      <c r="B733" t="s">
        <v>11</v>
      </c>
      <c r="C733">
        <v>53</v>
      </c>
      <c r="D733">
        <v>7</v>
      </c>
      <c r="E733" t="s">
        <v>21</v>
      </c>
      <c r="F733" t="s">
        <v>29</v>
      </c>
      <c r="G733" t="s">
        <v>23</v>
      </c>
      <c r="H733">
        <v>25.99</v>
      </c>
      <c r="I733">
        <v>188.62</v>
      </c>
      <c r="J733" t="s">
        <v>27</v>
      </c>
      <c r="K733" t="str">
        <f>IF(D733&lt;=12,"0-12 Months",IF(D733&lt;=24,"13-24 Months",IF(D733&lt;=48,"25-48 Months","49+ Months")))</f>
        <v>0-12 Months</v>
      </c>
      <c r="L733">
        <f>IF(Table1346[[#This Row],[Churn]]="Yes",1,0)</f>
        <v>1</v>
      </c>
    </row>
    <row r="734" spans="1:12" x14ac:dyDescent="0.35">
      <c r="A734" t="s">
        <v>756</v>
      </c>
      <c r="B734" t="s">
        <v>11</v>
      </c>
      <c r="C734">
        <v>58</v>
      </c>
      <c r="D734">
        <v>27</v>
      </c>
      <c r="E734" t="s">
        <v>21</v>
      </c>
      <c r="F734" t="s">
        <v>13</v>
      </c>
      <c r="G734" t="s">
        <v>23</v>
      </c>
      <c r="H734">
        <v>141.01</v>
      </c>
      <c r="I734">
        <v>3571.39</v>
      </c>
      <c r="J734" t="s">
        <v>27</v>
      </c>
      <c r="K734" t="str">
        <f>IF(D734&lt;=12,"0-12 Months",IF(D734&lt;=24,"13-24 Months",IF(D734&lt;=48,"25-48 Months","49+ Months")))</f>
        <v>25-48 Months</v>
      </c>
      <c r="L734">
        <f>IF(Table1346[[#This Row],[Churn]]="Yes",1,0)</f>
        <v>1</v>
      </c>
    </row>
    <row r="735" spans="1:12" x14ac:dyDescent="0.35">
      <c r="A735" t="s">
        <v>757</v>
      </c>
      <c r="B735" t="s">
        <v>17</v>
      </c>
      <c r="C735">
        <v>55</v>
      </c>
      <c r="D735">
        <v>14</v>
      </c>
      <c r="E735" t="s">
        <v>21</v>
      </c>
      <c r="F735" t="s">
        <v>22</v>
      </c>
      <c r="G735" t="s">
        <v>23</v>
      </c>
      <c r="H735">
        <v>105.9</v>
      </c>
      <c r="I735">
        <v>1488.79</v>
      </c>
      <c r="J735" t="s">
        <v>27</v>
      </c>
      <c r="K735" t="str">
        <f>IF(D735&lt;=12,"0-12 Months",IF(D735&lt;=24,"13-24 Months",IF(D735&lt;=48,"25-48 Months","49+ Months")))</f>
        <v>13-24 Months</v>
      </c>
      <c r="L735">
        <f>IF(Table1346[[#This Row],[Churn]]="Yes",1,0)</f>
        <v>1</v>
      </c>
    </row>
    <row r="736" spans="1:12" x14ac:dyDescent="0.35">
      <c r="A736" t="s">
        <v>758</v>
      </c>
      <c r="B736" t="s">
        <v>17</v>
      </c>
      <c r="C736">
        <v>51</v>
      </c>
      <c r="D736">
        <v>71</v>
      </c>
      <c r="E736" t="s">
        <v>21</v>
      </c>
      <c r="F736" t="s">
        <v>29</v>
      </c>
      <c r="G736" t="s">
        <v>23</v>
      </c>
      <c r="H736">
        <v>117.03</v>
      </c>
      <c r="I736">
        <v>8257.7099999999991</v>
      </c>
      <c r="J736" t="s">
        <v>27</v>
      </c>
      <c r="K736" t="str">
        <f>IF(D736&lt;=12,"0-12 Months",IF(D736&lt;=24,"13-24 Months",IF(D736&lt;=48,"25-48 Months","49+ Months")))</f>
        <v>49+ Months</v>
      </c>
      <c r="L736">
        <f>IF(Table1346[[#This Row],[Churn]]="Yes",1,0)</f>
        <v>1</v>
      </c>
    </row>
    <row r="737" spans="1:12" x14ac:dyDescent="0.35">
      <c r="A737" t="s">
        <v>759</v>
      </c>
      <c r="B737" t="s">
        <v>11</v>
      </c>
      <c r="C737">
        <v>34</v>
      </c>
      <c r="D737">
        <v>5</v>
      </c>
      <c r="E737" t="s">
        <v>12</v>
      </c>
      <c r="F737" t="s">
        <v>29</v>
      </c>
      <c r="G737" t="s">
        <v>14</v>
      </c>
      <c r="H737">
        <v>60.5</v>
      </c>
      <c r="I737">
        <v>276.55</v>
      </c>
      <c r="J737" t="s">
        <v>15</v>
      </c>
      <c r="K737" t="str">
        <f>IF(D737&lt;=12,"0-12 Months",IF(D737&lt;=24,"13-24 Months",IF(D737&lt;=48,"25-48 Months","49+ Months")))</f>
        <v>0-12 Months</v>
      </c>
      <c r="L737">
        <f>IF(Table1346[[#This Row],[Churn]]="Yes",1,0)</f>
        <v>0</v>
      </c>
    </row>
    <row r="738" spans="1:12" x14ac:dyDescent="0.35">
      <c r="A738" t="s">
        <v>760</v>
      </c>
      <c r="B738" t="s">
        <v>17</v>
      </c>
      <c r="C738">
        <v>54</v>
      </c>
      <c r="D738">
        <v>55</v>
      </c>
      <c r="E738" t="s">
        <v>18</v>
      </c>
      <c r="F738" t="s">
        <v>29</v>
      </c>
      <c r="G738" t="s">
        <v>23</v>
      </c>
      <c r="H738">
        <v>129.93</v>
      </c>
      <c r="I738">
        <v>7601.09</v>
      </c>
      <c r="J738" t="s">
        <v>27</v>
      </c>
      <c r="K738" t="str">
        <f>IF(D738&lt;=12,"0-12 Months",IF(D738&lt;=24,"13-24 Months",IF(D738&lt;=48,"25-48 Months","49+ Months")))</f>
        <v>49+ Months</v>
      </c>
      <c r="L738">
        <f>IF(Table1346[[#This Row],[Churn]]="Yes",1,0)</f>
        <v>1</v>
      </c>
    </row>
    <row r="739" spans="1:12" x14ac:dyDescent="0.35">
      <c r="A739" t="s">
        <v>761</v>
      </c>
      <c r="B739" t="s">
        <v>11</v>
      </c>
      <c r="C739">
        <v>42</v>
      </c>
      <c r="D739">
        <v>2</v>
      </c>
      <c r="E739" t="s">
        <v>21</v>
      </c>
      <c r="F739" t="s">
        <v>33</v>
      </c>
      <c r="G739" t="s">
        <v>14</v>
      </c>
      <c r="H739">
        <v>53.75</v>
      </c>
      <c r="I739">
        <v>103.97</v>
      </c>
      <c r="J739" t="s">
        <v>15</v>
      </c>
      <c r="K739" t="str">
        <f>IF(D739&lt;=12,"0-12 Months",IF(D739&lt;=24,"13-24 Months",IF(D739&lt;=48,"25-48 Months","49+ Months")))</f>
        <v>0-12 Months</v>
      </c>
      <c r="L739">
        <f>IF(Table1346[[#This Row],[Churn]]="Yes",1,0)</f>
        <v>0</v>
      </c>
    </row>
    <row r="740" spans="1:12" x14ac:dyDescent="0.35">
      <c r="A740" t="s">
        <v>762</v>
      </c>
      <c r="B740" t="s">
        <v>11</v>
      </c>
      <c r="C740">
        <v>55</v>
      </c>
      <c r="D740">
        <v>62</v>
      </c>
      <c r="E740" t="s">
        <v>12</v>
      </c>
      <c r="F740" t="s">
        <v>29</v>
      </c>
      <c r="G740" t="s">
        <v>23</v>
      </c>
      <c r="H740">
        <v>20.21</v>
      </c>
      <c r="I740">
        <v>1271.71</v>
      </c>
      <c r="J740" t="s">
        <v>15</v>
      </c>
      <c r="K740" t="str">
        <f>IF(D740&lt;=12,"0-12 Months",IF(D740&lt;=24,"13-24 Months",IF(D740&lt;=48,"25-48 Months","49+ Months")))</f>
        <v>49+ Months</v>
      </c>
      <c r="L740">
        <f>IF(Table1346[[#This Row],[Churn]]="Yes",1,0)</f>
        <v>0</v>
      </c>
    </row>
    <row r="741" spans="1:12" x14ac:dyDescent="0.35">
      <c r="A741" t="s">
        <v>763</v>
      </c>
      <c r="B741" t="s">
        <v>17</v>
      </c>
      <c r="C741">
        <v>29</v>
      </c>
      <c r="D741">
        <v>21</v>
      </c>
      <c r="E741" t="s">
        <v>18</v>
      </c>
      <c r="F741" t="s">
        <v>33</v>
      </c>
      <c r="G741" t="s">
        <v>19</v>
      </c>
      <c r="H741">
        <v>68.930000000000007</v>
      </c>
      <c r="I741">
        <v>1451.81</v>
      </c>
      <c r="J741" t="s">
        <v>15</v>
      </c>
      <c r="K741" t="str">
        <f>IF(D741&lt;=12,"0-12 Months",IF(D741&lt;=24,"13-24 Months",IF(D741&lt;=48,"25-48 Months","49+ Months")))</f>
        <v>13-24 Months</v>
      </c>
      <c r="L741">
        <f>IF(Table1346[[#This Row],[Churn]]="Yes",1,0)</f>
        <v>0</v>
      </c>
    </row>
    <row r="742" spans="1:12" x14ac:dyDescent="0.35">
      <c r="A742" t="s">
        <v>764</v>
      </c>
      <c r="B742" t="s">
        <v>11</v>
      </c>
      <c r="C742">
        <v>40</v>
      </c>
      <c r="D742">
        <v>21</v>
      </c>
      <c r="E742" t="s">
        <v>21</v>
      </c>
      <c r="F742" t="s">
        <v>13</v>
      </c>
      <c r="G742" t="s">
        <v>14</v>
      </c>
      <c r="H742">
        <v>94.2</v>
      </c>
      <c r="I742">
        <v>1983.45</v>
      </c>
      <c r="J742" t="s">
        <v>15</v>
      </c>
      <c r="K742" t="str">
        <f>IF(D742&lt;=12,"0-12 Months",IF(D742&lt;=24,"13-24 Months",IF(D742&lt;=48,"25-48 Months","49+ Months")))</f>
        <v>13-24 Months</v>
      </c>
      <c r="L742">
        <f>IF(Table1346[[#This Row],[Churn]]="Yes",1,0)</f>
        <v>0</v>
      </c>
    </row>
    <row r="743" spans="1:12" x14ac:dyDescent="0.35">
      <c r="A743" t="s">
        <v>765</v>
      </c>
      <c r="B743" t="s">
        <v>17</v>
      </c>
      <c r="C743">
        <v>70</v>
      </c>
      <c r="D743">
        <v>10</v>
      </c>
      <c r="E743" t="s">
        <v>12</v>
      </c>
      <c r="F743" t="s">
        <v>33</v>
      </c>
      <c r="G743" t="s">
        <v>23</v>
      </c>
      <c r="H743">
        <v>82.23</v>
      </c>
      <c r="I743">
        <v>757.7</v>
      </c>
      <c r="J743" t="s">
        <v>15</v>
      </c>
      <c r="K743" t="str">
        <f>IF(D743&lt;=12,"0-12 Months",IF(D743&lt;=24,"13-24 Months",IF(D743&lt;=48,"25-48 Months","49+ Months")))</f>
        <v>0-12 Months</v>
      </c>
      <c r="L743">
        <f>IF(Table1346[[#This Row],[Churn]]="Yes",1,0)</f>
        <v>0</v>
      </c>
    </row>
    <row r="744" spans="1:12" x14ac:dyDescent="0.35">
      <c r="A744" t="s">
        <v>766</v>
      </c>
      <c r="B744" t="s">
        <v>17</v>
      </c>
      <c r="C744">
        <v>59</v>
      </c>
      <c r="D744">
        <v>58</v>
      </c>
      <c r="E744" t="s">
        <v>12</v>
      </c>
      <c r="F744" t="s">
        <v>33</v>
      </c>
      <c r="G744" t="s">
        <v>23</v>
      </c>
      <c r="H744">
        <v>132.07</v>
      </c>
      <c r="I744">
        <v>7542.83</v>
      </c>
      <c r="J744" t="s">
        <v>27</v>
      </c>
      <c r="K744" t="str">
        <f>IF(D744&lt;=12,"0-12 Months",IF(D744&lt;=24,"13-24 Months",IF(D744&lt;=48,"25-48 Months","49+ Months")))</f>
        <v>49+ Months</v>
      </c>
      <c r="L744">
        <f>IF(Table1346[[#This Row],[Churn]]="Yes",1,0)</f>
        <v>1</v>
      </c>
    </row>
    <row r="745" spans="1:12" x14ac:dyDescent="0.35">
      <c r="A745" t="s">
        <v>767</v>
      </c>
      <c r="B745" t="s">
        <v>11</v>
      </c>
      <c r="C745">
        <v>39</v>
      </c>
      <c r="D745">
        <v>39</v>
      </c>
      <c r="E745" t="s">
        <v>12</v>
      </c>
      <c r="F745" t="s">
        <v>13</v>
      </c>
      <c r="G745" t="s">
        <v>14</v>
      </c>
      <c r="H745">
        <v>33.700000000000003</v>
      </c>
      <c r="I745">
        <v>1301.78</v>
      </c>
      <c r="J745" t="s">
        <v>15</v>
      </c>
      <c r="K745" t="str">
        <f>IF(D745&lt;=12,"0-12 Months",IF(D745&lt;=24,"13-24 Months",IF(D745&lt;=48,"25-48 Months","49+ Months")))</f>
        <v>25-48 Months</v>
      </c>
      <c r="L745">
        <f>IF(Table1346[[#This Row],[Churn]]="Yes",1,0)</f>
        <v>0</v>
      </c>
    </row>
    <row r="746" spans="1:12" x14ac:dyDescent="0.35">
      <c r="A746" t="s">
        <v>768</v>
      </c>
      <c r="B746" t="s">
        <v>11</v>
      </c>
      <c r="C746">
        <v>38</v>
      </c>
      <c r="D746">
        <v>5</v>
      </c>
      <c r="E746" t="s">
        <v>18</v>
      </c>
      <c r="F746" t="s">
        <v>29</v>
      </c>
      <c r="G746" t="s">
        <v>14</v>
      </c>
      <c r="H746">
        <v>92</v>
      </c>
      <c r="I746">
        <v>481.5</v>
      </c>
      <c r="J746" t="s">
        <v>15</v>
      </c>
      <c r="K746" t="str">
        <f>IF(D746&lt;=12,"0-12 Months",IF(D746&lt;=24,"13-24 Months",IF(D746&lt;=48,"25-48 Months","49+ Months")))</f>
        <v>0-12 Months</v>
      </c>
      <c r="L746">
        <f>IF(Table1346[[#This Row],[Churn]]="Yes",1,0)</f>
        <v>0</v>
      </c>
    </row>
    <row r="747" spans="1:12" x14ac:dyDescent="0.35">
      <c r="A747" t="s">
        <v>769</v>
      </c>
      <c r="B747" t="s">
        <v>17</v>
      </c>
      <c r="C747">
        <v>44</v>
      </c>
      <c r="D747">
        <v>65</v>
      </c>
      <c r="E747" t="s">
        <v>21</v>
      </c>
      <c r="F747" t="s">
        <v>29</v>
      </c>
      <c r="G747" t="s">
        <v>14</v>
      </c>
      <c r="H747">
        <v>86.69</v>
      </c>
      <c r="I747">
        <v>6018.04</v>
      </c>
      <c r="J747" t="s">
        <v>27</v>
      </c>
      <c r="K747" t="str">
        <f>IF(D747&lt;=12,"0-12 Months",IF(D747&lt;=24,"13-24 Months",IF(D747&lt;=48,"25-48 Months","49+ Months")))</f>
        <v>49+ Months</v>
      </c>
      <c r="L747">
        <f>IF(Table1346[[#This Row],[Churn]]="Yes",1,0)</f>
        <v>1</v>
      </c>
    </row>
    <row r="748" spans="1:12" x14ac:dyDescent="0.35">
      <c r="A748" t="s">
        <v>770</v>
      </c>
      <c r="B748" t="s">
        <v>11</v>
      </c>
      <c r="C748">
        <v>48</v>
      </c>
      <c r="D748">
        <v>13</v>
      </c>
      <c r="E748" t="s">
        <v>18</v>
      </c>
      <c r="F748" t="s">
        <v>29</v>
      </c>
      <c r="G748" t="s">
        <v>14</v>
      </c>
      <c r="H748">
        <v>56.58</v>
      </c>
      <c r="I748">
        <v>742.16</v>
      </c>
      <c r="J748" t="s">
        <v>15</v>
      </c>
      <c r="K748" t="str">
        <f>IF(D748&lt;=12,"0-12 Months",IF(D748&lt;=24,"13-24 Months",IF(D748&lt;=48,"25-48 Months","49+ Months")))</f>
        <v>13-24 Months</v>
      </c>
      <c r="L748">
        <f>IF(Table1346[[#This Row],[Churn]]="Yes",1,0)</f>
        <v>0</v>
      </c>
    </row>
    <row r="749" spans="1:12" x14ac:dyDescent="0.35">
      <c r="A749" t="s">
        <v>771</v>
      </c>
      <c r="B749" t="s">
        <v>11</v>
      </c>
      <c r="C749">
        <v>23</v>
      </c>
      <c r="D749">
        <v>53</v>
      </c>
      <c r="E749" t="s">
        <v>21</v>
      </c>
      <c r="F749" t="s">
        <v>22</v>
      </c>
      <c r="G749" t="s">
        <v>19</v>
      </c>
      <c r="H749">
        <v>126.89</v>
      </c>
      <c r="I749">
        <v>6169.38</v>
      </c>
      <c r="J749" t="s">
        <v>15</v>
      </c>
      <c r="K749" t="str">
        <f>IF(D749&lt;=12,"0-12 Months",IF(D749&lt;=24,"13-24 Months",IF(D749&lt;=48,"25-48 Months","49+ Months")))</f>
        <v>49+ Months</v>
      </c>
      <c r="L749">
        <f>IF(Table1346[[#This Row],[Churn]]="Yes",1,0)</f>
        <v>0</v>
      </c>
    </row>
    <row r="750" spans="1:12" x14ac:dyDescent="0.35">
      <c r="A750" t="s">
        <v>772</v>
      </c>
      <c r="B750" t="s">
        <v>11</v>
      </c>
      <c r="C750">
        <v>44</v>
      </c>
      <c r="D750">
        <v>45</v>
      </c>
      <c r="E750" t="s">
        <v>12</v>
      </c>
      <c r="F750" t="s">
        <v>29</v>
      </c>
      <c r="G750" t="s">
        <v>14</v>
      </c>
      <c r="H750">
        <v>117.87</v>
      </c>
      <c r="I750">
        <v>5024.99</v>
      </c>
      <c r="J750" t="s">
        <v>15</v>
      </c>
      <c r="K750" t="str">
        <f>IF(D750&lt;=12,"0-12 Months",IF(D750&lt;=24,"13-24 Months",IF(D750&lt;=48,"25-48 Months","49+ Months")))</f>
        <v>25-48 Months</v>
      </c>
      <c r="L750">
        <f>IF(Table1346[[#This Row],[Churn]]="Yes",1,0)</f>
        <v>0</v>
      </c>
    </row>
    <row r="751" spans="1:12" x14ac:dyDescent="0.35">
      <c r="A751" t="s">
        <v>773</v>
      </c>
      <c r="B751" t="s">
        <v>17</v>
      </c>
      <c r="C751">
        <v>57</v>
      </c>
      <c r="D751">
        <v>32</v>
      </c>
      <c r="E751" t="s">
        <v>12</v>
      </c>
      <c r="F751" t="s">
        <v>29</v>
      </c>
      <c r="G751" t="s">
        <v>23</v>
      </c>
      <c r="H751">
        <v>115.27</v>
      </c>
      <c r="I751">
        <v>3441.45</v>
      </c>
      <c r="J751" t="s">
        <v>27</v>
      </c>
      <c r="K751" t="str">
        <f>IF(D751&lt;=12,"0-12 Months",IF(D751&lt;=24,"13-24 Months",IF(D751&lt;=48,"25-48 Months","49+ Months")))</f>
        <v>25-48 Months</v>
      </c>
      <c r="L751">
        <f>IF(Table1346[[#This Row],[Churn]]="Yes",1,0)</f>
        <v>1</v>
      </c>
    </row>
    <row r="752" spans="1:12" x14ac:dyDescent="0.35">
      <c r="A752" t="s">
        <v>774</v>
      </c>
      <c r="B752" t="s">
        <v>17</v>
      </c>
      <c r="C752">
        <v>51</v>
      </c>
      <c r="D752">
        <v>36</v>
      </c>
      <c r="E752" t="s">
        <v>21</v>
      </c>
      <c r="F752" t="s">
        <v>13</v>
      </c>
      <c r="G752" t="s">
        <v>23</v>
      </c>
      <c r="H752">
        <v>133.91</v>
      </c>
      <c r="I752">
        <v>4458.83</v>
      </c>
      <c r="J752" t="s">
        <v>27</v>
      </c>
      <c r="K752" t="str">
        <f>IF(D752&lt;=12,"0-12 Months",IF(D752&lt;=24,"13-24 Months",IF(D752&lt;=48,"25-48 Months","49+ Months")))</f>
        <v>25-48 Months</v>
      </c>
      <c r="L752">
        <f>IF(Table1346[[#This Row],[Churn]]="Yes",1,0)</f>
        <v>1</v>
      </c>
    </row>
    <row r="753" spans="1:12" x14ac:dyDescent="0.35">
      <c r="A753" t="s">
        <v>775</v>
      </c>
      <c r="B753" t="s">
        <v>11</v>
      </c>
      <c r="C753">
        <v>29</v>
      </c>
      <c r="D753">
        <v>60</v>
      </c>
      <c r="E753" t="s">
        <v>21</v>
      </c>
      <c r="F753" t="s">
        <v>33</v>
      </c>
      <c r="G753" t="s">
        <v>19</v>
      </c>
      <c r="H753">
        <v>113.96</v>
      </c>
      <c r="I753">
        <v>6654.21</v>
      </c>
      <c r="J753" t="s">
        <v>15</v>
      </c>
      <c r="K753" t="str">
        <f>IF(D753&lt;=12,"0-12 Months",IF(D753&lt;=24,"13-24 Months",IF(D753&lt;=48,"25-48 Months","49+ Months")))</f>
        <v>49+ Months</v>
      </c>
      <c r="L753">
        <f>IF(Table1346[[#This Row],[Churn]]="Yes",1,0)</f>
        <v>0</v>
      </c>
    </row>
    <row r="754" spans="1:12" x14ac:dyDescent="0.35">
      <c r="A754" t="s">
        <v>776</v>
      </c>
      <c r="B754" t="s">
        <v>17</v>
      </c>
      <c r="C754">
        <v>62</v>
      </c>
      <c r="D754">
        <v>11</v>
      </c>
      <c r="E754" t="s">
        <v>18</v>
      </c>
      <c r="F754" t="s">
        <v>29</v>
      </c>
      <c r="G754" t="s">
        <v>23</v>
      </c>
      <c r="H754">
        <v>50.14</v>
      </c>
      <c r="I754">
        <v>521.69000000000005</v>
      </c>
      <c r="J754" t="s">
        <v>27</v>
      </c>
      <c r="K754" t="str">
        <f>IF(D754&lt;=12,"0-12 Months",IF(D754&lt;=24,"13-24 Months",IF(D754&lt;=48,"25-48 Months","49+ Months")))</f>
        <v>0-12 Months</v>
      </c>
      <c r="L754">
        <f>IF(Table1346[[#This Row],[Churn]]="Yes",1,0)</f>
        <v>1</v>
      </c>
    </row>
    <row r="755" spans="1:12" x14ac:dyDescent="0.35">
      <c r="A755" t="s">
        <v>777</v>
      </c>
      <c r="B755" t="s">
        <v>17</v>
      </c>
      <c r="C755">
        <v>70</v>
      </c>
      <c r="D755">
        <v>63</v>
      </c>
      <c r="E755" t="s">
        <v>12</v>
      </c>
      <c r="F755" t="s">
        <v>29</v>
      </c>
      <c r="G755" t="s">
        <v>23</v>
      </c>
      <c r="H755">
        <v>111.72</v>
      </c>
      <c r="I755">
        <v>6641.82</v>
      </c>
      <c r="J755" t="s">
        <v>15</v>
      </c>
      <c r="K755" t="str">
        <f>IF(D755&lt;=12,"0-12 Months",IF(D755&lt;=24,"13-24 Months",IF(D755&lt;=48,"25-48 Months","49+ Months")))</f>
        <v>49+ Months</v>
      </c>
      <c r="L755">
        <f>IF(Table1346[[#This Row],[Churn]]="Yes",1,0)</f>
        <v>0</v>
      </c>
    </row>
    <row r="756" spans="1:12" x14ac:dyDescent="0.35">
      <c r="A756" t="s">
        <v>778</v>
      </c>
      <c r="B756" t="s">
        <v>17</v>
      </c>
      <c r="C756">
        <v>24</v>
      </c>
      <c r="D756">
        <v>21</v>
      </c>
      <c r="E756" t="s">
        <v>12</v>
      </c>
      <c r="F756" t="s">
        <v>29</v>
      </c>
      <c r="G756" t="s">
        <v>19</v>
      </c>
      <c r="H756">
        <v>60</v>
      </c>
      <c r="I756">
        <v>1147.78</v>
      </c>
      <c r="J756" t="s">
        <v>15</v>
      </c>
      <c r="K756" t="str">
        <f>IF(D756&lt;=12,"0-12 Months",IF(D756&lt;=24,"13-24 Months",IF(D756&lt;=48,"25-48 Months","49+ Months")))</f>
        <v>13-24 Months</v>
      </c>
      <c r="L756">
        <f>IF(Table1346[[#This Row],[Churn]]="Yes",1,0)</f>
        <v>0</v>
      </c>
    </row>
    <row r="757" spans="1:12" x14ac:dyDescent="0.35">
      <c r="A757" t="s">
        <v>779</v>
      </c>
      <c r="B757" t="s">
        <v>17</v>
      </c>
      <c r="C757">
        <v>27</v>
      </c>
      <c r="D757">
        <v>52</v>
      </c>
      <c r="E757" t="s">
        <v>21</v>
      </c>
      <c r="F757" t="s">
        <v>33</v>
      </c>
      <c r="G757" t="s">
        <v>19</v>
      </c>
      <c r="H757">
        <v>51.48</v>
      </c>
      <c r="I757">
        <v>2418.7199999999998</v>
      </c>
      <c r="J757" t="s">
        <v>15</v>
      </c>
      <c r="K757" t="str">
        <f>IF(D757&lt;=12,"0-12 Months",IF(D757&lt;=24,"13-24 Months",IF(D757&lt;=48,"25-48 Months","49+ Months")))</f>
        <v>49+ Months</v>
      </c>
      <c r="L757">
        <f>IF(Table1346[[#This Row],[Churn]]="Yes",1,0)</f>
        <v>0</v>
      </c>
    </row>
    <row r="758" spans="1:12" x14ac:dyDescent="0.35">
      <c r="A758" t="s">
        <v>780</v>
      </c>
      <c r="B758" t="s">
        <v>17</v>
      </c>
      <c r="C758">
        <v>62</v>
      </c>
      <c r="D758">
        <v>55</v>
      </c>
      <c r="E758" t="s">
        <v>21</v>
      </c>
      <c r="F758" t="s">
        <v>22</v>
      </c>
      <c r="G758" t="s">
        <v>23</v>
      </c>
      <c r="H758">
        <v>29.49</v>
      </c>
      <c r="I758">
        <v>1493.09</v>
      </c>
      <c r="J758" t="s">
        <v>15</v>
      </c>
      <c r="K758" t="str">
        <f>IF(D758&lt;=12,"0-12 Months",IF(D758&lt;=24,"13-24 Months",IF(D758&lt;=48,"25-48 Months","49+ Months")))</f>
        <v>49+ Months</v>
      </c>
      <c r="L758">
        <f>IF(Table1346[[#This Row],[Churn]]="Yes",1,0)</f>
        <v>0</v>
      </c>
    </row>
    <row r="759" spans="1:12" x14ac:dyDescent="0.35">
      <c r="A759" t="s">
        <v>781</v>
      </c>
      <c r="B759" t="s">
        <v>11</v>
      </c>
      <c r="C759">
        <v>34</v>
      </c>
      <c r="D759">
        <v>26</v>
      </c>
      <c r="E759" t="s">
        <v>21</v>
      </c>
      <c r="F759" t="s">
        <v>29</v>
      </c>
      <c r="G759" t="s">
        <v>14</v>
      </c>
      <c r="H759">
        <v>116.72</v>
      </c>
      <c r="I759">
        <v>2835.76</v>
      </c>
      <c r="J759" t="s">
        <v>15</v>
      </c>
      <c r="K759" t="str">
        <f>IF(D759&lt;=12,"0-12 Months",IF(D759&lt;=24,"13-24 Months",IF(D759&lt;=48,"25-48 Months","49+ Months")))</f>
        <v>25-48 Months</v>
      </c>
      <c r="L759">
        <f>IF(Table1346[[#This Row],[Churn]]="Yes",1,0)</f>
        <v>0</v>
      </c>
    </row>
    <row r="760" spans="1:12" x14ac:dyDescent="0.35">
      <c r="A760" t="s">
        <v>782</v>
      </c>
      <c r="B760" t="s">
        <v>11</v>
      </c>
      <c r="C760">
        <v>43</v>
      </c>
      <c r="D760">
        <v>68</v>
      </c>
      <c r="E760" t="s">
        <v>21</v>
      </c>
      <c r="F760" t="s">
        <v>29</v>
      </c>
      <c r="G760" t="s">
        <v>14</v>
      </c>
      <c r="H760">
        <v>112.43</v>
      </c>
      <c r="I760">
        <v>7539.71</v>
      </c>
      <c r="J760" t="s">
        <v>27</v>
      </c>
      <c r="K760" t="str">
        <f>IF(D760&lt;=12,"0-12 Months",IF(D760&lt;=24,"13-24 Months",IF(D760&lt;=48,"25-48 Months","49+ Months")))</f>
        <v>49+ Months</v>
      </c>
      <c r="L760">
        <f>IF(Table1346[[#This Row],[Churn]]="Yes",1,0)</f>
        <v>1</v>
      </c>
    </row>
    <row r="761" spans="1:12" x14ac:dyDescent="0.35">
      <c r="A761" t="s">
        <v>783</v>
      </c>
      <c r="B761" t="s">
        <v>11</v>
      </c>
      <c r="C761">
        <v>38</v>
      </c>
      <c r="D761">
        <v>34</v>
      </c>
      <c r="E761" t="s">
        <v>12</v>
      </c>
      <c r="F761" t="s">
        <v>29</v>
      </c>
      <c r="G761" t="s">
        <v>14</v>
      </c>
      <c r="H761">
        <v>50.48</v>
      </c>
      <c r="I761">
        <v>1719.93</v>
      </c>
      <c r="J761" t="s">
        <v>15</v>
      </c>
      <c r="K761" t="str">
        <f>IF(D761&lt;=12,"0-12 Months",IF(D761&lt;=24,"13-24 Months",IF(D761&lt;=48,"25-48 Months","49+ Months")))</f>
        <v>25-48 Months</v>
      </c>
      <c r="L761">
        <f>IF(Table1346[[#This Row],[Churn]]="Yes",1,0)</f>
        <v>0</v>
      </c>
    </row>
    <row r="762" spans="1:12" x14ac:dyDescent="0.35">
      <c r="A762" t="s">
        <v>784</v>
      </c>
      <c r="B762" t="s">
        <v>17</v>
      </c>
      <c r="C762">
        <v>45</v>
      </c>
      <c r="D762">
        <v>52</v>
      </c>
      <c r="E762" t="s">
        <v>21</v>
      </c>
      <c r="F762" t="s">
        <v>29</v>
      </c>
      <c r="G762" t="s">
        <v>14</v>
      </c>
      <c r="H762">
        <v>117.42</v>
      </c>
      <c r="I762">
        <v>5666.94</v>
      </c>
      <c r="J762" t="s">
        <v>15</v>
      </c>
      <c r="K762" t="str">
        <f>IF(D762&lt;=12,"0-12 Months",IF(D762&lt;=24,"13-24 Months",IF(D762&lt;=48,"25-48 Months","49+ Months")))</f>
        <v>49+ Months</v>
      </c>
      <c r="L762">
        <f>IF(Table1346[[#This Row],[Churn]]="Yes",1,0)</f>
        <v>0</v>
      </c>
    </row>
    <row r="763" spans="1:12" x14ac:dyDescent="0.35">
      <c r="A763" t="s">
        <v>785</v>
      </c>
      <c r="B763" t="s">
        <v>17</v>
      </c>
      <c r="C763">
        <v>63</v>
      </c>
      <c r="D763">
        <v>52</v>
      </c>
      <c r="E763" t="s">
        <v>21</v>
      </c>
      <c r="F763" t="s">
        <v>33</v>
      </c>
      <c r="G763" t="s">
        <v>23</v>
      </c>
      <c r="H763">
        <v>139.32</v>
      </c>
      <c r="I763">
        <v>7135.66</v>
      </c>
      <c r="J763" t="s">
        <v>15</v>
      </c>
      <c r="K763" t="str">
        <f>IF(D763&lt;=12,"0-12 Months",IF(D763&lt;=24,"13-24 Months",IF(D763&lt;=48,"25-48 Months","49+ Months")))</f>
        <v>49+ Months</v>
      </c>
      <c r="L763">
        <f>IF(Table1346[[#This Row],[Churn]]="Yes",1,0)</f>
        <v>0</v>
      </c>
    </row>
    <row r="764" spans="1:12" x14ac:dyDescent="0.35">
      <c r="A764" t="s">
        <v>786</v>
      </c>
      <c r="B764" t="s">
        <v>11</v>
      </c>
      <c r="C764">
        <v>19</v>
      </c>
      <c r="D764">
        <v>29</v>
      </c>
      <c r="E764" t="s">
        <v>18</v>
      </c>
      <c r="F764" t="s">
        <v>22</v>
      </c>
      <c r="G764" t="s">
        <v>19</v>
      </c>
      <c r="H764">
        <v>34.04</v>
      </c>
      <c r="I764">
        <v>955.92</v>
      </c>
      <c r="J764" t="s">
        <v>15</v>
      </c>
      <c r="K764" t="str">
        <f>IF(D764&lt;=12,"0-12 Months",IF(D764&lt;=24,"13-24 Months",IF(D764&lt;=48,"25-48 Months","49+ Months")))</f>
        <v>25-48 Months</v>
      </c>
      <c r="L764">
        <f>IF(Table1346[[#This Row],[Churn]]="Yes",1,0)</f>
        <v>0</v>
      </c>
    </row>
    <row r="765" spans="1:12" x14ac:dyDescent="0.35">
      <c r="A765" t="s">
        <v>787</v>
      </c>
      <c r="B765" t="s">
        <v>17</v>
      </c>
      <c r="C765">
        <v>60</v>
      </c>
      <c r="D765">
        <v>38</v>
      </c>
      <c r="E765" t="s">
        <v>18</v>
      </c>
      <c r="F765" t="s">
        <v>13</v>
      </c>
      <c r="G765" t="s">
        <v>23</v>
      </c>
      <c r="H765">
        <v>50.24</v>
      </c>
      <c r="I765">
        <v>1788.24</v>
      </c>
      <c r="J765" t="s">
        <v>15</v>
      </c>
      <c r="K765" t="str">
        <f>IF(D765&lt;=12,"0-12 Months",IF(D765&lt;=24,"13-24 Months",IF(D765&lt;=48,"25-48 Months","49+ Months")))</f>
        <v>25-48 Months</v>
      </c>
      <c r="L765">
        <f>IF(Table1346[[#This Row],[Churn]]="Yes",1,0)</f>
        <v>0</v>
      </c>
    </row>
    <row r="766" spans="1:12" x14ac:dyDescent="0.35">
      <c r="A766" t="s">
        <v>788</v>
      </c>
      <c r="B766" t="s">
        <v>11</v>
      </c>
      <c r="C766">
        <v>18</v>
      </c>
      <c r="D766">
        <v>42</v>
      </c>
      <c r="E766" t="s">
        <v>12</v>
      </c>
      <c r="F766" t="s">
        <v>33</v>
      </c>
      <c r="G766" t="s">
        <v>19</v>
      </c>
      <c r="H766">
        <v>117.53</v>
      </c>
      <c r="I766">
        <v>4449.3900000000003</v>
      </c>
      <c r="J766" t="s">
        <v>15</v>
      </c>
      <c r="K766" t="str">
        <f>IF(D766&lt;=12,"0-12 Months",IF(D766&lt;=24,"13-24 Months",IF(D766&lt;=48,"25-48 Months","49+ Months")))</f>
        <v>25-48 Months</v>
      </c>
      <c r="L766">
        <f>IF(Table1346[[#This Row],[Churn]]="Yes",1,0)</f>
        <v>0</v>
      </c>
    </row>
    <row r="767" spans="1:12" x14ac:dyDescent="0.35">
      <c r="A767" t="s">
        <v>789</v>
      </c>
      <c r="B767" t="s">
        <v>11</v>
      </c>
      <c r="C767">
        <v>68</v>
      </c>
      <c r="D767">
        <v>21</v>
      </c>
      <c r="E767" t="s">
        <v>12</v>
      </c>
      <c r="F767" t="s">
        <v>29</v>
      </c>
      <c r="G767" t="s">
        <v>23</v>
      </c>
      <c r="H767">
        <v>55.69</v>
      </c>
      <c r="I767">
        <v>1161.78</v>
      </c>
      <c r="J767" t="s">
        <v>15</v>
      </c>
      <c r="K767" t="str">
        <f>IF(D767&lt;=12,"0-12 Months",IF(D767&lt;=24,"13-24 Months",IF(D767&lt;=48,"25-48 Months","49+ Months")))</f>
        <v>13-24 Months</v>
      </c>
      <c r="L767">
        <f>IF(Table1346[[#This Row],[Churn]]="Yes",1,0)</f>
        <v>0</v>
      </c>
    </row>
    <row r="768" spans="1:12" x14ac:dyDescent="0.35">
      <c r="A768" t="s">
        <v>790</v>
      </c>
      <c r="B768" t="s">
        <v>11</v>
      </c>
      <c r="C768">
        <v>70</v>
      </c>
      <c r="D768">
        <v>42</v>
      </c>
      <c r="E768" t="s">
        <v>18</v>
      </c>
      <c r="F768" t="s">
        <v>22</v>
      </c>
      <c r="G768" t="s">
        <v>23</v>
      </c>
      <c r="H768">
        <v>101.21</v>
      </c>
      <c r="I768">
        <v>4408.6499999999996</v>
      </c>
      <c r="J768" t="s">
        <v>15</v>
      </c>
      <c r="K768" t="str">
        <f>IF(D768&lt;=12,"0-12 Months",IF(D768&lt;=24,"13-24 Months",IF(D768&lt;=48,"25-48 Months","49+ Months")))</f>
        <v>25-48 Months</v>
      </c>
      <c r="L768">
        <f>IF(Table1346[[#This Row],[Churn]]="Yes",1,0)</f>
        <v>0</v>
      </c>
    </row>
    <row r="769" spans="1:12" x14ac:dyDescent="0.35">
      <c r="A769" t="s">
        <v>791</v>
      </c>
      <c r="B769" t="s">
        <v>17</v>
      </c>
      <c r="C769">
        <v>53</v>
      </c>
      <c r="D769">
        <v>13</v>
      </c>
      <c r="E769" t="s">
        <v>12</v>
      </c>
      <c r="F769" t="s">
        <v>33</v>
      </c>
      <c r="G769" t="s">
        <v>23</v>
      </c>
      <c r="H769">
        <v>30.55</v>
      </c>
      <c r="I769">
        <v>375.41</v>
      </c>
      <c r="J769" t="s">
        <v>15</v>
      </c>
      <c r="K769" t="str">
        <f>IF(D769&lt;=12,"0-12 Months",IF(D769&lt;=24,"13-24 Months",IF(D769&lt;=48,"25-48 Months","49+ Months")))</f>
        <v>13-24 Months</v>
      </c>
      <c r="L769">
        <f>IF(Table1346[[#This Row],[Churn]]="Yes",1,0)</f>
        <v>0</v>
      </c>
    </row>
    <row r="770" spans="1:12" x14ac:dyDescent="0.35">
      <c r="A770" t="s">
        <v>792</v>
      </c>
      <c r="B770" t="s">
        <v>17</v>
      </c>
      <c r="C770">
        <v>68</v>
      </c>
      <c r="D770">
        <v>64</v>
      </c>
      <c r="E770" t="s">
        <v>18</v>
      </c>
      <c r="F770" t="s">
        <v>13</v>
      </c>
      <c r="G770" t="s">
        <v>23</v>
      </c>
      <c r="H770">
        <v>78.790000000000006</v>
      </c>
      <c r="I770">
        <v>4671.2299999999996</v>
      </c>
      <c r="J770" t="s">
        <v>15</v>
      </c>
      <c r="K770" t="str">
        <f>IF(D770&lt;=12,"0-12 Months",IF(D770&lt;=24,"13-24 Months",IF(D770&lt;=48,"25-48 Months","49+ Months")))</f>
        <v>49+ Months</v>
      </c>
      <c r="L770">
        <f>IF(Table1346[[#This Row],[Churn]]="Yes",1,0)</f>
        <v>0</v>
      </c>
    </row>
    <row r="771" spans="1:12" x14ac:dyDescent="0.35">
      <c r="A771" t="s">
        <v>793</v>
      </c>
      <c r="B771" t="s">
        <v>11</v>
      </c>
      <c r="C771">
        <v>43</v>
      </c>
      <c r="D771">
        <v>17</v>
      </c>
      <c r="E771" t="s">
        <v>12</v>
      </c>
      <c r="F771" t="s">
        <v>22</v>
      </c>
      <c r="G771" t="s">
        <v>14</v>
      </c>
      <c r="H771">
        <v>116.08</v>
      </c>
      <c r="I771">
        <v>2126.11</v>
      </c>
      <c r="J771" t="s">
        <v>27</v>
      </c>
      <c r="K771" t="str">
        <f>IF(D771&lt;=12,"0-12 Months",IF(D771&lt;=24,"13-24 Months",IF(D771&lt;=48,"25-48 Months","49+ Months")))</f>
        <v>13-24 Months</v>
      </c>
      <c r="L771">
        <f>IF(Table1346[[#This Row],[Churn]]="Yes",1,0)</f>
        <v>1</v>
      </c>
    </row>
    <row r="772" spans="1:12" x14ac:dyDescent="0.35">
      <c r="A772" t="s">
        <v>794</v>
      </c>
      <c r="B772" t="s">
        <v>11</v>
      </c>
      <c r="C772">
        <v>46</v>
      </c>
      <c r="D772">
        <v>9</v>
      </c>
      <c r="E772" t="s">
        <v>21</v>
      </c>
      <c r="F772" t="s">
        <v>29</v>
      </c>
      <c r="G772" t="s">
        <v>14</v>
      </c>
      <c r="H772">
        <v>109.25</v>
      </c>
      <c r="I772">
        <v>939.01</v>
      </c>
      <c r="J772" t="s">
        <v>15</v>
      </c>
      <c r="K772" t="str">
        <f>IF(D772&lt;=12,"0-12 Months",IF(D772&lt;=24,"13-24 Months",IF(D772&lt;=48,"25-48 Months","49+ Months")))</f>
        <v>0-12 Months</v>
      </c>
      <c r="L772">
        <f>IF(Table1346[[#This Row],[Churn]]="Yes",1,0)</f>
        <v>0</v>
      </c>
    </row>
    <row r="773" spans="1:12" x14ac:dyDescent="0.35">
      <c r="A773" t="s">
        <v>795</v>
      </c>
      <c r="B773" t="s">
        <v>11</v>
      </c>
      <c r="C773">
        <v>38</v>
      </c>
      <c r="D773">
        <v>41</v>
      </c>
      <c r="E773" t="s">
        <v>18</v>
      </c>
      <c r="F773" t="s">
        <v>29</v>
      </c>
      <c r="G773" t="s">
        <v>14</v>
      </c>
      <c r="H773">
        <v>125.96</v>
      </c>
      <c r="I773">
        <v>4878.8900000000003</v>
      </c>
      <c r="J773" t="s">
        <v>15</v>
      </c>
      <c r="K773" t="str">
        <f>IF(D773&lt;=12,"0-12 Months",IF(D773&lt;=24,"13-24 Months",IF(D773&lt;=48,"25-48 Months","49+ Months")))</f>
        <v>25-48 Months</v>
      </c>
      <c r="L773">
        <f>IF(Table1346[[#This Row],[Churn]]="Yes",1,0)</f>
        <v>0</v>
      </c>
    </row>
    <row r="774" spans="1:12" x14ac:dyDescent="0.35">
      <c r="A774" t="s">
        <v>796</v>
      </c>
      <c r="B774" t="s">
        <v>11</v>
      </c>
      <c r="C774">
        <v>28</v>
      </c>
      <c r="D774">
        <v>1</v>
      </c>
      <c r="E774" t="s">
        <v>18</v>
      </c>
      <c r="F774" t="s">
        <v>29</v>
      </c>
      <c r="G774" t="s">
        <v>19</v>
      </c>
      <c r="H774">
        <v>134.07</v>
      </c>
      <c r="I774">
        <v>143.65</v>
      </c>
      <c r="J774" t="s">
        <v>27</v>
      </c>
      <c r="K774" t="str">
        <f>IF(D774&lt;=12,"0-12 Months",IF(D774&lt;=24,"13-24 Months",IF(D774&lt;=48,"25-48 Months","49+ Months")))</f>
        <v>0-12 Months</v>
      </c>
      <c r="L774">
        <f>IF(Table1346[[#This Row],[Churn]]="Yes",1,0)</f>
        <v>1</v>
      </c>
    </row>
    <row r="775" spans="1:12" x14ac:dyDescent="0.35">
      <c r="A775" t="s">
        <v>797</v>
      </c>
      <c r="B775" t="s">
        <v>17</v>
      </c>
      <c r="C775">
        <v>57</v>
      </c>
      <c r="D775">
        <v>2</v>
      </c>
      <c r="E775" t="s">
        <v>12</v>
      </c>
      <c r="F775" t="s">
        <v>13</v>
      </c>
      <c r="G775" t="s">
        <v>23</v>
      </c>
      <c r="H775">
        <v>120.51</v>
      </c>
      <c r="I775">
        <v>256.31</v>
      </c>
      <c r="J775" t="s">
        <v>15</v>
      </c>
      <c r="K775" t="str">
        <f>IF(D775&lt;=12,"0-12 Months",IF(D775&lt;=24,"13-24 Months",IF(D775&lt;=48,"25-48 Months","49+ Months")))</f>
        <v>0-12 Months</v>
      </c>
      <c r="L775">
        <f>IF(Table1346[[#This Row],[Churn]]="Yes",1,0)</f>
        <v>0</v>
      </c>
    </row>
    <row r="776" spans="1:12" x14ac:dyDescent="0.35">
      <c r="A776" t="s">
        <v>798</v>
      </c>
      <c r="B776" t="s">
        <v>17</v>
      </c>
      <c r="C776">
        <v>28</v>
      </c>
      <c r="D776">
        <v>60</v>
      </c>
      <c r="E776" t="s">
        <v>21</v>
      </c>
      <c r="F776" t="s">
        <v>22</v>
      </c>
      <c r="G776" t="s">
        <v>19</v>
      </c>
      <c r="H776">
        <v>107.31</v>
      </c>
      <c r="I776">
        <v>6372.08</v>
      </c>
      <c r="J776" t="s">
        <v>15</v>
      </c>
      <c r="K776" t="str">
        <f>IF(D776&lt;=12,"0-12 Months",IF(D776&lt;=24,"13-24 Months",IF(D776&lt;=48,"25-48 Months","49+ Months")))</f>
        <v>49+ Months</v>
      </c>
      <c r="L776">
        <f>IF(Table1346[[#This Row],[Churn]]="Yes",1,0)</f>
        <v>0</v>
      </c>
    </row>
    <row r="777" spans="1:12" x14ac:dyDescent="0.35">
      <c r="A777" t="s">
        <v>799</v>
      </c>
      <c r="B777" t="s">
        <v>11</v>
      </c>
      <c r="C777">
        <v>53</v>
      </c>
      <c r="D777">
        <v>48</v>
      </c>
      <c r="E777" t="s">
        <v>12</v>
      </c>
      <c r="F777" t="s">
        <v>33</v>
      </c>
      <c r="G777" t="s">
        <v>23</v>
      </c>
      <c r="H777">
        <v>24.12</v>
      </c>
      <c r="I777">
        <v>1155.27</v>
      </c>
      <c r="J777" t="s">
        <v>27</v>
      </c>
      <c r="K777" t="str">
        <f>IF(D777&lt;=12,"0-12 Months",IF(D777&lt;=24,"13-24 Months",IF(D777&lt;=48,"25-48 Months","49+ Months")))</f>
        <v>25-48 Months</v>
      </c>
      <c r="L777">
        <f>IF(Table1346[[#This Row],[Churn]]="Yes",1,0)</f>
        <v>1</v>
      </c>
    </row>
    <row r="778" spans="1:12" x14ac:dyDescent="0.35">
      <c r="A778" t="s">
        <v>800</v>
      </c>
      <c r="B778" t="s">
        <v>11</v>
      </c>
      <c r="C778">
        <v>66</v>
      </c>
      <c r="D778">
        <v>29</v>
      </c>
      <c r="E778" t="s">
        <v>12</v>
      </c>
      <c r="F778" t="s">
        <v>22</v>
      </c>
      <c r="G778" t="s">
        <v>23</v>
      </c>
      <c r="H778">
        <v>89.55</v>
      </c>
      <c r="I778">
        <v>2450.35</v>
      </c>
      <c r="J778" t="s">
        <v>15</v>
      </c>
      <c r="K778" t="str">
        <f>IF(D778&lt;=12,"0-12 Months",IF(D778&lt;=24,"13-24 Months",IF(D778&lt;=48,"25-48 Months","49+ Months")))</f>
        <v>25-48 Months</v>
      </c>
      <c r="L778">
        <f>IF(Table1346[[#This Row],[Churn]]="Yes",1,0)</f>
        <v>0</v>
      </c>
    </row>
    <row r="779" spans="1:12" x14ac:dyDescent="0.35">
      <c r="A779" t="s">
        <v>801</v>
      </c>
      <c r="B779" t="s">
        <v>17</v>
      </c>
      <c r="C779">
        <v>56</v>
      </c>
      <c r="D779">
        <v>10</v>
      </c>
      <c r="E779" t="s">
        <v>21</v>
      </c>
      <c r="F779" t="s">
        <v>33</v>
      </c>
      <c r="G779" t="s">
        <v>23</v>
      </c>
      <c r="H779">
        <v>24.9</v>
      </c>
      <c r="I779">
        <v>228</v>
      </c>
      <c r="J779" t="s">
        <v>15</v>
      </c>
      <c r="K779" t="str">
        <f>IF(D779&lt;=12,"0-12 Months",IF(D779&lt;=24,"13-24 Months",IF(D779&lt;=48,"25-48 Months","49+ Months")))</f>
        <v>0-12 Months</v>
      </c>
      <c r="L779">
        <f>IF(Table1346[[#This Row],[Churn]]="Yes",1,0)</f>
        <v>0</v>
      </c>
    </row>
    <row r="780" spans="1:12" x14ac:dyDescent="0.35">
      <c r="A780" t="s">
        <v>802</v>
      </c>
      <c r="B780" t="s">
        <v>17</v>
      </c>
      <c r="C780">
        <v>57</v>
      </c>
      <c r="D780">
        <v>58</v>
      </c>
      <c r="E780" t="s">
        <v>21</v>
      </c>
      <c r="F780" t="s">
        <v>33</v>
      </c>
      <c r="G780" t="s">
        <v>23</v>
      </c>
      <c r="H780">
        <v>125.05</v>
      </c>
      <c r="I780">
        <v>7359.42</v>
      </c>
      <c r="J780" t="s">
        <v>27</v>
      </c>
      <c r="K780" t="str">
        <f>IF(D780&lt;=12,"0-12 Months",IF(D780&lt;=24,"13-24 Months",IF(D780&lt;=48,"25-48 Months","49+ Months")))</f>
        <v>49+ Months</v>
      </c>
      <c r="L780">
        <f>IF(Table1346[[#This Row],[Churn]]="Yes",1,0)</f>
        <v>1</v>
      </c>
    </row>
    <row r="781" spans="1:12" x14ac:dyDescent="0.35">
      <c r="A781" t="s">
        <v>803</v>
      </c>
      <c r="B781" t="s">
        <v>11</v>
      </c>
      <c r="C781">
        <v>52</v>
      </c>
      <c r="D781">
        <v>60</v>
      </c>
      <c r="E781" t="s">
        <v>18</v>
      </c>
      <c r="F781" t="s">
        <v>29</v>
      </c>
      <c r="G781" t="s">
        <v>23</v>
      </c>
      <c r="H781">
        <v>61.69</v>
      </c>
      <c r="I781">
        <v>3404.06</v>
      </c>
      <c r="J781" t="s">
        <v>15</v>
      </c>
      <c r="K781" t="str">
        <f>IF(D781&lt;=12,"0-12 Months",IF(D781&lt;=24,"13-24 Months",IF(D781&lt;=48,"25-48 Months","49+ Months")))</f>
        <v>49+ Months</v>
      </c>
      <c r="L781">
        <f>IF(Table1346[[#This Row],[Churn]]="Yes",1,0)</f>
        <v>0</v>
      </c>
    </row>
    <row r="782" spans="1:12" x14ac:dyDescent="0.35">
      <c r="A782" t="s">
        <v>804</v>
      </c>
      <c r="B782" t="s">
        <v>11</v>
      </c>
      <c r="C782">
        <v>51</v>
      </c>
      <c r="D782">
        <v>21</v>
      </c>
      <c r="E782" t="s">
        <v>12</v>
      </c>
      <c r="F782" t="s">
        <v>13</v>
      </c>
      <c r="G782" t="s">
        <v>23</v>
      </c>
      <c r="H782">
        <v>93.12</v>
      </c>
      <c r="I782">
        <v>1935.68</v>
      </c>
      <c r="J782" t="s">
        <v>15</v>
      </c>
      <c r="K782" t="str">
        <f>IF(D782&lt;=12,"0-12 Months",IF(D782&lt;=24,"13-24 Months",IF(D782&lt;=48,"25-48 Months","49+ Months")))</f>
        <v>13-24 Months</v>
      </c>
      <c r="L782">
        <f>IF(Table1346[[#This Row],[Churn]]="Yes",1,0)</f>
        <v>0</v>
      </c>
    </row>
    <row r="783" spans="1:12" x14ac:dyDescent="0.35">
      <c r="A783" t="s">
        <v>805</v>
      </c>
      <c r="B783" t="s">
        <v>11</v>
      </c>
      <c r="C783">
        <v>64</v>
      </c>
      <c r="D783">
        <v>28</v>
      </c>
      <c r="E783" t="s">
        <v>12</v>
      </c>
      <c r="F783" t="s">
        <v>29</v>
      </c>
      <c r="G783" t="s">
        <v>23</v>
      </c>
      <c r="H783">
        <v>56.33</v>
      </c>
      <c r="I783">
        <v>1716.19</v>
      </c>
      <c r="J783" t="s">
        <v>27</v>
      </c>
      <c r="K783" t="str">
        <f>IF(D783&lt;=12,"0-12 Months",IF(D783&lt;=24,"13-24 Months",IF(D783&lt;=48,"25-48 Months","49+ Months")))</f>
        <v>25-48 Months</v>
      </c>
      <c r="L783">
        <f>IF(Table1346[[#This Row],[Churn]]="Yes",1,0)</f>
        <v>1</v>
      </c>
    </row>
    <row r="784" spans="1:12" x14ac:dyDescent="0.35">
      <c r="A784" t="s">
        <v>806</v>
      </c>
      <c r="B784" t="s">
        <v>17</v>
      </c>
      <c r="C784">
        <v>41</v>
      </c>
      <c r="D784">
        <v>34</v>
      </c>
      <c r="E784" t="s">
        <v>12</v>
      </c>
      <c r="F784" t="s">
        <v>22</v>
      </c>
      <c r="G784" t="s">
        <v>14</v>
      </c>
      <c r="H784">
        <v>121.73</v>
      </c>
      <c r="I784">
        <v>4513.66</v>
      </c>
      <c r="J784" t="s">
        <v>15</v>
      </c>
      <c r="K784" t="str">
        <f>IF(D784&lt;=12,"0-12 Months",IF(D784&lt;=24,"13-24 Months",IF(D784&lt;=48,"25-48 Months","49+ Months")))</f>
        <v>25-48 Months</v>
      </c>
      <c r="L784">
        <f>IF(Table1346[[#This Row],[Churn]]="Yes",1,0)</f>
        <v>0</v>
      </c>
    </row>
    <row r="785" spans="1:12" x14ac:dyDescent="0.35">
      <c r="A785" t="s">
        <v>807</v>
      </c>
      <c r="B785" t="s">
        <v>17</v>
      </c>
      <c r="C785">
        <v>39</v>
      </c>
      <c r="D785">
        <v>8</v>
      </c>
      <c r="E785" t="s">
        <v>12</v>
      </c>
      <c r="F785" t="s">
        <v>33</v>
      </c>
      <c r="G785" t="s">
        <v>14</v>
      </c>
      <c r="H785">
        <v>135.25</v>
      </c>
      <c r="I785">
        <v>1025.5899999999999</v>
      </c>
      <c r="J785" t="s">
        <v>15</v>
      </c>
      <c r="K785" t="str">
        <f>IF(D785&lt;=12,"0-12 Months",IF(D785&lt;=24,"13-24 Months",IF(D785&lt;=48,"25-48 Months","49+ Months")))</f>
        <v>0-12 Months</v>
      </c>
      <c r="L785">
        <f>IF(Table1346[[#This Row],[Churn]]="Yes",1,0)</f>
        <v>0</v>
      </c>
    </row>
    <row r="786" spans="1:12" x14ac:dyDescent="0.35">
      <c r="A786" t="s">
        <v>808</v>
      </c>
      <c r="B786" t="s">
        <v>17</v>
      </c>
      <c r="C786">
        <v>22</v>
      </c>
      <c r="D786">
        <v>59</v>
      </c>
      <c r="E786" t="s">
        <v>12</v>
      </c>
      <c r="F786" t="s">
        <v>29</v>
      </c>
      <c r="G786" t="s">
        <v>19</v>
      </c>
      <c r="H786">
        <v>71.819999999999993</v>
      </c>
      <c r="I786">
        <v>4342.5600000000004</v>
      </c>
      <c r="J786" t="s">
        <v>15</v>
      </c>
      <c r="K786" t="str">
        <f>IF(D786&lt;=12,"0-12 Months",IF(D786&lt;=24,"13-24 Months",IF(D786&lt;=48,"25-48 Months","49+ Months")))</f>
        <v>49+ Months</v>
      </c>
      <c r="L786">
        <f>IF(Table1346[[#This Row],[Churn]]="Yes",1,0)</f>
        <v>0</v>
      </c>
    </row>
    <row r="787" spans="1:12" x14ac:dyDescent="0.35">
      <c r="A787" t="s">
        <v>809</v>
      </c>
      <c r="B787" t="s">
        <v>11</v>
      </c>
      <c r="C787">
        <v>50</v>
      </c>
      <c r="D787">
        <v>72</v>
      </c>
      <c r="E787" t="s">
        <v>21</v>
      </c>
      <c r="F787" t="s">
        <v>22</v>
      </c>
      <c r="G787" t="s">
        <v>23</v>
      </c>
      <c r="H787">
        <v>132.18</v>
      </c>
      <c r="I787">
        <v>9467.6200000000008</v>
      </c>
      <c r="J787" t="s">
        <v>15</v>
      </c>
      <c r="K787" t="str">
        <f>IF(D787&lt;=12,"0-12 Months",IF(D787&lt;=24,"13-24 Months",IF(D787&lt;=48,"25-48 Months","49+ Months")))</f>
        <v>49+ Months</v>
      </c>
      <c r="L787">
        <f>IF(Table1346[[#This Row],[Churn]]="Yes",1,0)</f>
        <v>0</v>
      </c>
    </row>
    <row r="788" spans="1:12" x14ac:dyDescent="0.35">
      <c r="A788" t="s">
        <v>810</v>
      </c>
      <c r="B788" t="s">
        <v>11</v>
      </c>
      <c r="C788">
        <v>53</v>
      </c>
      <c r="D788">
        <v>49</v>
      </c>
      <c r="E788" t="s">
        <v>12</v>
      </c>
      <c r="F788" t="s">
        <v>22</v>
      </c>
      <c r="G788" t="s">
        <v>23</v>
      </c>
      <c r="H788">
        <v>54.72</v>
      </c>
      <c r="I788">
        <v>2882.74</v>
      </c>
      <c r="J788" t="s">
        <v>15</v>
      </c>
      <c r="K788" t="str">
        <f>IF(D788&lt;=12,"0-12 Months",IF(D788&lt;=24,"13-24 Months",IF(D788&lt;=48,"25-48 Months","49+ Months")))</f>
        <v>49+ Months</v>
      </c>
      <c r="L788">
        <f>IF(Table1346[[#This Row],[Churn]]="Yes",1,0)</f>
        <v>0</v>
      </c>
    </row>
    <row r="789" spans="1:12" x14ac:dyDescent="0.35">
      <c r="A789" t="s">
        <v>811</v>
      </c>
      <c r="B789" t="s">
        <v>17</v>
      </c>
      <c r="C789">
        <v>64</v>
      </c>
      <c r="D789">
        <v>17</v>
      </c>
      <c r="E789" t="s">
        <v>18</v>
      </c>
      <c r="F789" t="s">
        <v>13</v>
      </c>
      <c r="G789" t="s">
        <v>23</v>
      </c>
      <c r="H789">
        <v>89.51</v>
      </c>
      <c r="I789">
        <v>1452.11</v>
      </c>
      <c r="J789" t="s">
        <v>15</v>
      </c>
      <c r="K789" t="str">
        <f>IF(D789&lt;=12,"0-12 Months",IF(D789&lt;=24,"13-24 Months",IF(D789&lt;=48,"25-48 Months","49+ Months")))</f>
        <v>13-24 Months</v>
      </c>
      <c r="L789">
        <f>IF(Table1346[[#This Row],[Churn]]="Yes",1,0)</f>
        <v>0</v>
      </c>
    </row>
    <row r="790" spans="1:12" x14ac:dyDescent="0.35">
      <c r="A790" t="s">
        <v>812</v>
      </c>
      <c r="B790" t="s">
        <v>17</v>
      </c>
      <c r="C790">
        <v>37</v>
      </c>
      <c r="D790">
        <v>60</v>
      </c>
      <c r="E790" t="s">
        <v>18</v>
      </c>
      <c r="F790" t="s">
        <v>13</v>
      </c>
      <c r="G790" t="s">
        <v>14</v>
      </c>
      <c r="H790">
        <v>131.63999999999999</v>
      </c>
      <c r="I790">
        <v>7114.41</v>
      </c>
      <c r="J790" t="s">
        <v>15</v>
      </c>
      <c r="K790" t="str">
        <f>IF(D790&lt;=12,"0-12 Months",IF(D790&lt;=24,"13-24 Months",IF(D790&lt;=48,"25-48 Months","49+ Months")))</f>
        <v>49+ Months</v>
      </c>
      <c r="L790">
        <f>IF(Table1346[[#This Row],[Churn]]="Yes",1,0)</f>
        <v>0</v>
      </c>
    </row>
    <row r="791" spans="1:12" x14ac:dyDescent="0.35">
      <c r="A791" t="s">
        <v>813</v>
      </c>
      <c r="B791" t="s">
        <v>11</v>
      </c>
      <c r="C791">
        <v>36</v>
      </c>
      <c r="D791">
        <v>45</v>
      </c>
      <c r="E791" t="s">
        <v>21</v>
      </c>
      <c r="F791" t="s">
        <v>13</v>
      </c>
      <c r="G791" t="s">
        <v>14</v>
      </c>
      <c r="H791">
        <v>62.36</v>
      </c>
      <c r="I791">
        <v>2616.8200000000002</v>
      </c>
      <c r="J791" t="s">
        <v>15</v>
      </c>
      <c r="K791" t="str">
        <f>IF(D791&lt;=12,"0-12 Months",IF(D791&lt;=24,"13-24 Months",IF(D791&lt;=48,"25-48 Months","49+ Months")))</f>
        <v>25-48 Months</v>
      </c>
      <c r="L791">
        <f>IF(Table1346[[#This Row],[Churn]]="Yes",1,0)</f>
        <v>0</v>
      </c>
    </row>
    <row r="792" spans="1:12" x14ac:dyDescent="0.35">
      <c r="A792" t="s">
        <v>814</v>
      </c>
      <c r="B792" t="s">
        <v>17</v>
      </c>
      <c r="C792">
        <v>52</v>
      </c>
      <c r="D792">
        <v>69</v>
      </c>
      <c r="E792" t="s">
        <v>18</v>
      </c>
      <c r="F792" t="s">
        <v>29</v>
      </c>
      <c r="G792" t="s">
        <v>23</v>
      </c>
      <c r="H792">
        <v>144.03</v>
      </c>
      <c r="I792">
        <v>9638.98</v>
      </c>
      <c r="J792" t="s">
        <v>15</v>
      </c>
      <c r="K792" t="str">
        <f>IF(D792&lt;=12,"0-12 Months",IF(D792&lt;=24,"13-24 Months",IF(D792&lt;=48,"25-48 Months","49+ Months")))</f>
        <v>49+ Months</v>
      </c>
      <c r="L792">
        <f>IF(Table1346[[#This Row],[Churn]]="Yes",1,0)</f>
        <v>0</v>
      </c>
    </row>
    <row r="793" spans="1:12" x14ac:dyDescent="0.35">
      <c r="A793" t="s">
        <v>815</v>
      </c>
      <c r="B793" t="s">
        <v>17</v>
      </c>
      <c r="C793">
        <v>69</v>
      </c>
      <c r="D793">
        <v>32</v>
      </c>
      <c r="E793" t="s">
        <v>21</v>
      </c>
      <c r="F793" t="s">
        <v>29</v>
      </c>
      <c r="G793" t="s">
        <v>23</v>
      </c>
      <c r="H793">
        <v>35.840000000000003</v>
      </c>
      <c r="I793">
        <v>1104.6099999999999</v>
      </c>
      <c r="J793" t="s">
        <v>27</v>
      </c>
      <c r="K793" t="str">
        <f>IF(D793&lt;=12,"0-12 Months",IF(D793&lt;=24,"13-24 Months",IF(D793&lt;=48,"25-48 Months","49+ Months")))</f>
        <v>25-48 Months</v>
      </c>
      <c r="L793">
        <f>IF(Table1346[[#This Row],[Churn]]="Yes",1,0)</f>
        <v>1</v>
      </c>
    </row>
    <row r="794" spans="1:12" x14ac:dyDescent="0.35">
      <c r="A794" t="s">
        <v>816</v>
      </c>
      <c r="B794" t="s">
        <v>11</v>
      </c>
      <c r="C794">
        <v>60</v>
      </c>
      <c r="D794">
        <v>44</v>
      </c>
      <c r="E794" t="s">
        <v>12</v>
      </c>
      <c r="F794" t="s">
        <v>29</v>
      </c>
      <c r="G794" t="s">
        <v>23</v>
      </c>
      <c r="H794">
        <v>22.38</v>
      </c>
      <c r="I794">
        <v>1042.0999999999999</v>
      </c>
      <c r="J794" t="s">
        <v>15</v>
      </c>
      <c r="K794" t="str">
        <f>IF(D794&lt;=12,"0-12 Months",IF(D794&lt;=24,"13-24 Months",IF(D794&lt;=48,"25-48 Months","49+ Months")))</f>
        <v>25-48 Months</v>
      </c>
      <c r="L794">
        <f>IF(Table1346[[#This Row],[Churn]]="Yes",1,0)</f>
        <v>0</v>
      </c>
    </row>
    <row r="795" spans="1:12" x14ac:dyDescent="0.35">
      <c r="A795" t="s">
        <v>817</v>
      </c>
      <c r="B795" t="s">
        <v>17</v>
      </c>
      <c r="C795">
        <v>34</v>
      </c>
      <c r="D795">
        <v>65</v>
      </c>
      <c r="E795" t="s">
        <v>12</v>
      </c>
      <c r="F795" t="s">
        <v>13</v>
      </c>
      <c r="G795" t="s">
        <v>14</v>
      </c>
      <c r="H795">
        <v>137.54</v>
      </c>
      <c r="I795">
        <v>9262.9500000000007</v>
      </c>
      <c r="J795" t="s">
        <v>15</v>
      </c>
      <c r="K795" t="str">
        <f>IF(D795&lt;=12,"0-12 Months",IF(D795&lt;=24,"13-24 Months",IF(D795&lt;=48,"25-48 Months","49+ Months")))</f>
        <v>49+ Months</v>
      </c>
      <c r="L795">
        <f>IF(Table1346[[#This Row],[Churn]]="Yes",1,0)</f>
        <v>0</v>
      </c>
    </row>
    <row r="796" spans="1:12" x14ac:dyDescent="0.35">
      <c r="A796" t="s">
        <v>818</v>
      </c>
      <c r="B796" t="s">
        <v>11</v>
      </c>
      <c r="C796">
        <v>62</v>
      </c>
      <c r="D796">
        <v>8</v>
      </c>
      <c r="E796" t="s">
        <v>12</v>
      </c>
      <c r="F796" t="s">
        <v>29</v>
      </c>
      <c r="G796" t="s">
        <v>23</v>
      </c>
      <c r="H796">
        <v>28.92</v>
      </c>
      <c r="I796">
        <v>222.09</v>
      </c>
      <c r="J796" t="s">
        <v>27</v>
      </c>
      <c r="K796" t="str">
        <f>IF(D796&lt;=12,"0-12 Months",IF(D796&lt;=24,"13-24 Months",IF(D796&lt;=48,"25-48 Months","49+ Months")))</f>
        <v>0-12 Months</v>
      </c>
      <c r="L796">
        <f>IF(Table1346[[#This Row],[Churn]]="Yes",1,0)</f>
        <v>1</v>
      </c>
    </row>
    <row r="797" spans="1:12" x14ac:dyDescent="0.35">
      <c r="A797" t="s">
        <v>819</v>
      </c>
      <c r="B797" t="s">
        <v>11</v>
      </c>
      <c r="C797">
        <v>60</v>
      </c>
      <c r="D797">
        <v>72</v>
      </c>
      <c r="E797" t="s">
        <v>21</v>
      </c>
      <c r="F797" t="s">
        <v>33</v>
      </c>
      <c r="G797" t="s">
        <v>23</v>
      </c>
      <c r="H797">
        <v>148.94999999999999</v>
      </c>
      <c r="I797">
        <v>10633.77</v>
      </c>
      <c r="J797" t="s">
        <v>27</v>
      </c>
      <c r="K797" t="str">
        <f>IF(D797&lt;=12,"0-12 Months",IF(D797&lt;=24,"13-24 Months",IF(D797&lt;=48,"25-48 Months","49+ Months")))</f>
        <v>49+ Months</v>
      </c>
      <c r="L797">
        <f>IF(Table1346[[#This Row],[Churn]]="Yes",1,0)</f>
        <v>1</v>
      </c>
    </row>
    <row r="798" spans="1:12" x14ac:dyDescent="0.35">
      <c r="A798" t="s">
        <v>820</v>
      </c>
      <c r="B798" t="s">
        <v>11</v>
      </c>
      <c r="C798">
        <v>51</v>
      </c>
      <c r="D798">
        <v>43</v>
      </c>
      <c r="E798" t="s">
        <v>18</v>
      </c>
      <c r="F798" t="s">
        <v>13</v>
      </c>
      <c r="G798" t="s">
        <v>23</v>
      </c>
      <c r="H798">
        <v>143.68</v>
      </c>
      <c r="I798">
        <v>5678.49</v>
      </c>
      <c r="J798" t="s">
        <v>15</v>
      </c>
      <c r="K798" t="str">
        <f>IF(D798&lt;=12,"0-12 Months",IF(D798&lt;=24,"13-24 Months",IF(D798&lt;=48,"25-48 Months","49+ Months")))</f>
        <v>25-48 Months</v>
      </c>
      <c r="L798">
        <f>IF(Table1346[[#This Row],[Churn]]="Yes",1,0)</f>
        <v>0</v>
      </c>
    </row>
    <row r="799" spans="1:12" x14ac:dyDescent="0.35">
      <c r="A799" t="s">
        <v>821</v>
      </c>
      <c r="B799" t="s">
        <v>11</v>
      </c>
      <c r="C799">
        <v>26</v>
      </c>
      <c r="D799">
        <v>1</v>
      </c>
      <c r="E799" t="s">
        <v>12</v>
      </c>
      <c r="F799" t="s">
        <v>22</v>
      </c>
      <c r="G799" t="s">
        <v>19</v>
      </c>
      <c r="H799">
        <v>37.81</v>
      </c>
      <c r="I799">
        <v>40.82</v>
      </c>
      <c r="J799" t="s">
        <v>15</v>
      </c>
      <c r="K799" t="str">
        <f>IF(D799&lt;=12,"0-12 Months",IF(D799&lt;=24,"13-24 Months",IF(D799&lt;=48,"25-48 Months","49+ Months")))</f>
        <v>0-12 Months</v>
      </c>
      <c r="L799">
        <f>IF(Table1346[[#This Row],[Churn]]="Yes",1,0)</f>
        <v>0</v>
      </c>
    </row>
    <row r="800" spans="1:12" x14ac:dyDescent="0.35">
      <c r="A800" t="s">
        <v>822</v>
      </c>
      <c r="B800" t="s">
        <v>11</v>
      </c>
      <c r="C800">
        <v>43</v>
      </c>
      <c r="D800">
        <v>51</v>
      </c>
      <c r="E800" t="s">
        <v>18</v>
      </c>
      <c r="F800" t="s">
        <v>13</v>
      </c>
      <c r="G800" t="s">
        <v>14</v>
      </c>
      <c r="H800">
        <v>89.89</v>
      </c>
      <c r="I800">
        <v>4983.62</v>
      </c>
      <c r="J800" t="s">
        <v>15</v>
      </c>
      <c r="K800" t="str">
        <f>IF(D800&lt;=12,"0-12 Months",IF(D800&lt;=24,"13-24 Months",IF(D800&lt;=48,"25-48 Months","49+ Months")))</f>
        <v>49+ Months</v>
      </c>
      <c r="L800">
        <f>IF(Table1346[[#This Row],[Churn]]="Yes",1,0)</f>
        <v>0</v>
      </c>
    </row>
    <row r="801" spans="1:12" x14ac:dyDescent="0.35">
      <c r="A801" t="s">
        <v>823</v>
      </c>
      <c r="B801" t="s">
        <v>11</v>
      </c>
      <c r="C801">
        <v>19</v>
      </c>
      <c r="D801">
        <v>24</v>
      </c>
      <c r="E801" t="s">
        <v>21</v>
      </c>
      <c r="F801" t="s">
        <v>13</v>
      </c>
      <c r="G801" t="s">
        <v>19</v>
      </c>
      <c r="H801">
        <v>44.04</v>
      </c>
      <c r="I801">
        <v>1158.3900000000001</v>
      </c>
      <c r="J801" t="s">
        <v>15</v>
      </c>
      <c r="K801" t="str">
        <f>IF(D801&lt;=12,"0-12 Months",IF(D801&lt;=24,"13-24 Months",IF(D801&lt;=48,"25-48 Months","49+ Months")))</f>
        <v>13-24 Months</v>
      </c>
      <c r="L801">
        <f>IF(Table1346[[#This Row],[Churn]]="Yes",1,0)</f>
        <v>0</v>
      </c>
    </row>
    <row r="802" spans="1:12" x14ac:dyDescent="0.35">
      <c r="A802" t="s">
        <v>824</v>
      </c>
      <c r="B802" t="s">
        <v>11</v>
      </c>
      <c r="C802">
        <v>70</v>
      </c>
      <c r="D802">
        <v>24</v>
      </c>
      <c r="E802" t="s">
        <v>12</v>
      </c>
      <c r="F802" t="s">
        <v>33</v>
      </c>
      <c r="G802" t="s">
        <v>23</v>
      </c>
      <c r="H802">
        <v>75.66</v>
      </c>
      <c r="I802">
        <v>1949.69</v>
      </c>
      <c r="J802" t="s">
        <v>15</v>
      </c>
      <c r="K802" t="str">
        <f>IF(D802&lt;=12,"0-12 Months",IF(D802&lt;=24,"13-24 Months",IF(D802&lt;=48,"25-48 Months","49+ Months")))</f>
        <v>13-24 Months</v>
      </c>
      <c r="L802">
        <f>IF(Table1346[[#This Row],[Churn]]="Yes",1,0)</f>
        <v>0</v>
      </c>
    </row>
    <row r="803" spans="1:12" x14ac:dyDescent="0.35">
      <c r="A803" t="s">
        <v>825</v>
      </c>
      <c r="B803" t="s">
        <v>17</v>
      </c>
      <c r="C803">
        <v>26</v>
      </c>
      <c r="D803">
        <v>17</v>
      </c>
      <c r="E803" t="s">
        <v>18</v>
      </c>
      <c r="F803" t="s">
        <v>29</v>
      </c>
      <c r="G803" t="s">
        <v>19</v>
      </c>
      <c r="H803">
        <v>27.99</v>
      </c>
      <c r="I803">
        <v>444.8</v>
      </c>
      <c r="J803" t="s">
        <v>15</v>
      </c>
      <c r="K803" t="str">
        <f>IF(D803&lt;=12,"0-12 Months",IF(D803&lt;=24,"13-24 Months",IF(D803&lt;=48,"25-48 Months","49+ Months")))</f>
        <v>13-24 Months</v>
      </c>
      <c r="L803">
        <f>IF(Table1346[[#This Row],[Churn]]="Yes",1,0)</f>
        <v>0</v>
      </c>
    </row>
    <row r="804" spans="1:12" x14ac:dyDescent="0.35">
      <c r="A804" t="s">
        <v>826</v>
      </c>
      <c r="B804" t="s">
        <v>11</v>
      </c>
      <c r="C804">
        <v>26</v>
      </c>
      <c r="D804">
        <v>5</v>
      </c>
      <c r="E804" t="s">
        <v>12</v>
      </c>
      <c r="F804" t="s">
        <v>29</v>
      </c>
      <c r="G804" t="s">
        <v>19</v>
      </c>
      <c r="H804">
        <v>49.11</v>
      </c>
      <c r="I804">
        <v>223.26</v>
      </c>
      <c r="J804" t="s">
        <v>27</v>
      </c>
      <c r="K804" t="str">
        <f>IF(D804&lt;=12,"0-12 Months",IF(D804&lt;=24,"13-24 Months",IF(D804&lt;=48,"25-48 Months","49+ Months")))</f>
        <v>0-12 Months</v>
      </c>
      <c r="L804">
        <f>IF(Table1346[[#This Row],[Churn]]="Yes",1,0)</f>
        <v>1</v>
      </c>
    </row>
    <row r="805" spans="1:12" x14ac:dyDescent="0.35">
      <c r="A805" t="s">
        <v>827</v>
      </c>
      <c r="B805" t="s">
        <v>11</v>
      </c>
      <c r="C805">
        <v>57</v>
      </c>
      <c r="D805">
        <v>20</v>
      </c>
      <c r="E805" t="s">
        <v>12</v>
      </c>
      <c r="F805" t="s">
        <v>22</v>
      </c>
      <c r="G805" t="s">
        <v>23</v>
      </c>
      <c r="H805">
        <v>67.23</v>
      </c>
      <c r="I805">
        <v>1366.01</v>
      </c>
      <c r="J805" t="s">
        <v>15</v>
      </c>
      <c r="K805" t="str">
        <f>IF(D805&lt;=12,"0-12 Months",IF(D805&lt;=24,"13-24 Months",IF(D805&lt;=48,"25-48 Months","49+ Months")))</f>
        <v>13-24 Months</v>
      </c>
      <c r="L805">
        <f>IF(Table1346[[#This Row],[Churn]]="Yes",1,0)</f>
        <v>0</v>
      </c>
    </row>
    <row r="806" spans="1:12" x14ac:dyDescent="0.35">
      <c r="A806" t="s">
        <v>828</v>
      </c>
      <c r="B806" t="s">
        <v>17</v>
      </c>
      <c r="C806">
        <v>34</v>
      </c>
      <c r="D806">
        <v>21</v>
      </c>
      <c r="E806" t="s">
        <v>21</v>
      </c>
      <c r="F806" t="s">
        <v>29</v>
      </c>
      <c r="G806" t="s">
        <v>14</v>
      </c>
      <c r="H806">
        <v>77.02</v>
      </c>
      <c r="I806">
        <v>1750.89</v>
      </c>
      <c r="J806" t="s">
        <v>15</v>
      </c>
      <c r="K806" t="str">
        <f>IF(D806&lt;=12,"0-12 Months",IF(D806&lt;=24,"13-24 Months",IF(D806&lt;=48,"25-48 Months","49+ Months")))</f>
        <v>13-24 Months</v>
      </c>
      <c r="L806">
        <f>IF(Table1346[[#This Row],[Churn]]="Yes",1,0)</f>
        <v>0</v>
      </c>
    </row>
    <row r="807" spans="1:12" x14ac:dyDescent="0.35">
      <c r="A807" t="s">
        <v>829</v>
      </c>
      <c r="B807" t="s">
        <v>17</v>
      </c>
      <c r="C807">
        <v>18</v>
      </c>
      <c r="D807">
        <v>58</v>
      </c>
      <c r="E807" t="s">
        <v>12</v>
      </c>
      <c r="F807" t="s">
        <v>29</v>
      </c>
      <c r="G807" t="s">
        <v>19</v>
      </c>
      <c r="H807">
        <v>147.07</v>
      </c>
      <c r="I807">
        <v>7979.62</v>
      </c>
      <c r="J807" t="s">
        <v>15</v>
      </c>
      <c r="K807" t="str">
        <f>IF(D807&lt;=12,"0-12 Months",IF(D807&lt;=24,"13-24 Months",IF(D807&lt;=48,"25-48 Months","49+ Months")))</f>
        <v>49+ Months</v>
      </c>
      <c r="L807">
        <f>IF(Table1346[[#This Row],[Churn]]="Yes",1,0)</f>
        <v>0</v>
      </c>
    </row>
    <row r="808" spans="1:12" x14ac:dyDescent="0.35">
      <c r="A808" t="s">
        <v>830</v>
      </c>
      <c r="B808" t="s">
        <v>17</v>
      </c>
      <c r="C808">
        <v>42</v>
      </c>
      <c r="D808">
        <v>31</v>
      </c>
      <c r="E808" t="s">
        <v>21</v>
      </c>
      <c r="F808" t="s">
        <v>13</v>
      </c>
      <c r="G808" t="s">
        <v>14</v>
      </c>
      <c r="H808">
        <v>125.02</v>
      </c>
      <c r="I808">
        <v>3493.52</v>
      </c>
      <c r="J808" t="s">
        <v>15</v>
      </c>
      <c r="K808" t="str">
        <f>IF(D808&lt;=12,"0-12 Months",IF(D808&lt;=24,"13-24 Months",IF(D808&lt;=48,"25-48 Months","49+ Months")))</f>
        <v>25-48 Months</v>
      </c>
      <c r="L808">
        <f>IF(Table1346[[#This Row],[Churn]]="Yes",1,0)</f>
        <v>0</v>
      </c>
    </row>
    <row r="809" spans="1:12" x14ac:dyDescent="0.35">
      <c r="A809" t="s">
        <v>831</v>
      </c>
      <c r="B809" t="s">
        <v>11</v>
      </c>
      <c r="C809">
        <v>60</v>
      </c>
      <c r="D809">
        <v>11</v>
      </c>
      <c r="E809" t="s">
        <v>12</v>
      </c>
      <c r="F809" t="s">
        <v>29</v>
      </c>
      <c r="G809" t="s">
        <v>23</v>
      </c>
      <c r="H809">
        <v>115.86</v>
      </c>
      <c r="I809">
        <v>1352.33</v>
      </c>
      <c r="J809" t="s">
        <v>27</v>
      </c>
      <c r="K809" t="str">
        <f>IF(D809&lt;=12,"0-12 Months",IF(D809&lt;=24,"13-24 Months",IF(D809&lt;=48,"25-48 Months","49+ Months")))</f>
        <v>0-12 Months</v>
      </c>
      <c r="L809">
        <f>IF(Table1346[[#This Row],[Churn]]="Yes",1,0)</f>
        <v>1</v>
      </c>
    </row>
    <row r="810" spans="1:12" x14ac:dyDescent="0.35">
      <c r="A810" t="s">
        <v>832</v>
      </c>
      <c r="B810" t="s">
        <v>17</v>
      </c>
      <c r="C810">
        <v>57</v>
      </c>
      <c r="D810">
        <v>52</v>
      </c>
      <c r="E810" t="s">
        <v>12</v>
      </c>
      <c r="F810" t="s">
        <v>1024</v>
      </c>
      <c r="G810" t="s">
        <v>23</v>
      </c>
      <c r="H810">
        <v>89.82</v>
      </c>
      <c r="I810">
        <v>4275.3100000000004</v>
      </c>
      <c r="J810" t="s">
        <v>15</v>
      </c>
      <c r="K810" t="str">
        <f>IF(D810&lt;=12,"0-12 Months",IF(D810&lt;=24,"13-24 Months",IF(D810&lt;=48,"25-48 Months","49+ Months")))</f>
        <v>49+ Months</v>
      </c>
      <c r="L810">
        <f>IF(Table1346[[#This Row],[Churn]]="Yes",1,0)</f>
        <v>0</v>
      </c>
    </row>
    <row r="811" spans="1:12" x14ac:dyDescent="0.35">
      <c r="A811" t="s">
        <v>833</v>
      </c>
      <c r="B811" t="s">
        <v>11</v>
      </c>
      <c r="C811">
        <v>59</v>
      </c>
      <c r="D811">
        <v>15</v>
      </c>
      <c r="E811" t="s">
        <v>18</v>
      </c>
      <c r="F811" t="s">
        <v>29</v>
      </c>
      <c r="G811" t="s">
        <v>23</v>
      </c>
      <c r="H811">
        <v>129.19999999999999</v>
      </c>
      <c r="I811">
        <v>1904.55</v>
      </c>
      <c r="J811" t="s">
        <v>15</v>
      </c>
      <c r="K811" t="str">
        <f>IF(D811&lt;=12,"0-12 Months",IF(D811&lt;=24,"13-24 Months",IF(D811&lt;=48,"25-48 Months","49+ Months")))</f>
        <v>13-24 Months</v>
      </c>
      <c r="L811">
        <f>IF(Table1346[[#This Row],[Churn]]="Yes",1,0)</f>
        <v>0</v>
      </c>
    </row>
    <row r="812" spans="1:12" x14ac:dyDescent="0.35">
      <c r="A812" t="s">
        <v>834</v>
      </c>
      <c r="B812" t="s">
        <v>11</v>
      </c>
      <c r="C812">
        <v>42</v>
      </c>
      <c r="D812">
        <v>7</v>
      </c>
      <c r="E812" t="s">
        <v>12</v>
      </c>
      <c r="F812" t="s">
        <v>33</v>
      </c>
      <c r="G812" t="s">
        <v>14</v>
      </c>
      <c r="H812">
        <v>64.11</v>
      </c>
      <c r="I812">
        <v>464.83</v>
      </c>
      <c r="J812" t="s">
        <v>27</v>
      </c>
      <c r="K812" t="str">
        <f>IF(D812&lt;=12,"0-12 Months",IF(D812&lt;=24,"13-24 Months",IF(D812&lt;=48,"25-48 Months","49+ Months")))</f>
        <v>0-12 Months</v>
      </c>
      <c r="L812">
        <f>IF(Table1346[[#This Row],[Churn]]="Yes",1,0)</f>
        <v>1</v>
      </c>
    </row>
    <row r="813" spans="1:12" x14ac:dyDescent="0.35">
      <c r="A813" t="s">
        <v>835</v>
      </c>
      <c r="B813" t="s">
        <v>11</v>
      </c>
      <c r="C813">
        <v>56</v>
      </c>
      <c r="D813">
        <v>28</v>
      </c>
      <c r="E813" t="s">
        <v>12</v>
      </c>
      <c r="F813" t="s">
        <v>22</v>
      </c>
      <c r="G813" t="s">
        <v>23</v>
      </c>
      <c r="H813">
        <v>112.16</v>
      </c>
      <c r="I813">
        <v>2975.16</v>
      </c>
      <c r="J813" t="s">
        <v>27</v>
      </c>
      <c r="K813" t="str">
        <f>IF(D813&lt;=12,"0-12 Months",IF(D813&lt;=24,"13-24 Months",IF(D813&lt;=48,"25-48 Months","49+ Months")))</f>
        <v>25-48 Months</v>
      </c>
      <c r="L813">
        <f>IF(Table1346[[#This Row],[Churn]]="Yes",1,0)</f>
        <v>1</v>
      </c>
    </row>
    <row r="814" spans="1:12" x14ac:dyDescent="0.35">
      <c r="A814" t="s">
        <v>836</v>
      </c>
      <c r="B814" t="s">
        <v>11</v>
      </c>
      <c r="C814">
        <v>52</v>
      </c>
      <c r="D814">
        <v>51</v>
      </c>
      <c r="E814" t="s">
        <v>12</v>
      </c>
      <c r="F814" t="s">
        <v>22</v>
      </c>
      <c r="G814" t="s">
        <v>23</v>
      </c>
      <c r="H814">
        <v>149.19</v>
      </c>
      <c r="I814">
        <v>6975.59</v>
      </c>
      <c r="J814" t="s">
        <v>15</v>
      </c>
      <c r="K814" t="str">
        <f>IF(D814&lt;=12,"0-12 Months",IF(D814&lt;=24,"13-24 Months",IF(D814&lt;=48,"25-48 Months","49+ Months")))</f>
        <v>49+ Months</v>
      </c>
      <c r="L814">
        <f>IF(Table1346[[#This Row],[Churn]]="Yes",1,0)</f>
        <v>0</v>
      </c>
    </row>
    <row r="815" spans="1:12" x14ac:dyDescent="0.35">
      <c r="A815" t="s">
        <v>837</v>
      </c>
      <c r="B815" t="s">
        <v>17</v>
      </c>
      <c r="C815">
        <v>20</v>
      </c>
      <c r="D815">
        <v>58</v>
      </c>
      <c r="E815" t="s">
        <v>18</v>
      </c>
      <c r="F815" t="s">
        <v>22</v>
      </c>
      <c r="G815" t="s">
        <v>19</v>
      </c>
      <c r="H815">
        <v>60.9</v>
      </c>
      <c r="I815">
        <v>3722.95</v>
      </c>
      <c r="J815" t="s">
        <v>15</v>
      </c>
      <c r="K815" t="str">
        <f>IF(D815&lt;=12,"0-12 Months",IF(D815&lt;=24,"13-24 Months",IF(D815&lt;=48,"25-48 Months","49+ Months")))</f>
        <v>49+ Months</v>
      </c>
      <c r="L815">
        <f>IF(Table1346[[#This Row],[Churn]]="Yes",1,0)</f>
        <v>0</v>
      </c>
    </row>
    <row r="816" spans="1:12" x14ac:dyDescent="0.35">
      <c r="A816" t="s">
        <v>838</v>
      </c>
      <c r="B816" t="s">
        <v>17</v>
      </c>
      <c r="C816">
        <v>67</v>
      </c>
      <c r="D816">
        <v>5</v>
      </c>
      <c r="E816" t="s">
        <v>12</v>
      </c>
      <c r="F816" t="s">
        <v>33</v>
      </c>
      <c r="G816" t="s">
        <v>23</v>
      </c>
      <c r="H816">
        <v>107.62</v>
      </c>
      <c r="I816">
        <v>552.11</v>
      </c>
      <c r="J816" t="s">
        <v>27</v>
      </c>
      <c r="K816" t="str">
        <f>IF(D816&lt;=12,"0-12 Months",IF(D816&lt;=24,"13-24 Months",IF(D816&lt;=48,"25-48 Months","49+ Months")))</f>
        <v>0-12 Months</v>
      </c>
      <c r="L816">
        <f>IF(Table1346[[#This Row],[Churn]]="Yes",1,0)</f>
        <v>1</v>
      </c>
    </row>
    <row r="817" spans="1:12" x14ac:dyDescent="0.35">
      <c r="A817" t="s">
        <v>839</v>
      </c>
      <c r="B817" t="s">
        <v>11</v>
      </c>
      <c r="C817">
        <v>54</v>
      </c>
      <c r="D817">
        <v>5</v>
      </c>
      <c r="E817" t="s">
        <v>12</v>
      </c>
      <c r="F817" t="s">
        <v>29</v>
      </c>
      <c r="G817" t="s">
        <v>23</v>
      </c>
      <c r="H817">
        <v>129.76</v>
      </c>
      <c r="I817">
        <v>712.19</v>
      </c>
      <c r="J817" t="s">
        <v>15</v>
      </c>
      <c r="K817" t="str">
        <f>IF(D817&lt;=12,"0-12 Months",IF(D817&lt;=24,"13-24 Months",IF(D817&lt;=48,"25-48 Months","49+ Months")))</f>
        <v>0-12 Months</v>
      </c>
      <c r="L817">
        <f>IF(Table1346[[#This Row],[Churn]]="Yes",1,0)</f>
        <v>0</v>
      </c>
    </row>
    <row r="818" spans="1:12" x14ac:dyDescent="0.35">
      <c r="A818" t="s">
        <v>840</v>
      </c>
      <c r="B818" t="s">
        <v>11</v>
      </c>
      <c r="C818">
        <v>61</v>
      </c>
      <c r="D818">
        <v>8</v>
      </c>
      <c r="E818" t="s">
        <v>12</v>
      </c>
      <c r="F818" t="s">
        <v>33</v>
      </c>
      <c r="G818" t="s">
        <v>23</v>
      </c>
      <c r="H818">
        <v>139.05000000000001</v>
      </c>
      <c r="I818">
        <v>1077.76</v>
      </c>
      <c r="J818" t="s">
        <v>27</v>
      </c>
      <c r="K818" t="str">
        <f>IF(D818&lt;=12,"0-12 Months",IF(D818&lt;=24,"13-24 Months",IF(D818&lt;=48,"25-48 Months","49+ Months")))</f>
        <v>0-12 Months</v>
      </c>
      <c r="L818">
        <f>IF(Table1346[[#This Row],[Churn]]="Yes",1,0)</f>
        <v>1</v>
      </c>
    </row>
    <row r="819" spans="1:12" x14ac:dyDescent="0.35">
      <c r="A819" t="s">
        <v>841</v>
      </c>
      <c r="B819" t="s">
        <v>11</v>
      </c>
      <c r="C819">
        <v>61</v>
      </c>
      <c r="D819">
        <v>64</v>
      </c>
      <c r="E819" t="s">
        <v>12</v>
      </c>
      <c r="F819" t="s">
        <v>22</v>
      </c>
      <c r="G819" t="s">
        <v>23</v>
      </c>
      <c r="H819">
        <v>113.33</v>
      </c>
      <c r="I819">
        <v>6617.4</v>
      </c>
      <c r="J819" t="s">
        <v>27</v>
      </c>
      <c r="K819" t="str">
        <f>IF(D819&lt;=12,"0-12 Months",IF(D819&lt;=24,"13-24 Months",IF(D819&lt;=48,"25-48 Months","49+ Months")))</f>
        <v>49+ Months</v>
      </c>
      <c r="L819">
        <f>IF(Table1346[[#This Row],[Churn]]="Yes",1,0)</f>
        <v>1</v>
      </c>
    </row>
    <row r="820" spans="1:12" x14ac:dyDescent="0.35">
      <c r="A820" t="s">
        <v>842</v>
      </c>
      <c r="B820" t="s">
        <v>17</v>
      </c>
      <c r="C820">
        <v>68</v>
      </c>
      <c r="D820">
        <v>10</v>
      </c>
      <c r="E820" t="s">
        <v>18</v>
      </c>
      <c r="F820" t="s">
        <v>22</v>
      </c>
      <c r="G820" t="s">
        <v>23</v>
      </c>
      <c r="H820">
        <v>56.87</v>
      </c>
      <c r="I820">
        <v>595.35</v>
      </c>
      <c r="J820" t="s">
        <v>27</v>
      </c>
      <c r="K820" t="str">
        <f>IF(D820&lt;=12,"0-12 Months",IF(D820&lt;=24,"13-24 Months",IF(D820&lt;=48,"25-48 Months","49+ Months")))</f>
        <v>0-12 Months</v>
      </c>
      <c r="L820">
        <f>IF(Table1346[[#This Row],[Churn]]="Yes",1,0)</f>
        <v>1</v>
      </c>
    </row>
    <row r="821" spans="1:12" x14ac:dyDescent="0.35">
      <c r="A821" t="s">
        <v>843</v>
      </c>
      <c r="B821" t="s">
        <v>11</v>
      </c>
      <c r="C821">
        <v>47</v>
      </c>
      <c r="D821">
        <v>38</v>
      </c>
      <c r="E821" t="s">
        <v>21</v>
      </c>
      <c r="F821" t="s">
        <v>13</v>
      </c>
      <c r="G821" t="s">
        <v>14</v>
      </c>
      <c r="H821">
        <v>62.42</v>
      </c>
      <c r="I821">
        <v>2382.27</v>
      </c>
      <c r="J821" t="s">
        <v>15</v>
      </c>
      <c r="K821" t="str">
        <f>IF(D821&lt;=12,"0-12 Months",IF(D821&lt;=24,"13-24 Months",IF(D821&lt;=48,"25-48 Months","49+ Months")))</f>
        <v>25-48 Months</v>
      </c>
      <c r="L821">
        <f>IF(Table1346[[#This Row],[Churn]]="Yes",1,0)</f>
        <v>0</v>
      </c>
    </row>
    <row r="822" spans="1:12" x14ac:dyDescent="0.35">
      <c r="A822" t="s">
        <v>844</v>
      </c>
      <c r="B822" t="s">
        <v>11</v>
      </c>
      <c r="C822">
        <v>55</v>
      </c>
      <c r="D822">
        <v>8</v>
      </c>
      <c r="E822" t="s">
        <v>12</v>
      </c>
      <c r="F822" t="s">
        <v>29</v>
      </c>
      <c r="G822" t="s">
        <v>23</v>
      </c>
      <c r="H822">
        <v>22.7</v>
      </c>
      <c r="I822">
        <v>171.18</v>
      </c>
      <c r="J822" t="s">
        <v>15</v>
      </c>
      <c r="K822" t="str">
        <f>IF(D822&lt;=12,"0-12 Months",IF(D822&lt;=24,"13-24 Months",IF(D822&lt;=48,"25-48 Months","49+ Months")))</f>
        <v>0-12 Months</v>
      </c>
      <c r="L822">
        <f>IF(Table1346[[#This Row],[Churn]]="Yes",1,0)</f>
        <v>0</v>
      </c>
    </row>
    <row r="823" spans="1:12" x14ac:dyDescent="0.35">
      <c r="A823" t="s">
        <v>845</v>
      </c>
      <c r="B823" t="s">
        <v>17</v>
      </c>
      <c r="C823">
        <v>51</v>
      </c>
      <c r="D823">
        <v>25</v>
      </c>
      <c r="E823" t="s">
        <v>21</v>
      </c>
      <c r="F823" t="s">
        <v>13</v>
      </c>
      <c r="G823" t="s">
        <v>23</v>
      </c>
      <c r="H823">
        <v>118.92</v>
      </c>
      <c r="I823">
        <v>3140.52</v>
      </c>
      <c r="J823" t="s">
        <v>15</v>
      </c>
      <c r="K823" t="str">
        <f>IF(D823&lt;=12,"0-12 Months",IF(D823&lt;=24,"13-24 Months",IF(D823&lt;=48,"25-48 Months","49+ Months")))</f>
        <v>25-48 Months</v>
      </c>
      <c r="L823">
        <f>IF(Table1346[[#This Row],[Churn]]="Yes",1,0)</f>
        <v>0</v>
      </c>
    </row>
    <row r="824" spans="1:12" x14ac:dyDescent="0.35">
      <c r="A824" t="s">
        <v>846</v>
      </c>
      <c r="B824" t="s">
        <v>17</v>
      </c>
      <c r="C824">
        <v>29</v>
      </c>
      <c r="D824">
        <v>66</v>
      </c>
      <c r="E824" t="s">
        <v>12</v>
      </c>
      <c r="F824" t="s">
        <v>22</v>
      </c>
      <c r="G824" t="s">
        <v>19</v>
      </c>
      <c r="H824">
        <v>25.56</v>
      </c>
      <c r="I824">
        <v>1587.01</v>
      </c>
      <c r="J824" t="s">
        <v>15</v>
      </c>
      <c r="K824" t="str">
        <f>IF(D824&lt;=12,"0-12 Months",IF(D824&lt;=24,"13-24 Months",IF(D824&lt;=48,"25-48 Months","49+ Months")))</f>
        <v>49+ Months</v>
      </c>
      <c r="L824">
        <f>IF(Table1346[[#This Row],[Churn]]="Yes",1,0)</f>
        <v>0</v>
      </c>
    </row>
    <row r="825" spans="1:12" x14ac:dyDescent="0.35">
      <c r="A825" t="s">
        <v>847</v>
      </c>
      <c r="B825" t="s">
        <v>11</v>
      </c>
      <c r="C825">
        <v>36</v>
      </c>
      <c r="D825">
        <v>50</v>
      </c>
      <c r="E825" t="s">
        <v>18</v>
      </c>
      <c r="F825" t="s">
        <v>29</v>
      </c>
      <c r="G825" t="s">
        <v>14</v>
      </c>
      <c r="H825">
        <v>132.4</v>
      </c>
      <c r="I825">
        <v>6303.12</v>
      </c>
      <c r="J825" t="s">
        <v>15</v>
      </c>
      <c r="K825" t="str">
        <f>IF(D825&lt;=12,"0-12 Months",IF(D825&lt;=24,"13-24 Months",IF(D825&lt;=48,"25-48 Months","49+ Months")))</f>
        <v>49+ Months</v>
      </c>
      <c r="L825">
        <f>IF(Table1346[[#This Row],[Churn]]="Yes",1,0)</f>
        <v>0</v>
      </c>
    </row>
    <row r="826" spans="1:12" x14ac:dyDescent="0.35">
      <c r="A826" t="s">
        <v>848</v>
      </c>
      <c r="B826" t="s">
        <v>17</v>
      </c>
      <c r="C826">
        <v>54</v>
      </c>
      <c r="D826">
        <v>67</v>
      </c>
      <c r="E826" t="s">
        <v>18</v>
      </c>
      <c r="F826" t="s">
        <v>22</v>
      </c>
      <c r="G826" t="s">
        <v>23</v>
      </c>
      <c r="H826">
        <v>35.43</v>
      </c>
      <c r="I826">
        <v>2180.36</v>
      </c>
      <c r="J826" t="s">
        <v>15</v>
      </c>
      <c r="K826" t="str">
        <f>IF(D826&lt;=12,"0-12 Months",IF(D826&lt;=24,"13-24 Months",IF(D826&lt;=48,"25-48 Months","49+ Months")))</f>
        <v>49+ Months</v>
      </c>
      <c r="L826">
        <f>IF(Table1346[[#This Row],[Churn]]="Yes",1,0)</f>
        <v>0</v>
      </c>
    </row>
    <row r="827" spans="1:12" x14ac:dyDescent="0.35">
      <c r="A827" t="s">
        <v>849</v>
      </c>
      <c r="B827" t="s">
        <v>17</v>
      </c>
      <c r="C827">
        <v>61</v>
      </c>
      <c r="D827">
        <v>49</v>
      </c>
      <c r="E827" t="s">
        <v>12</v>
      </c>
      <c r="F827" t="s">
        <v>29</v>
      </c>
      <c r="G827" t="s">
        <v>23</v>
      </c>
      <c r="H827">
        <v>42.34</v>
      </c>
      <c r="I827">
        <v>2032.93</v>
      </c>
      <c r="J827" t="s">
        <v>15</v>
      </c>
      <c r="K827" t="str">
        <f>IF(D827&lt;=12,"0-12 Months",IF(D827&lt;=24,"13-24 Months",IF(D827&lt;=48,"25-48 Months","49+ Months")))</f>
        <v>49+ Months</v>
      </c>
      <c r="L827">
        <f>IF(Table1346[[#This Row],[Churn]]="Yes",1,0)</f>
        <v>0</v>
      </c>
    </row>
    <row r="828" spans="1:12" x14ac:dyDescent="0.35">
      <c r="A828" t="s">
        <v>850</v>
      </c>
      <c r="B828" t="s">
        <v>11</v>
      </c>
      <c r="C828">
        <v>66</v>
      </c>
      <c r="D828">
        <v>36</v>
      </c>
      <c r="E828" t="s">
        <v>18</v>
      </c>
      <c r="F828" t="s">
        <v>29</v>
      </c>
      <c r="G828" t="s">
        <v>23</v>
      </c>
      <c r="H828">
        <v>81.95</v>
      </c>
      <c r="I828">
        <v>2902.36</v>
      </c>
      <c r="J828" t="s">
        <v>15</v>
      </c>
      <c r="K828" t="str">
        <f>IF(D828&lt;=12,"0-12 Months",IF(D828&lt;=24,"13-24 Months",IF(D828&lt;=48,"25-48 Months","49+ Months")))</f>
        <v>25-48 Months</v>
      </c>
      <c r="L828">
        <f>IF(Table1346[[#This Row],[Churn]]="Yes",1,0)</f>
        <v>0</v>
      </c>
    </row>
    <row r="829" spans="1:12" x14ac:dyDescent="0.35">
      <c r="A829" t="s">
        <v>851</v>
      </c>
      <c r="B829" t="s">
        <v>17</v>
      </c>
      <c r="C829">
        <v>34</v>
      </c>
      <c r="D829">
        <v>68</v>
      </c>
      <c r="E829" t="s">
        <v>21</v>
      </c>
      <c r="F829" t="s">
        <v>29</v>
      </c>
      <c r="G829" t="s">
        <v>14</v>
      </c>
      <c r="H829">
        <v>115.92</v>
      </c>
      <c r="I829">
        <v>7905.52</v>
      </c>
      <c r="J829" t="s">
        <v>15</v>
      </c>
      <c r="K829" t="str">
        <f>IF(D829&lt;=12,"0-12 Months",IF(D829&lt;=24,"13-24 Months",IF(D829&lt;=48,"25-48 Months","49+ Months")))</f>
        <v>49+ Months</v>
      </c>
      <c r="L829">
        <f>IF(Table1346[[#This Row],[Churn]]="Yes",1,0)</f>
        <v>0</v>
      </c>
    </row>
    <row r="830" spans="1:12" x14ac:dyDescent="0.35">
      <c r="A830" t="s">
        <v>852</v>
      </c>
      <c r="B830" t="s">
        <v>11</v>
      </c>
      <c r="C830">
        <v>27</v>
      </c>
      <c r="D830">
        <v>41</v>
      </c>
      <c r="E830" t="s">
        <v>12</v>
      </c>
      <c r="F830" t="s">
        <v>29</v>
      </c>
      <c r="G830" t="s">
        <v>19</v>
      </c>
      <c r="H830">
        <v>38.07</v>
      </c>
      <c r="I830">
        <v>1626.1</v>
      </c>
      <c r="J830" t="s">
        <v>27</v>
      </c>
      <c r="K830" t="str">
        <f>IF(D830&lt;=12,"0-12 Months",IF(D830&lt;=24,"13-24 Months",IF(D830&lt;=48,"25-48 Months","49+ Months")))</f>
        <v>25-48 Months</v>
      </c>
      <c r="L830">
        <f>IF(Table1346[[#This Row],[Churn]]="Yes",1,0)</f>
        <v>1</v>
      </c>
    </row>
    <row r="831" spans="1:12" x14ac:dyDescent="0.35">
      <c r="A831" t="s">
        <v>853</v>
      </c>
      <c r="B831" t="s">
        <v>17</v>
      </c>
      <c r="C831">
        <v>66</v>
      </c>
      <c r="D831">
        <v>62</v>
      </c>
      <c r="E831" t="s">
        <v>12</v>
      </c>
      <c r="F831" t="s">
        <v>13</v>
      </c>
      <c r="G831" t="s">
        <v>23</v>
      </c>
      <c r="H831">
        <v>77.209999999999994</v>
      </c>
      <c r="I831">
        <v>5175.82</v>
      </c>
      <c r="J831" t="s">
        <v>27</v>
      </c>
      <c r="K831" t="str">
        <f>IF(D831&lt;=12,"0-12 Months",IF(D831&lt;=24,"13-24 Months",IF(D831&lt;=48,"25-48 Months","49+ Months")))</f>
        <v>49+ Months</v>
      </c>
      <c r="L831">
        <f>IF(Table1346[[#This Row],[Churn]]="Yes",1,0)</f>
        <v>1</v>
      </c>
    </row>
    <row r="832" spans="1:12" x14ac:dyDescent="0.35">
      <c r="A832" t="s">
        <v>854</v>
      </c>
      <c r="B832" t="s">
        <v>11</v>
      </c>
      <c r="C832">
        <v>64</v>
      </c>
      <c r="D832">
        <v>10</v>
      </c>
      <c r="E832" t="s">
        <v>12</v>
      </c>
      <c r="F832" t="s">
        <v>29</v>
      </c>
      <c r="G832" t="s">
        <v>23</v>
      </c>
      <c r="H832">
        <v>82.77</v>
      </c>
      <c r="I832">
        <v>767.73</v>
      </c>
      <c r="J832" t="s">
        <v>27</v>
      </c>
      <c r="K832" t="str">
        <f>IF(D832&lt;=12,"0-12 Months",IF(D832&lt;=24,"13-24 Months",IF(D832&lt;=48,"25-48 Months","49+ Months")))</f>
        <v>0-12 Months</v>
      </c>
      <c r="L832">
        <f>IF(Table1346[[#This Row],[Churn]]="Yes",1,0)</f>
        <v>1</v>
      </c>
    </row>
    <row r="833" spans="1:12" x14ac:dyDescent="0.35">
      <c r="A833" t="s">
        <v>855</v>
      </c>
      <c r="B833" t="s">
        <v>11</v>
      </c>
      <c r="C833">
        <v>29</v>
      </c>
      <c r="D833">
        <v>21</v>
      </c>
      <c r="E833" t="s">
        <v>21</v>
      </c>
      <c r="F833" t="s">
        <v>33</v>
      </c>
      <c r="G833" t="s">
        <v>19</v>
      </c>
      <c r="H833">
        <v>47.6</v>
      </c>
      <c r="I833">
        <v>910.51</v>
      </c>
      <c r="J833" t="s">
        <v>15</v>
      </c>
      <c r="K833" t="str">
        <f>IF(D833&lt;=12,"0-12 Months",IF(D833&lt;=24,"13-24 Months",IF(D833&lt;=48,"25-48 Months","49+ Months")))</f>
        <v>13-24 Months</v>
      </c>
      <c r="L833">
        <f>IF(Table1346[[#This Row],[Churn]]="Yes",1,0)</f>
        <v>0</v>
      </c>
    </row>
    <row r="834" spans="1:12" x14ac:dyDescent="0.35">
      <c r="A834" t="s">
        <v>856</v>
      </c>
      <c r="B834" t="s">
        <v>11</v>
      </c>
      <c r="C834">
        <v>33</v>
      </c>
      <c r="D834">
        <v>36</v>
      </c>
      <c r="E834" t="s">
        <v>18</v>
      </c>
      <c r="F834" t="s">
        <v>13</v>
      </c>
      <c r="G834" t="s">
        <v>14</v>
      </c>
      <c r="H834">
        <v>35.020000000000003</v>
      </c>
      <c r="I834">
        <v>1139.32</v>
      </c>
      <c r="J834" t="s">
        <v>15</v>
      </c>
      <c r="K834" t="str">
        <f>IF(D834&lt;=12,"0-12 Months",IF(D834&lt;=24,"13-24 Months",IF(D834&lt;=48,"25-48 Months","49+ Months")))</f>
        <v>25-48 Months</v>
      </c>
      <c r="L834">
        <f>IF(Table1346[[#This Row],[Churn]]="Yes",1,0)</f>
        <v>0</v>
      </c>
    </row>
    <row r="835" spans="1:12" x14ac:dyDescent="0.35">
      <c r="A835" t="s">
        <v>857</v>
      </c>
      <c r="B835" t="s">
        <v>17</v>
      </c>
      <c r="C835">
        <v>41</v>
      </c>
      <c r="D835">
        <v>12</v>
      </c>
      <c r="E835" t="s">
        <v>21</v>
      </c>
      <c r="F835" t="s">
        <v>29</v>
      </c>
      <c r="G835" t="s">
        <v>14</v>
      </c>
      <c r="H835">
        <v>128.72999999999999</v>
      </c>
      <c r="I835">
        <v>1434.66</v>
      </c>
      <c r="J835" t="s">
        <v>15</v>
      </c>
      <c r="K835" t="str">
        <f>IF(D835&lt;=12,"0-12 Months",IF(D835&lt;=24,"13-24 Months",IF(D835&lt;=48,"25-48 Months","49+ Months")))</f>
        <v>0-12 Months</v>
      </c>
      <c r="L835">
        <f>IF(Table1346[[#This Row],[Churn]]="Yes",1,0)</f>
        <v>0</v>
      </c>
    </row>
    <row r="836" spans="1:12" x14ac:dyDescent="0.35">
      <c r="A836" t="s">
        <v>858</v>
      </c>
      <c r="B836" t="s">
        <v>11</v>
      </c>
      <c r="C836">
        <v>36</v>
      </c>
      <c r="D836">
        <v>2</v>
      </c>
      <c r="E836" t="s">
        <v>18</v>
      </c>
      <c r="F836" t="s">
        <v>22</v>
      </c>
      <c r="G836" t="s">
        <v>14</v>
      </c>
      <c r="H836">
        <v>85.32</v>
      </c>
      <c r="I836">
        <v>176.03</v>
      </c>
      <c r="J836" t="s">
        <v>27</v>
      </c>
      <c r="K836" t="str">
        <f>IF(D836&lt;=12,"0-12 Months",IF(D836&lt;=24,"13-24 Months",IF(D836&lt;=48,"25-48 Months","49+ Months")))</f>
        <v>0-12 Months</v>
      </c>
      <c r="L836">
        <f>IF(Table1346[[#This Row],[Churn]]="Yes",1,0)</f>
        <v>1</v>
      </c>
    </row>
    <row r="837" spans="1:12" x14ac:dyDescent="0.35">
      <c r="A837" t="s">
        <v>859</v>
      </c>
      <c r="B837" t="s">
        <v>17</v>
      </c>
      <c r="C837">
        <v>25</v>
      </c>
      <c r="D837">
        <v>13</v>
      </c>
      <c r="E837" t="s">
        <v>21</v>
      </c>
      <c r="F837" t="s">
        <v>33</v>
      </c>
      <c r="G837" t="s">
        <v>19</v>
      </c>
      <c r="H837">
        <v>21.87</v>
      </c>
      <c r="I837">
        <v>297.24</v>
      </c>
      <c r="J837" t="s">
        <v>15</v>
      </c>
      <c r="K837" t="str">
        <f>IF(D837&lt;=12,"0-12 Months",IF(D837&lt;=24,"13-24 Months",IF(D837&lt;=48,"25-48 Months","49+ Months")))</f>
        <v>13-24 Months</v>
      </c>
      <c r="L837">
        <f>IF(Table1346[[#This Row],[Churn]]="Yes",1,0)</f>
        <v>0</v>
      </c>
    </row>
    <row r="838" spans="1:12" x14ac:dyDescent="0.35">
      <c r="A838" t="s">
        <v>860</v>
      </c>
      <c r="B838" t="s">
        <v>11</v>
      </c>
      <c r="C838">
        <v>48</v>
      </c>
      <c r="D838">
        <v>53</v>
      </c>
      <c r="E838" t="s">
        <v>18</v>
      </c>
      <c r="F838" t="s">
        <v>22</v>
      </c>
      <c r="G838" t="s">
        <v>14</v>
      </c>
      <c r="H838">
        <v>124.39</v>
      </c>
      <c r="I838">
        <v>6970.44</v>
      </c>
      <c r="J838" t="s">
        <v>15</v>
      </c>
      <c r="K838" t="str">
        <f>IF(D838&lt;=12,"0-12 Months",IF(D838&lt;=24,"13-24 Months",IF(D838&lt;=48,"25-48 Months","49+ Months")))</f>
        <v>49+ Months</v>
      </c>
      <c r="L838">
        <f>IF(Table1346[[#This Row],[Churn]]="Yes",1,0)</f>
        <v>0</v>
      </c>
    </row>
    <row r="839" spans="1:12" x14ac:dyDescent="0.35">
      <c r="A839" t="s">
        <v>861</v>
      </c>
      <c r="B839" t="s">
        <v>11</v>
      </c>
      <c r="C839">
        <v>38</v>
      </c>
      <c r="D839">
        <v>32</v>
      </c>
      <c r="E839" t="s">
        <v>21</v>
      </c>
      <c r="F839" t="s">
        <v>29</v>
      </c>
      <c r="G839" t="s">
        <v>14</v>
      </c>
      <c r="H839">
        <v>147.5</v>
      </c>
      <c r="I839">
        <v>4478.0600000000004</v>
      </c>
      <c r="J839" t="s">
        <v>15</v>
      </c>
      <c r="K839" t="str">
        <f>IF(D839&lt;=12,"0-12 Months",IF(D839&lt;=24,"13-24 Months",IF(D839&lt;=48,"25-48 Months","49+ Months")))</f>
        <v>25-48 Months</v>
      </c>
      <c r="L839">
        <f>IF(Table1346[[#This Row],[Churn]]="Yes",1,0)</f>
        <v>0</v>
      </c>
    </row>
    <row r="840" spans="1:12" x14ac:dyDescent="0.35">
      <c r="A840" t="s">
        <v>862</v>
      </c>
      <c r="B840" t="s">
        <v>17</v>
      </c>
      <c r="C840">
        <v>34</v>
      </c>
      <c r="D840">
        <v>16</v>
      </c>
      <c r="E840" t="s">
        <v>12</v>
      </c>
      <c r="F840" t="s">
        <v>33</v>
      </c>
      <c r="G840" t="s">
        <v>14</v>
      </c>
      <c r="H840">
        <v>98.77</v>
      </c>
      <c r="I840">
        <v>1518.97</v>
      </c>
      <c r="J840" t="s">
        <v>15</v>
      </c>
      <c r="K840" t="str">
        <f>IF(D840&lt;=12,"0-12 Months",IF(D840&lt;=24,"13-24 Months",IF(D840&lt;=48,"25-48 Months","49+ Months")))</f>
        <v>13-24 Months</v>
      </c>
      <c r="L840">
        <f>IF(Table1346[[#This Row],[Churn]]="Yes",1,0)</f>
        <v>0</v>
      </c>
    </row>
    <row r="841" spans="1:12" x14ac:dyDescent="0.35">
      <c r="A841" t="s">
        <v>863</v>
      </c>
      <c r="B841" t="s">
        <v>11</v>
      </c>
      <c r="C841">
        <v>40</v>
      </c>
      <c r="D841">
        <v>32</v>
      </c>
      <c r="E841" t="s">
        <v>21</v>
      </c>
      <c r="F841" t="s">
        <v>22</v>
      </c>
      <c r="G841" t="s">
        <v>14</v>
      </c>
      <c r="H841">
        <v>85.48</v>
      </c>
      <c r="I841">
        <v>2726.13</v>
      </c>
      <c r="J841" t="s">
        <v>15</v>
      </c>
      <c r="K841" t="str">
        <f>IF(D841&lt;=12,"0-12 Months",IF(D841&lt;=24,"13-24 Months",IF(D841&lt;=48,"25-48 Months","49+ Months")))</f>
        <v>25-48 Months</v>
      </c>
      <c r="L841">
        <f>IF(Table1346[[#This Row],[Churn]]="Yes",1,0)</f>
        <v>0</v>
      </c>
    </row>
    <row r="842" spans="1:12" x14ac:dyDescent="0.35">
      <c r="A842" t="s">
        <v>864</v>
      </c>
      <c r="B842" t="s">
        <v>11</v>
      </c>
      <c r="C842">
        <v>54</v>
      </c>
      <c r="D842">
        <v>32</v>
      </c>
      <c r="E842" t="s">
        <v>18</v>
      </c>
      <c r="F842" t="s">
        <v>29</v>
      </c>
      <c r="G842" t="s">
        <v>23</v>
      </c>
      <c r="H842">
        <v>134.19</v>
      </c>
      <c r="I842">
        <v>3918.93</v>
      </c>
      <c r="J842" t="s">
        <v>15</v>
      </c>
      <c r="K842" t="str">
        <f>IF(D842&lt;=12,"0-12 Months",IF(D842&lt;=24,"13-24 Months",IF(D842&lt;=48,"25-48 Months","49+ Months")))</f>
        <v>25-48 Months</v>
      </c>
      <c r="L842">
        <f>IF(Table1346[[#This Row],[Churn]]="Yes",1,0)</f>
        <v>0</v>
      </c>
    </row>
    <row r="843" spans="1:12" x14ac:dyDescent="0.35">
      <c r="A843" t="s">
        <v>865</v>
      </c>
      <c r="B843" t="s">
        <v>17</v>
      </c>
      <c r="C843">
        <v>33</v>
      </c>
      <c r="D843">
        <v>11</v>
      </c>
      <c r="E843" t="s">
        <v>12</v>
      </c>
      <c r="F843" t="s">
        <v>29</v>
      </c>
      <c r="G843" t="s">
        <v>14</v>
      </c>
      <c r="H843">
        <v>143.83000000000001</v>
      </c>
      <c r="I843">
        <v>1617.3</v>
      </c>
      <c r="J843" t="s">
        <v>15</v>
      </c>
      <c r="K843" t="str">
        <f>IF(D843&lt;=12,"0-12 Months",IF(D843&lt;=24,"13-24 Months",IF(D843&lt;=48,"25-48 Months","49+ Months")))</f>
        <v>0-12 Months</v>
      </c>
      <c r="L843">
        <f>IF(Table1346[[#This Row],[Churn]]="Yes",1,0)</f>
        <v>0</v>
      </c>
    </row>
    <row r="844" spans="1:12" x14ac:dyDescent="0.35">
      <c r="A844" t="s">
        <v>866</v>
      </c>
      <c r="B844" t="s">
        <v>11</v>
      </c>
      <c r="C844">
        <v>23</v>
      </c>
      <c r="D844">
        <v>10</v>
      </c>
      <c r="E844" t="s">
        <v>18</v>
      </c>
      <c r="F844" t="s">
        <v>13</v>
      </c>
      <c r="G844" t="s">
        <v>19</v>
      </c>
      <c r="H844">
        <v>118.09</v>
      </c>
      <c r="I844">
        <v>1295.1500000000001</v>
      </c>
      <c r="J844" t="s">
        <v>15</v>
      </c>
      <c r="K844" t="str">
        <f>IF(D844&lt;=12,"0-12 Months",IF(D844&lt;=24,"13-24 Months",IF(D844&lt;=48,"25-48 Months","49+ Months")))</f>
        <v>0-12 Months</v>
      </c>
      <c r="L844">
        <f>IF(Table1346[[#This Row],[Churn]]="Yes",1,0)</f>
        <v>0</v>
      </c>
    </row>
    <row r="845" spans="1:12" x14ac:dyDescent="0.35">
      <c r="A845" t="s">
        <v>867</v>
      </c>
      <c r="B845" t="s">
        <v>11</v>
      </c>
      <c r="C845">
        <v>25</v>
      </c>
      <c r="D845">
        <v>15</v>
      </c>
      <c r="E845" t="s">
        <v>12</v>
      </c>
      <c r="F845" t="s">
        <v>29</v>
      </c>
      <c r="G845" t="s">
        <v>19</v>
      </c>
      <c r="H845">
        <v>77.91</v>
      </c>
      <c r="I845">
        <v>1136.1199999999999</v>
      </c>
      <c r="J845" t="s">
        <v>27</v>
      </c>
      <c r="K845" t="str">
        <f>IF(D845&lt;=12,"0-12 Months",IF(D845&lt;=24,"13-24 Months",IF(D845&lt;=48,"25-48 Months","49+ Months")))</f>
        <v>13-24 Months</v>
      </c>
      <c r="L845">
        <f>IF(Table1346[[#This Row],[Churn]]="Yes",1,0)</f>
        <v>1</v>
      </c>
    </row>
    <row r="846" spans="1:12" x14ac:dyDescent="0.35">
      <c r="A846" t="s">
        <v>868</v>
      </c>
      <c r="B846" t="s">
        <v>11</v>
      </c>
      <c r="C846">
        <v>42</v>
      </c>
      <c r="D846">
        <v>17</v>
      </c>
      <c r="E846" t="s">
        <v>12</v>
      </c>
      <c r="F846" t="s">
        <v>33</v>
      </c>
      <c r="G846" t="s">
        <v>14</v>
      </c>
      <c r="H846">
        <v>96.99</v>
      </c>
      <c r="I846">
        <v>1732.21</v>
      </c>
      <c r="J846" t="s">
        <v>27</v>
      </c>
      <c r="K846" t="str">
        <f>IF(D846&lt;=12,"0-12 Months",IF(D846&lt;=24,"13-24 Months",IF(D846&lt;=48,"25-48 Months","49+ Months")))</f>
        <v>13-24 Months</v>
      </c>
      <c r="L846">
        <f>IF(Table1346[[#This Row],[Churn]]="Yes",1,0)</f>
        <v>1</v>
      </c>
    </row>
    <row r="847" spans="1:12" x14ac:dyDescent="0.35">
      <c r="A847" t="s">
        <v>869</v>
      </c>
      <c r="B847" t="s">
        <v>11</v>
      </c>
      <c r="C847">
        <v>35</v>
      </c>
      <c r="D847">
        <v>40</v>
      </c>
      <c r="E847" t="s">
        <v>18</v>
      </c>
      <c r="F847" t="s">
        <v>13</v>
      </c>
      <c r="G847" t="s">
        <v>14</v>
      </c>
      <c r="H847">
        <v>111.12</v>
      </c>
      <c r="I847">
        <v>4444.83</v>
      </c>
      <c r="J847" t="s">
        <v>15</v>
      </c>
      <c r="K847" t="str">
        <f>IF(D847&lt;=12,"0-12 Months",IF(D847&lt;=24,"13-24 Months",IF(D847&lt;=48,"25-48 Months","49+ Months")))</f>
        <v>25-48 Months</v>
      </c>
      <c r="L847">
        <f>IF(Table1346[[#This Row],[Churn]]="Yes",1,0)</f>
        <v>0</v>
      </c>
    </row>
    <row r="848" spans="1:12" x14ac:dyDescent="0.35">
      <c r="A848" t="s">
        <v>870</v>
      </c>
      <c r="B848" t="s">
        <v>17</v>
      </c>
      <c r="C848">
        <v>42</v>
      </c>
      <c r="D848">
        <v>18</v>
      </c>
      <c r="E848" t="s">
        <v>12</v>
      </c>
      <c r="F848" t="s">
        <v>33</v>
      </c>
      <c r="G848" t="s">
        <v>14</v>
      </c>
      <c r="H848">
        <v>45.26</v>
      </c>
      <c r="I848">
        <v>754.04</v>
      </c>
      <c r="J848" t="s">
        <v>27</v>
      </c>
      <c r="K848" t="str">
        <f>IF(D848&lt;=12,"0-12 Months",IF(D848&lt;=24,"13-24 Months",IF(D848&lt;=48,"25-48 Months","49+ Months")))</f>
        <v>13-24 Months</v>
      </c>
      <c r="L848">
        <f>IF(Table1346[[#This Row],[Churn]]="Yes",1,0)</f>
        <v>1</v>
      </c>
    </row>
    <row r="849" spans="1:12" x14ac:dyDescent="0.35">
      <c r="A849" t="s">
        <v>871</v>
      </c>
      <c r="B849" t="s">
        <v>17</v>
      </c>
      <c r="C849">
        <v>29</v>
      </c>
      <c r="D849">
        <v>55</v>
      </c>
      <c r="E849" t="s">
        <v>12</v>
      </c>
      <c r="F849" t="s">
        <v>13</v>
      </c>
      <c r="G849" t="s">
        <v>19</v>
      </c>
      <c r="H849">
        <v>83.07</v>
      </c>
      <c r="I849">
        <v>4368.3900000000003</v>
      </c>
      <c r="J849" t="s">
        <v>15</v>
      </c>
      <c r="K849" t="str">
        <f>IF(D849&lt;=12,"0-12 Months",IF(D849&lt;=24,"13-24 Months",IF(D849&lt;=48,"25-48 Months","49+ Months")))</f>
        <v>49+ Months</v>
      </c>
      <c r="L849">
        <f>IF(Table1346[[#This Row],[Churn]]="Yes",1,0)</f>
        <v>0</v>
      </c>
    </row>
    <row r="850" spans="1:12" x14ac:dyDescent="0.35">
      <c r="A850" t="s">
        <v>872</v>
      </c>
      <c r="B850" t="s">
        <v>11</v>
      </c>
      <c r="C850">
        <v>32</v>
      </c>
      <c r="D850">
        <v>25</v>
      </c>
      <c r="E850" t="s">
        <v>12</v>
      </c>
      <c r="F850" t="s">
        <v>29</v>
      </c>
      <c r="G850" t="s">
        <v>14</v>
      </c>
      <c r="H850">
        <v>127.88</v>
      </c>
      <c r="I850">
        <v>3069.04</v>
      </c>
      <c r="J850" t="s">
        <v>27</v>
      </c>
      <c r="K850" t="str">
        <f>IF(D850&lt;=12,"0-12 Months",IF(D850&lt;=24,"13-24 Months",IF(D850&lt;=48,"25-48 Months","49+ Months")))</f>
        <v>25-48 Months</v>
      </c>
      <c r="L850">
        <f>IF(Table1346[[#This Row],[Churn]]="Yes",1,0)</f>
        <v>1</v>
      </c>
    </row>
    <row r="851" spans="1:12" x14ac:dyDescent="0.35">
      <c r="A851" t="s">
        <v>873</v>
      </c>
      <c r="B851" t="s">
        <v>17</v>
      </c>
      <c r="C851">
        <v>43</v>
      </c>
      <c r="D851">
        <v>59</v>
      </c>
      <c r="E851" t="s">
        <v>18</v>
      </c>
      <c r="F851" t="s">
        <v>29</v>
      </c>
      <c r="G851" t="s">
        <v>14</v>
      </c>
      <c r="H851">
        <v>105.11</v>
      </c>
      <c r="I851">
        <v>5624.01</v>
      </c>
      <c r="J851" t="s">
        <v>15</v>
      </c>
      <c r="K851" t="str">
        <f>IF(D851&lt;=12,"0-12 Months",IF(D851&lt;=24,"13-24 Months",IF(D851&lt;=48,"25-48 Months","49+ Months")))</f>
        <v>49+ Months</v>
      </c>
      <c r="L851">
        <f>IF(Table1346[[#This Row],[Churn]]="Yes",1,0)</f>
        <v>0</v>
      </c>
    </row>
    <row r="852" spans="1:12" x14ac:dyDescent="0.35">
      <c r="A852" t="s">
        <v>874</v>
      </c>
      <c r="B852" t="s">
        <v>11</v>
      </c>
      <c r="C852">
        <v>58</v>
      </c>
      <c r="D852">
        <v>22</v>
      </c>
      <c r="E852" t="s">
        <v>12</v>
      </c>
      <c r="F852" t="s">
        <v>13</v>
      </c>
      <c r="G852" t="s">
        <v>23</v>
      </c>
      <c r="H852">
        <v>73.459999999999994</v>
      </c>
      <c r="I852">
        <v>1659.73</v>
      </c>
      <c r="J852" t="s">
        <v>15</v>
      </c>
      <c r="K852" t="str">
        <f>IF(D852&lt;=12,"0-12 Months",IF(D852&lt;=24,"13-24 Months",IF(D852&lt;=48,"25-48 Months","49+ Months")))</f>
        <v>13-24 Months</v>
      </c>
      <c r="L852">
        <f>IF(Table1346[[#This Row],[Churn]]="Yes",1,0)</f>
        <v>0</v>
      </c>
    </row>
    <row r="853" spans="1:12" x14ac:dyDescent="0.35">
      <c r="A853" t="s">
        <v>875</v>
      </c>
      <c r="B853" t="s">
        <v>17</v>
      </c>
      <c r="C853">
        <v>62</v>
      </c>
      <c r="D853">
        <v>30</v>
      </c>
      <c r="E853" t="s">
        <v>18</v>
      </c>
      <c r="F853" t="s">
        <v>22</v>
      </c>
      <c r="G853" t="s">
        <v>23</v>
      </c>
      <c r="H853">
        <v>106.24</v>
      </c>
      <c r="I853">
        <v>3416</v>
      </c>
      <c r="J853" t="s">
        <v>15</v>
      </c>
      <c r="K853" t="str">
        <f>IF(D853&lt;=12,"0-12 Months",IF(D853&lt;=24,"13-24 Months",IF(D853&lt;=48,"25-48 Months","49+ Months")))</f>
        <v>25-48 Months</v>
      </c>
      <c r="L853">
        <f>IF(Table1346[[#This Row],[Churn]]="Yes",1,0)</f>
        <v>0</v>
      </c>
    </row>
    <row r="854" spans="1:12" x14ac:dyDescent="0.35">
      <c r="A854" t="s">
        <v>876</v>
      </c>
      <c r="B854" t="s">
        <v>11</v>
      </c>
      <c r="C854">
        <v>43</v>
      </c>
      <c r="D854">
        <v>44</v>
      </c>
      <c r="E854" t="s">
        <v>12</v>
      </c>
      <c r="F854" t="s">
        <v>22</v>
      </c>
      <c r="G854" t="s">
        <v>14</v>
      </c>
      <c r="H854">
        <v>35.369999999999997</v>
      </c>
      <c r="I854">
        <v>1507.96</v>
      </c>
      <c r="J854" t="s">
        <v>15</v>
      </c>
      <c r="K854" t="str">
        <f>IF(D854&lt;=12,"0-12 Months",IF(D854&lt;=24,"13-24 Months",IF(D854&lt;=48,"25-48 Months","49+ Months")))</f>
        <v>25-48 Months</v>
      </c>
      <c r="L854">
        <f>IF(Table1346[[#This Row],[Churn]]="Yes",1,0)</f>
        <v>0</v>
      </c>
    </row>
    <row r="855" spans="1:12" x14ac:dyDescent="0.35">
      <c r="A855" t="s">
        <v>877</v>
      </c>
      <c r="B855" t="s">
        <v>11</v>
      </c>
      <c r="C855">
        <v>64</v>
      </c>
      <c r="D855">
        <v>32</v>
      </c>
      <c r="E855" t="s">
        <v>18</v>
      </c>
      <c r="F855" t="s">
        <v>29</v>
      </c>
      <c r="G855" t="s">
        <v>23</v>
      </c>
      <c r="H855">
        <v>72.19</v>
      </c>
      <c r="I855">
        <v>2259.39</v>
      </c>
      <c r="J855" t="s">
        <v>15</v>
      </c>
      <c r="K855" t="str">
        <f>IF(D855&lt;=12,"0-12 Months",IF(D855&lt;=24,"13-24 Months",IF(D855&lt;=48,"25-48 Months","49+ Months")))</f>
        <v>25-48 Months</v>
      </c>
      <c r="L855">
        <f>IF(Table1346[[#This Row],[Churn]]="Yes",1,0)</f>
        <v>0</v>
      </c>
    </row>
    <row r="856" spans="1:12" x14ac:dyDescent="0.35">
      <c r="A856" t="s">
        <v>878</v>
      </c>
      <c r="B856" t="s">
        <v>11</v>
      </c>
      <c r="C856">
        <v>49</v>
      </c>
      <c r="D856">
        <v>51</v>
      </c>
      <c r="E856" t="s">
        <v>18</v>
      </c>
      <c r="F856" t="s">
        <v>29</v>
      </c>
      <c r="G856" t="s">
        <v>14</v>
      </c>
      <c r="H856">
        <v>123.11</v>
      </c>
      <c r="I856">
        <v>6769.62</v>
      </c>
      <c r="J856" t="s">
        <v>15</v>
      </c>
      <c r="K856" t="str">
        <f>IF(D856&lt;=12,"0-12 Months",IF(D856&lt;=24,"13-24 Months",IF(D856&lt;=48,"25-48 Months","49+ Months")))</f>
        <v>49+ Months</v>
      </c>
      <c r="L856">
        <f>IF(Table1346[[#This Row],[Churn]]="Yes",1,0)</f>
        <v>0</v>
      </c>
    </row>
    <row r="857" spans="1:12" x14ac:dyDescent="0.35">
      <c r="A857" t="s">
        <v>879</v>
      </c>
      <c r="B857" t="s">
        <v>11</v>
      </c>
      <c r="C857">
        <v>27</v>
      </c>
      <c r="D857">
        <v>46</v>
      </c>
      <c r="E857" t="s">
        <v>12</v>
      </c>
      <c r="F857" t="s">
        <v>29</v>
      </c>
      <c r="G857" t="s">
        <v>19</v>
      </c>
      <c r="H857">
        <v>48.67</v>
      </c>
      <c r="I857">
        <v>2379.2399999999998</v>
      </c>
      <c r="J857" t="s">
        <v>27</v>
      </c>
      <c r="K857" t="str">
        <f>IF(D857&lt;=12,"0-12 Months",IF(D857&lt;=24,"13-24 Months",IF(D857&lt;=48,"25-48 Months","49+ Months")))</f>
        <v>25-48 Months</v>
      </c>
      <c r="L857">
        <f>IF(Table1346[[#This Row],[Churn]]="Yes",1,0)</f>
        <v>1</v>
      </c>
    </row>
    <row r="858" spans="1:12" x14ac:dyDescent="0.35">
      <c r="A858" t="s">
        <v>880</v>
      </c>
      <c r="B858" t="s">
        <v>11</v>
      </c>
      <c r="C858">
        <v>33</v>
      </c>
      <c r="D858">
        <v>21</v>
      </c>
      <c r="E858" t="s">
        <v>12</v>
      </c>
      <c r="F858" t="s">
        <v>22</v>
      </c>
      <c r="G858" t="s">
        <v>14</v>
      </c>
      <c r="H858">
        <v>44.17</v>
      </c>
      <c r="I858">
        <v>967.45</v>
      </c>
      <c r="J858" t="s">
        <v>15</v>
      </c>
      <c r="K858" t="str">
        <f>IF(D858&lt;=12,"0-12 Months",IF(D858&lt;=24,"13-24 Months",IF(D858&lt;=48,"25-48 Months","49+ Months")))</f>
        <v>13-24 Months</v>
      </c>
      <c r="L858">
        <f>IF(Table1346[[#This Row],[Churn]]="Yes",1,0)</f>
        <v>0</v>
      </c>
    </row>
    <row r="859" spans="1:12" x14ac:dyDescent="0.35">
      <c r="A859" t="s">
        <v>881</v>
      </c>
      <c r="B859" t="s">
        <v>11</v>
      </c>
      <c r="C859">
        <v>24</v>
      </c>
      <c r="D859">
        <v>32</v>
      </c>
      <c r="E859" t="s">
        <v>12</v>
      </c>
      <c r="F859" t="s">
        <v>29</v>
      </c>
      <c r="G859" t="s">
        <v>19</v>
      </c>
      <c r="H859">
        <v>143.61000000000001</v>
      </c>
      <c r="I859">
        <v>4364.6400000000003</v>
      </c>
      <c r="J859" t="s">
        <v>27</v>
      </c>
      <c r="K859" t="str">
        <f>IF(D859&lt;=12,"0-12 Months",IF(D859&lt;=24,"13-24 Months",IF(D859&lt;=48,"25-48 Months","49+ Months")))</f>
        <v>25-48 Months</v>
      </c>
      <c r="L859">
        <f>IF(Table1346[[#This Row],[Churn]]="Yes",1,0)</f>
        <v>1</v>
      </c>
    </row>
    <row r="860" spans="1:12" x14ac:dyDescent="0.35">
      <c r="A860" t="s">
        <v>882</v>
      </c>
      <c r="B860" t="s">
        <v>17</v>
      </c>
      <c r="C860">
        <v>34</v>
      </c>
      <c r="D860">
        <v>39</v>
      </c>
      <c r="E860" t="s">
        <v>21</v>
      </c>
      <c r="F860" t="s">
        <v>13</v>
      </c>
      <c r="G860" t="s">
        <v>14</v>
      </c>
      <c r="H860">
        <v>47.29</v>
      </c>
      <c r="I860">
        <v>1995.62</v>
      </c>
      <c r="J860" t="s">
        <v>15</v>
      </c>
      <c r="K860" t="str">
        <f>IF(D860&lt;=12,"0-12 Months",IF(D860&lt;=24,"13-24 Months",IF(D860&lt;=48,"25-48 Months","49+ Months")))</f>
        <v>25-48 Months</v>
      </c>
      <c r="L860">
        <f>IF(Table1346[[#This Row],[Churn]]="Yes",1,0)</f>
        <v>0</v>
      </c>
    </row>
    <row r="861" spans="1:12" x14ac:dyDescent="0.35">
      <c r="A861" t="s">
        <v>883</v>
      </c>
      <c r="B861" t="s">
        <v>11</v>
      </c>
      <c r="C861">
        <v>40</v>
      </c>
      <c r="D861">
        <v>12</v>
      </c>
      <c r="E861" t="s">
        <v>12</v>
      </c>
      <c r="F861" t="s">
        <v>22</v>
      </c>
      <c r="G861" t="s">
        <v>14</v>
      </c>
      <c r="H861">
        <v>53.92</v>
      </c>
      <c r="I861">
        <v>602.32000000000005</v>
      </c>
      <c r="J861" t="s">
        <v>15</v>
      </c>
      <c r="K861" t="str">
        <f>IF(D861&lt;=12,"0-12 Months",IF(D861&lt;=24,"13-24 Months",IF(D861&lt;=48,"25-48 Months","49+ Months")))</f>
        <v>0-12 Months</v>
      </c>
      <c r="L861">
        <f>IF(Table1346[[#This Row],[Churn]]="Yes",1,0)</f>
        <v>0</v>
      </c>
    </row>
    <row r="862" spans="1:12" x14ac:dyDescent="0.35">
      <c r="A862" t="s">
        <v>884</v>
      </c>
      <c r="B862" t="s">
        <v>17</v>
      </c>
      <c r="C862">
        <v>43</v>
      </c>
      <c r="D862">
        <v>47</v>
      </c>
      <c r="E862" t="s">
        <v>12</v>
      </c>
      <c r="F862" t="s">
        <v>33</v>
      </c>
      <c r="G862" t="s">
        <v>14</v>
      </c>
      <c r="H862">
        <v>146.05000000000001</v>
      </c>
      <c r="I862">
        <v>7038.39</v>
      </c>
      <c r="J862" t="s">
        <v>15</v>
      </c>
      <c r="K862" t="str">
        <f>IF(D862&lt;=12,"0-12 Months",IF(D862&lt;=24,"13-24 Months",IF(D862&lt;=48,"25-48 Months","49+ Months")))</f>
        <v>25-48 Months</v>
      </c>
      <c r="L862">
        <f>IF(Table1346[[#This Row],[Churn]]="Yes",1,0)</f>
        <v>0</v>
      </c>
    </row>
    <row r="863" spans="1:12" x14ac:dyDescent="0.35">
      <c r="A863" t="s">
        <v>885</v>
      </c>
      <c r="B863" t="s">
        <v>11</v>
      </c>
      <c r="C863">
        <v>38</v>
      </c>
      <c r="D863">
        <v>18</v>
      </c>
      <c r="E863" t="s">
        <v>12</v>
      </c>
      <c r="F863" t="s">
        <v>29</v>
      </c>
      <c r="G863" t="s">
        <v>14</v>
      </c>
      <c r="H863">
        <v>115.51</v>
      </c>
      <c r="I863">
        <v>1883.24</v>
      </c>
      <c r="J863" t="s">
        <v>15</v>
      </c>
      <c r="K863" t="str">
        <f>IF(D863&lt;=12,"0-12 Months",IF(D863&lt;=24,"13-24 Months",IF(D863&lt;=48,"25-48 Months","49+ Months")))</f>
        <v>13-24 Months</v>
      </c>
      <c r="L863">
        <f>IF(Table1346[[#This Row],[Churn]]="Yes",1,0)</f>
        <v>0</v>
      </c>
    </row>
    <row r="864" spans="1:12" x14ac:dyDescent="0.35">
      <c r="A864" t="s">
        <v>886</v>
      </c>
      <c r="B864" t="s">
        <v>17</v>
      </c>
      <c r="C864">
        <v>39</v>
      </c>
      <c r="D864">
        <v>21</v>
      </c>
      <c r="E864" t="s">
        <v>12</v>
      </c>
      <c r="F864" t="s">
        <v>29</v>
      </c>
      <c r="G864" t="s">
        <v>14</v>
      </c>
      <c r="H864">
        <v>110.95</v>
      </c>
      <c r="I864">
        <v>2396.92</v>
      </c>
      <c r="J864" t="s">
        <v>15</v>
      </c>
      <c r="K864" t="str">
        <f>IF(D864&lt;=12,"0-12 Months",IF(D864&lt;=24,"13-24 Months",IF(D864&lt;=48,"25-48 Months","49+ Months")))</f>
        <v>13-24 Months</v>
      </c>
      <c r="L864">
        <f>IF(Table1346[[#This Row],[Churn]]="Yes",1,0)</f>
        <v>0</v>
      </c>
    </row>
    <row r="865" spans="1:12" x14ac:dyDescent="0.35">
      <c r="A865" t="s">
        <v>887</v>
      </c>
      <c r="B865" t="s">
        <v>17</v>
      </c>
      <c r="C865">
        <v>24</v>
      </c>
      <c r="D865">
        <v>13</v>
      </c>
      <c r="E865" t="s">
        <v>12</v>
      </c>
      <c r="F865" t="s">
        <v>22</v>
      </c>
      <c r="G865" t="s">
        <v>19</v>
      </c>
      <c r="H865">
        <v>130.88</v>
      </c>
      <c r="I865">
        <v>1625.6</v>
      </c>
      <c r="J865" t="s">
        <v>15</v>
      </c>
      <c r="K865" t="str">
        <f>IF(D865&lt;=12,"0-12 Months",IF(D865&lt;=24,"13-24 Months",IF(D865&lt;=48,"25-48 Months","49+ Months")))</f>
        <v>13-24 Months</v>
      </c>
      <c r="L865">
        <f>IF(Table1346[[#This Row],[Churn]]="Yes",1,0)</f>
        <v>0</v>
      </c>
    </row>
    <row r="866" spans="1:12" x14ac:dyDescent="0.35">
      <c r="A866" t="s">
        <v>888</v>
      </c>
      <c r="B866" t="s">
        <v>17</v>
      </c>
      <c r="C866">
        <v>31</v>
      </c>
      <c r="D866">
        <v>21</v>
      </c>
      <c r="E866" t="s">
        <v>21</v>
      </c>
      <c r="F866" t="s">
        <v>22</v>
      </c>
      <c r="G866" t="s">
        <v>14</v>
      </c>
      <c r="H866">
        <v>35.06</v>
      </c>
      <c r="I866">
        <v>728.85</v>
      </c>
      <c r="J866" t="s">
        <v>15</v>
      </c>
      <c r="K866" t="str">
        <f>IF(D866&lt;=12,"0-12 Months",IF(D866&lt;=24,"13-24 Months",IF(D866&lt;=48,"25-48 Months","49+ Months")))</f>
        <v>13-24 Months</v>
      </c>
      <c r="L866">
        <f>IF(Table1346[[#This Row],[Churn]]="Yes",1,0)</f>
        <v>0</v>
      </c>
    </row>
    <row r="867" spans="1:12" x14ac:dyDescent="0.35">
      <c r="A867" t="s">
        <v>889</v>
      </c>
      <c r="B867" t="s">
        <v>11</v>
      </c>
      <c r="C867">
        <v>32</v>
      </c>
      <c r="D867">
        <v>8</v>
      </c>
      <c r="E867" t="s">
        <v>18</v>
      </c>
      <c r="F867" t="s">
        <v>29</v>
      </c>
      <c r="G867" t="s">
        <v>14</v>
      </c>
      <c r="H867">
        <v>111.77</v>
      </c>
      <c r="I867">
        <v>866.49</v>
      </c>
      <c r="J867" t="s">
        <v>27</v>
      </c>
      <c r="K867" t="str">
        <f>IF(D867&lt;=12,"0-12 Months",IF(D867&lt;=24,"13-24 Months",IF(D867&lt;=48,"25-48 Months","49+ Months")))</f>
        <v>0-12 Months</v>
      </c>
      <c r="L867">
        <f>IF(Table1346[[#This Row],[Churn]]="Yes",1,0)</f>
        <v>1</v>
      </c>
    </row>
    <row r="868" spans="1:12" x14ac:dyDescent="0.35">
      <c r="A868" t="s">
        <v>890</v>
      </c>
      <c r="B868" t="s">
        <v>11</v>
      </c>
      <c r="C868">
        <v>70</v>
      </c>
      <c r="D868">
        <v>46</v>
      </c>
      <c r="E868" t="s">
        <v>12</v>
      </c>
      <c r="F868" t="s">
        <v>33</v>
      </c>
      <c r="G868" t="s">
        <v>23</v>
      </c>
      <c r="H868">
        <v>85.48</v>
      </c>
      <c r="I868">
        <v>3674.73</v>
      </c>
      <c r="J868" t="s">
        <v>15</v>
      </c>
      <c r="K868" t="str">
        <f>IF(D868&lt;=12,"0-12 Months",IF(D868&lt;=24,"13-24 Months",IF(D868&lt;=48,"25-48 Months","49+ Months")))</f>
        <v>25-48 Months</v>
      </c>
      <c r="L868">
        <f>IF(Table1346[[#This Row],[Churn]]="Yes",1,0)</f>
        <v>0</v>
      </c>
    </row>
    <row r="869" spans="1:12" x14ac:dyDescent="0.35">
      <c r="A869" t="s">
        <v>891</v>
      </c>
      <c r="B869" t="s">
        <v>17</v>
      </c>
      <c r="C869">
        <v>24</v>
      </c>
      <c r="D869">
        <v>7</v>
      </c>
      <c r="E869" t="s">
        <v>21</v>
      </c>
      <c r="F869" t="s">
        <v>33</v>
      </c>
      <c r="G869" t="s">
        <v>19</v>
      </c>
      <c r="H869">
        <v>127.79</v>
      </c>
      <c r="I869">
        <v>916.35</v>
      </c>
      <c r="J869" t="s">
        <v>15</v>
      </c>
      <c r="K869" t="str">
        <f>IF(D869&lt;=12,"0-12 Months",IF(D869&lt;=24,"13-24 Months",IF(D869&lt;=48,"25-48 Months","49+ Months")))</f>
        <v>0-12 Months</v>
      </c>
      <c r="L869">
        <f>IF(Table1346[[#This Row],[Churn]]="Yes",1,0)</f>
        <v>0</v>
      </c>
    </row>
    <row r="870" spans="1:12" x14ac:dyDescent="0.35">
      <c r="A870" t="s">
        <v>892</v>
      </c>
      <c r="B870" t="s">
        <v>11</v>
      </c>
      <c r="C870">
        <v>26</v>
      </c>
      <c r="D870">
        <v>23</v>
      </c>
      <c r="E870" t="s">
        <v>12</v>
      </c>
      <c r="F870" t="s">
        <v>29</v>
      </c>
      <c r="G870" t="s">
        <v>19</v>
      </c>
      <c r="H870">
        <v>86.06</v>
      </c>
      <c r="I870">
        <v>2130.59</v>
      </c>
      <c r="J870" t="s">
        <v>15</v>
      </c>
      <c r="K870" t="str">
        <f>IF(D870&lt;=12,"0-12 Months",IF(D870&lt;=24,"13-24 Months",IF(D870&lt;=48,"25-48 Months","49+ Months")))</f>
        <v>13-24 Months</v>
      </c>
      <c r="L870">
        <f>IF(Table1346[[#This Row],[Churn]]="Yes",1,0)</f>
        <v>0</v>
      </c>
    </row>
    <row r="871" spans="1:12" x14ac:dyDescent="0.35">
      <c r="A871" t="s">
        <v>893</v>
      </c>
      <c r="B871" t="s">
        <v>17</v>
      </c>
      <c r="C871">
        <v>68</v>
      </c>
      <c r="D871">
        <v>22</v>
      </c>
      <c r="E871" t="s">
        <v>18</v>
      </c>
      <c r="F871" t="s">
        <v>29</v>
      </c>
      <c r="G871" t="s">
        <v>23</v>
      </c>
      <c r="H871">
        <v>100.63</v>
      </c>
      <c r="I871">
        <v>2417.13</v>
      </c>
      <c r="J871" t="s">
        <v>15</v>
      </c>
      <c r="K871" t="str">
        <f>IF(D871&lt;=12,"0-12 Months",IF(D871&lt;=24,"13-24 Months",IF(D871&lt;=48,"25-48 Months","49+ Months")))</f>
        <v>13-24 Months</v>
      </c>
      <c r="L871">
        <f>IF(Table1346[[#This Row],[Churn]]="Yes",1,0)</f>
        <v>0</v>
      </c>
    </row>
    <row r="872" spans="1:12" x14ac:dyDescent="0.35">
      <c r="A872" t="s">
        <v>894</v>
      </c>
      <c r="B872" t="s">
        <v>11</v>
      </c>
      <c r="C872">
        <v>65</v>
      </c>
      <c r="D872">
        <v>22</v>
      </c>
      <c r="E872" t="s">
        <v>18</v>
      </c>
      <c r="F872" t="s">
        <v>13</v>
      </c>
      <c r="G872" t="s">
        <v>23</v>
      </c>
      <c r="H872">
        <v>82.11</v>
      </c>
      <c r="I872">
        <v>1695.27</v>
      </c>
      <c r="J872" t="s">
        <v>15</v>
      </c>
      <c r="K872" t="str">
        <f>IF(D872&lt;=12,"0-12 Months",IF(D872&lt;=24,"13-24 Months",IF(D872&lt;=48,"25-48 Months","49+ Months")))</f>
        <v>13-24 Months</v>
      </c>
      <c r="L872">
        <f>IF(Table1346[[#This Row],[Churn]]="Yes",1,0)</f>
        <v>0</v>
      </c>
    </row>
    <row r="873" spans="1:12" x14ac:dyDescent="0.35">
      <c r="A873" t="s">
        <v>895</v>
      </c>
      <c r="B873" t="s">
        <v>17</v>
      </c>
      <c r="C873">
        <v>25</v>
      </c>
      <c r="D873">
        <v>29</v>
      </c>
      <c r="E873" t="s">
        <v>18</v>
      </c>
      <c r="F873" t="s">
        <v>22</v>
      </c>
      <c r="G873" t="s">
        <v>19</v>
      </c>
      <c r="H873">
        <v>82.16</v>
      </c>
      <c r="I873">
        <v>2486.2199999999998</v>
      </c>
      <c r="J873" t="s">
        <v>15</v>
      </c>
      <c r="K873" t="str">
        <f>IF(D873&lt;=12,"0-12 Months",IF(D873&lt;=24,"13-24 Months",IF(D873&lt;=48,"25-48 Months","49+ Months")))</f>
        <v>25-48 Months</v>
      </c>
      <c r="L873">
        <f>IF(Table1346[[#This Row],[Churn]]="Yes",1,0)</f>
        <v>0</v>
      </c>
    </row>
    <row r="874" spans="1:12" x14ac:dyDescent="0.35">
      <c r="A874" t="s">
        <v>896</v>
      </c>
      <c r="B874" t="s">
        <v>17</v>
      </c>
      <c r="C874">
        <v>67</v>
      </c>
      <c r="D874">
        <v>13</v>
      </c>
      <c r="E874" t="s">
        <v>18</v>
      </c>
      <c r="F874" t="s">
        <v>29</v>
      </c>
      <c r="G874" t="s">
        <v>23</v>
      </c>
      <c r="H874">
        <v>119.84</v>
      </c>
      <c r="I874">
        <v>1609.13</v>
      </c>
      <c r="J874" t="s">
        <v>15</v>
      </c>
      <c r="K874" t="str">
        <f>IF(D874&lt;=12,"0-12 Months",IF(D874&lt;=24,"13-24 Months",IF(D874&lt;=48,"25-48 Months","49+ Months")))</f>
        <v>13-24 Months</v>
      </c>
      <c r="L874">
        <f>IF(Table1346[[#This Row],[Churn]]="Yes",1,0)</f>
        <v>0</v>
      </c>
    </row>
    <row r="875" spans="1:12" x14ac:dyDescent="0.35">
      <c r="A875" t="s">
        <v>897</v>
      </c>
      <c r="B875" t="s">
        <v>11</v>
      </c>
      <c r="C875">
        <v>40</v>
      </c>
      <c r="D875">
        <v>2</v>
      </c>
      <c r="E875" t="s">
        <v>12</v>
      </c>
      <c r="F875" t="s">
        <v>22</v>
      </c>
      <c r="G875" t="s">
        <v>14</v>
      </c>
      <c r="H875">
        <v>101.71</v>
      </c>
      <c r="I875">
        <v>197.05</v>
      </c>
      <c r="J875" t="s">
        <v>27</v>
      </c>
      <c r="K875" t="str">
        <f>IF(D875&lt;=12,"0-12 Months",IF(D875&lt;=24,"13-24 Months",IF(D875&lt;=48,"25-48 Months","49+ Months")))</f>
        <v>0-12 Months</v>
      </c>
      <c r="L875">
        <f>IF(Table1346[[#This Row],[Churn]]="Yes",1,0)</f>
        <v>1</v>
      </c>
    </row>
    <row r="876" spans="1:12" x14ac:dyDescent="0.35">
      <c r="A876" t="s">
        <v>898</v>
      </c>
      <c r="B876" t="s">
        <v>17</v>
      </c>
      <c r="C876">
        <v>46</v>
      </c>
      <c r="D876">
        <v>29</v>
      </c>
      <c r="E876" t="s">
        <v>18</v>
      </c>
      <c r="F876" t="s">
        <v>22</v>
      </c>
      <c r="G876" t="s">
        <v>14</v>
      </c>
      <c r="H876">
        <v>102.32</v>
      </c>
      <c r="I876">
        <v>2681.89</v>
      </c>
      <c r="J876" t="s">
        <v>15</v>
      </c>
      <c r="K876" t="str">
        <f>IF(D876&lt;=12,"0-12 Months",IF(D876&lt;=24,"13-24 Months",IF(D876&lt;=48,"25-48 Months","49+ Months")))</f>
        <v>25-48 Months</v>
      </c>
      <c r="L876">
        <f>IF(Table1346[[#This Row],[Churn]]="Yes",1,0)</f>
        <v>0</v>
      </c>
    </row>
    <row r="877" spans="1:12" x14ac:dyDescent="0.35">
      <c r="A877" t="s">
        <v>899</v>
      </c>
      <c r="B877" t="s">
        <v>11</v>
      </c>
      <c r="C877">
        <v>35</v>
      </c>
      <c r="D877">
        <v>52</v>
      </c>
      <c r="E877" t="s">
        <v>21</v>
      </c>
      <c r="F877" t="s">
        <v>29</v>
      </c>
      <c r="G877" t="s">
        <v>14</v>
      </c>
      <c r="H877">
        <v>78.540000000000006</v>
      </c>
      <c r="I877">
        <v>4239.1000000000004</v>
      </c>
      <c r="J877" t="s">
        <v>15</v>
      </c>
      <c r="K877" t="str">
        <f>IF(D877&lt;=12,"0-12 Months",IF(D877&lt;=24,"13-24 Months",IF(D877&lt;=48,"25-48 Months","49+ Months")))</f>
        <v>49+ Months</v>
      </c>
      <c r="L877">
        <f>IF(Table1346[[#This Row],[Churn]]="Yes",1,0)</f>
        <v>0</v>
      </c>
    </row>
    <row r="878" spans="1:12" x14ac:dyDescent="0.35">
      <c r="A878" t="s">
        <v>900</v>
      </c>
      <c r="B878" t="s">
        <v>17</v>
      </c>
      <c r="C878">
        <v>48</v>
      </c>
      <c r="D878">
        <v>27</v>
      </c>
      <c r="E878" t="s">
        <v>12</v>
      </c>
      <c r="F878" t="s">
        <v>22</v>
      </c>
      <c r="G878" t="s">
        <v>14</v>
      </c>
      <c r="H878">
        <v>89.04</v>
      </c>
      <c r="I878">
        <v>2618.2800000000002</v>
      </c>
      <c r="J878" t="s">
        <v>15</v>
      </c>
      <c r="K878" t="str">
        <f>IF(D878&lt;=12,"0-12 Months",IF(D878&lt;=24,"13-24 Months",IF(D878&lt;=48,"25-48 Months","49+ Months")))</f>
        <v>25-48 Months</v>
      </c>
      <c r="L878">
        <f>IF(Table1346[[#This Row],[Churn]]="Yes",1,0)</f>
        <v>0</v>
      </c>
    </row>
    <row r="879" spans="1:12" x14ac:dyDescent="0.35">
      <c r="A879" t="s">
        <v>901</v>
      </c>
      <c r="B879" t="s">
        <v>17</v>
      </c>
      <c r="C879">
        <v>47</v>
      </c>
      <c r="D879">
        <v>50</v>
      </c>
      <c r="E879" t="s">
        <v>18</v>
      </c>
      <c r="F879" t="s">
        <v>33</v>
      </c>
      <c r="G879" t="s">
        <v>14</v>
      </c>
      <c r="H879">
        <v>116.94</v>
      </c>
      <c r="I879">
        <v>6001.5</v>
      </c>
      <c r="J879" t="s">
        <v>15</v>
      </c>
      <c r="K879" t="str">
        <f>IF(D879&lt;=12,"0-12 Months",IF(D879&lt;=24,"13-24 Months",IF(D879&lt;=48,"25-48 Months","49+ Months")))</f>
        <v>49+ Months</v>
      </c>
      <c r="L879">
        <f>IF(Table1346[[#This Row],[Churn]]="Yes",1,0)</f>
        <v>0</v>
      </c>
    </row>
    <row r="880" spans="1:12" x14ac:dyDescent="0.35">
      <c r="A880" t="s">
        <v>902</v>
      </c>
      <c r="B880" t="s">
        <v>11</v>
      </c>
      <c r="C880">
        <v>69</v>
      </c>
      <c r="D880">
        <v>23</v>
      </c>
      <c r="E880" t="s">
        <v>12</v>
      </c>
      <c r="F880" t="s">
        <v>29</v>
      </c>
      <c r="G880" t="s">
        <v>23</v>
      </c>
      <c r="H880">
        <v>127.37</v>
      </c>
      <c r="I880">
        <v>2891.6</v>
      </c>
      <c r="J880" t="s">
        <v>27</v>
      </c>
      <c r="K880" t="str">
        <f>IF(D880&lt;=12,"0-12 Months",IF(D880&lt;=24,"13-24 Months",IF(D880&lt;=48,"25-48 Months","49+ Months")))</f>
        <v>13-24 Months</v>
      </c>
      <c r="L880">
        <f>IF(Table1346[[#This Row],[Churn]]="Yes",1,0)</f>
        <v>1</v>
      </c>
    </row>
    <row r="881" spans="1:12" x14ac:dyDescent="0.35">
      <c r="A881" t="s">
        <v>903</v>
      </c>
      <c r="B881" t="s">
        <v>11</v>
      </c>
      <c r="C881">
        <v>56</v>
      </c>
      <c r="D881">
        <v>44</v>
      </c>
      <c r="E881" t="s">
        <v>21</v>
      </c>
      <c r="F881" t="s">
        <v>29</v>
      </c>
      <c r="G881" t="s">
        <v>23</v>
      </c>
      <c r="H881">
        <v>110.55</v>
      </c>
      <c r="I881">
        <v>4888.67</v>
      </c>
      <c r="J881" t="s">
        <v>27</v>
      </c>
      <c r="K881" t="str">
        <f>IF(D881&lt;=12,"0-12 Months",IF(D881&lt;=24,"13-24 Months",IF(D881&lt;=48,"25-48 Months","49+ Months")))</f>
        <v>25-48 Months</v>
      </c>
      <c r="L881">
        <f>IF(Table1346[[#This Row],[Churn]]="Yes",1,0)</f>
        <v>1</v>
      </c>
    </row>
    <row r="882" spans="1:12" x14ac:dyDescent="0.35">
      <c r="A882" t="s">
        <v>904</v>
      </c>
      <c r="B882" t="s">
        <v>11</v>
      </c>
      <c r="C882">
        <v>52</v>
      </c>
      <c r="D882">
        <v>22</v>
      </c>
      <c r="E882" t="s">
        <v>12</v>
      </c>
      <c r="F882" t="s">
        <v>13</v>
      </c>
      <c r="G882" t="s">
        <v>23</v>
      </c>
      <c r="H882">
        <v>140.13</v>
      </c>
      <c r="I882">
        <v>2897.66</v>
      </c>
      <c r="J882" t="s">
        <v>15</v>
      </c>
      <c r="K882" t="str">
        <f>IF(D882&lt;=12,"0-12 Months",IF(D882&lt;=24,"13-24 Months",IF(D882&lt;=48,"25-48 Months","49+ Months")))</f>
        <v>13-24 Months</v>
      </c>
      <c r="L882">
        <f>IF(Table1346[[#This Row],[Churn]]="Yes",1,0)</f>
        <v>0</v>
      </c>
    </row>
    <row r="883" spans="1:12" x14ac:dyDescent="0.35">
      <c r="A883" t="s">
        <v>905</v>
      </c>
      <c r="B883" t="s">
        <v>17</v>
      </c>
      <c r="C883">
        <v>35</v>
      </c>
      <c r="D883">
        <v>43</v>
      </c>
      <c r="E883" t="s">
        <v>12</v>
      </c>
      <c r="F883" t="s">
        <v>33</v>
      </c>
      <c r="G883" t="s">
        <v>14</v>
      </c>
      <c r="H883">
        <v>126.64</v>
      </c>
      <c r="I883">
        <v>5718.39</v>
      </c>
      <c r="J883" t="s">
        <v>15</v>
      </c>
      <c r="K883" t="str">
        <f>IF(D883&lt;=12,"0-12 Months",IF(D883&lt;=24,"13-24 Months",IF(D883&lt;=48,"25-48 Months","49+ Months")))</f>
        <v>25-48 Months</v>
      </c>
      <c r="L883">
        <f>IF(Table1346[[#This Row],[Churn]]="Yes",1,0)</f>
        <v>0</v>
      </c>
    </row>
    <row r="884" spans="1:12" x14ac:dyDescent="0.35">
      <c r="A884" t="s">
        <v>906</v>
      </c>
      <c r="B884" t="s">
        <v>11</v>
      </c>
      <c r="C884">
        <v>59</v>
      </c>
      <c r="D884">
        <v>37</v>
      </c>
      <c r="E884" t="s">
        <v>21</v>
      </c>
      <c r="F884" t="s">
        <v>33</v>
      </c>
      <c r="G884" t="s">
        <v>23</v>
      </c>
      <c r="H884">
        <v>93.04</v>
      </c>
      <c r="I884">
        <v>3612.14</v>
      </c>
      <c r="J884" t="s">
        <v>15</v>
      </c>
      <c r="K884" t="str">
        <f>IF(D884&lt;=12,"0-12 Months",IF(D884&lt;=24,"13-24 Months",IF(D884&lt;=48,"25-48 Months","49+ Months")))</f>
        <v>25-48 Months</v>
      </c>
      <c r="L884">
        <f>IF(Table1346[[#This Row],[Churn]]="Yes",1,0)</f>
        <v>0</v>
      </c>
    </row>
    <row r="885" spans="1:12" x14ac:dyDescent="0.35">
      <c r="A885" t="s">
        <v>907</v>
      </c>
      <c r="B885" t="s">
        <v>17</v>
      </c>
      <c r="C885">
        <v>56</v>
      </c>
      <c r="D885">
        <v>61</v>
      </c>
      <c r="E885" t="s">
        <v>21</v>
      </c>
      <c r="F885" t="s">
        <v>13</v>
      </c>
      <c r="G885" t="s">
        <v>23</v>
      </c>
      <c r="H885">
        <v>107.28</v>
      </c>
      <c r="I885">
        <v>6080.13</v>
      </c>
      <c r="J885" t="s">
        <v>15</v>
      </c>
      <c r="K885" t="str">
        <f>IF(D885&lt;=12,"0-12 Months",IF(D885&lt;=24,"13-24 Months",IF(D885&lt;=48,"25-48 Months","49+ Months")))</f>
        <v>49+ Months</v>
      </c>
      <c r="L885">
        <f>IF(Table1346[[#This Row],[Churn]]="Yes",1,0)</f>
        <v>0</v>
      </c>
    </row>
    <row r="886" spans="1:12" x14ac:dyDescent="0.35">
      <c r="A886" t="s">
        <v>908</v>
      </c>
      <c r="B886" t="s">
        <v>17</v>
      </c>
      <c r="C886">
        <v>34</v>
      </c>
      <c r="D886">
        <v>56</v>
      </c>
      <c r="E886" t="s">
        <v>12</v>
      </c>
      <c r="F886" t="s">
        <v>22</v>
      </c>
      <c r="G886" t="s">
        <v>14</v>
      </c>
      <c r="H886">
        <v>140.41999999999999</v>
      </c>
      <c r="I886">
        <v>8457.9699999999993</v>
      </c>
      <c r="J886" t="s">
        <v>15</v>
      </c>
      <c r="K886" t="str">
        <f>IF(D886&lt;=12,"0-12 Months",IF(D886&lt;=24,"13-24 Months",IF(D886&lt;=48,"25-48 Months","49+ Months")))</f>
        <v>49+ Months</v>
      </c>
      <c r="L886">
        <f>IF(Table1346[[#This Row],[Churn]]="Yes",1,0)</f>
        <v>0</v>
      </c>
    </row>
    <row r="887" spans="1:12" x14ac:dyDescent="0.35">
      <c r="A887" t="s">
        <v>909</v>
      </c>
      <c r="B887" t="s">
        <v>11</v>
      </c>
      <c r="C887">
        <v>31</v>
      </c>
      <c r="D887">
        <v>3</v>
      </c>
      <c r="E887" t="s">
        <v>12</v>
      </c>
      <c r="F887" t="s">
        <v>13</v>
      </c>
      <c r="G887" t="s">
        <v>14</v>
      </c>
      <c r="H887">
        <v>100.49</v>
      </c>
      <c r="I887">
        <v>287.55</v>
      </c>
      <c r="J887" t="s">
        <v>27</v>
      </c>
      <c r="K887" t="str">
        <f>IF(D887&lt;=12,"0-12 Months",IF(D887&lt;=24,"13-24 Months",IF(D887&lt;=48,"25-48 Months","49+ Months")))</f>
        <v>0-12 Months</v>
      </c>
      <c r="L887">
        <f>IF(Table1346[[#This Row],[Churn]]="Yes",1,0)</f>
        <v>1</v>
      </c>
    </row>
    <row r="888" spans="1:12" x14ac:dyDescent="0.35">
      <c r="A888" t="s">
        <v>910</v>
      </c>
      <c r="B888" t="s">
        <v>11</v>
      </c>
      <c r="C888">
        <v>48</v>
      </c>
      <c r="D888">
        <v>63</v>
      </c>
      <c r="E888" t="s">
        <v>18</v>
      </c>
      <c r="F888" t="s">
        <v>13</v>
      </c>
      <c r="G888" t="s">
        <v>14</v>
      </c>
      <c r="H888">
        <v>127.22</v>
      </c>
      <c r="I888">
        <v>8787.9</v>
      </c>
      <c r="J888" t="s">
        <v>15</v>
      </c>
      <c r="K888" t="str">
        <f>IF(D888&lt;=12,"0-12 Months",IF(D888&lt;=24,"13-24 Months",IF(D888&lt;=48,"25-48 Months","49+ Months")))</f>
        <v>49+ Months</v>
      </c>
      <c r="L888">
        <f>IF(Table1346[[#This Row],[Churn]]="Yes",1,0)</f>
        <v>0</v>
      </c>
    </row>
    <row r="889" spans="1:12" x14ac:dyDescent="0.35">
      <c r="A889" t="s">
        <v>911</v>
      </c>
      <c r="B889" t="s">
        <v>17</v>
      </c>
      <c r="C889">
        <v>41</v>
      </c>
      <c r="D889">
        <v>19</v>
      </c>
      <c r="E889" t="s">
        <v>12</v>
      </c>
      <c r="F889" t="s">
        <v>29</v>
      </c>
      <c r="G889" t="s">
        <v>14</v>
      </c>
      <c r="H889">
        <v>109.55</v>
      </c>
      <c r="I889">
        <v>2032.7</v>
      </c>
      <c r="J889" t="s">
        <v>27</v>
      </c>
      <c r="K889" t="str">
        <f>IF(D889&lt;=12,"0-12 Months",IF(D889&lt;=24,"13-24 Months",IF(D889&lt;=48,"25-48 Months","49+ Months")))</f>
        <v>13-24 Months</v>
      </c>
      <c r="L889">
        <f>IF(Table1346[[#This Row],[Churn]]="Yes",1,0)</f>
        <v>1</v>
      </c>
    </row>
    <row r="890" spans="1:12" x14ac:dyDescent="0.35">
      <c r="A890" t="s">
        <v>912</v>
      </c>
      <c r="B890" t="s">
        <v>17</v>
      </c>
      <c r="C890">
        <v>52</v>
      </c>
      <c r="D890">
        <v>23</v>
      </c>
      <c r="E890" t="s">
        <v>12</v>
      </c>
      <c r="F890" t="s">
        <v>29</v>
      </c>
      <c r="G890" t="s">
        <v>23</v>
      </c>
      <c r="H890">
        <v>91.75</v>
      </c>
      <c r="I890">
        <v>1974.3</v>
      </c>
      <c r="J890" t="s">
        <v>27</v>
      </c>
      <c r="K890" t="str">
        <f>IF(D890&lt;=12,"0-12 Months",IF(D890&lt;=24,"13-24 Months",IF(D890&lt;=48,"25-48 Months","49+ Months")))</f>
        <v>13-24 Months</v>
      </c>
      <c r="L890">
        <f>IF(Table1346[[#This Row],[Churn]]="Yes",1,0)</f>
        <v>1</v>
      </c>
    </row>
    <row r="891" spans="1:12" x14ac:dyDescent="0.35">
      <c r="A891" t="s">
        <v>913</v>
      </c>
      <c r="B891" t="s">
        <v>11</v>
      </c>
      <c r="C891">
        <v>61</v>
      </c>
      <c r="D891">
        <v>29</v>
      </c>
      <c r="E891" t="s">
        <v>18</v>
      </c>
      <c r="F891" t="s">
        <v>29</v>
      </c>
      <c r="G891" t="s">
        <v>23</v>
      </c>
      <c r="H891">
        <v>51.44</v>
      </c>
      <c r="I891">
        <v>1447.52</v>
      </c>
      <c r="J891" t="s">
        <v>15</v>
      </c>
      <c r="K891" t="str">
        <f>IF(D891&lt;=12,"0-12 Months",IF(D891&lt;=24,"13-24 Months",IF(D891&lt;=48,"25-48 Months","49+ Months")))</f>
        <v>25-48 Months</v>
      </c>
      <c r="L891">
        <f>IF(Table1346[[#This Row],[Churn]]="Yes",1,0)</f>
        <v>0</v>
      </c>
    </row>
    <row r="892" spans="1:12" x14ac:dyDescent="0.35">
      <c r="A892" t="s">
        <v>914</v>
      </c>
      <c r="B892" t="s">
        <v>11</v>
      </c>
      <c r="C892">
        <v>62</v>
      </c>
      <c r="D892">
        <v>30</v>
      </c>
      <c r="E892" t="s">
        <v>18</v>
      </c>
      <c r="F892" t="s">
        <v>13</v>
      </c>
      <c r="G892" t="s">
        <v>23</v>
      </c>
      <c r="H892">
        <v>75.38</v>
      </c>
      <c r="I892">
        <v>2234.34</v>
      </c>
      <c r="J892" t="s">
        <v>15</v>
      </c>
      <c r="K892" t="str">
        <f>IF(D892&lt;=12,"0-12 Months",IF(D892&lt;=24,"13-24 Months",IF(D892&lt;=48,"25-48 Months","49+ Months")))</f>
        <v>25-48 Months</v>
      </c>
      <c r="L892">
        <f>IF(Table1346[[#This Row],[Churn]]="Yes",1,0)</f>
        <v>0</v>
      </c>
    </row>
    <row r="893" spans="1:12" x14ac:dyDescent="0.35">
      <c r="A893" t="s">
        <v>915</v>
      </c>
      <c r="B893" t="s">
        <v>11</v>
      </c>
      <c r="C893">
        <v>51</v>
      </c>
      <c r="D893">
        <v>39</v>
      </c>
      <c r="E893" t="s">
        <v>12</v>
      </c>
      <c r="F893" t="s">
        <v>29</v>
      </c>
      <c r="G893" t="s">
        <v>23</v>
      </c>
      <c r="H893">
        <v>145.81</v>
      </c>
      <c r="I893">
        <v>5196.76</v>
      </c>
      <c r="J893" t="s">
        <v>27</v>
      </c>
      <c r="K893" t="str">
        <f>IF(D893&lt;=12,"0-12 Months",IF(D893&lt;=24,"13-24 Months",IF(D893&lt;=48,"25-48 Months","49+ Months")))</f>
        <v>25-48 Months</v>
      </c>
      <c r="L893">
        <f>IF(Table1346[[#This Row],[Churn]]="Yes",1,0)</f>
        <v>1</v>
      </c>
    </row>
    <row r="894" spans="1:12" x14ac:dyDescent="0.35">
      <c r="A894" t="s">
        <v>916</v>
      </c>
      <c r="B894" t="s">
        <v>11</v>
      </c>
      <c r="C894">
        <v>20</v>
      </c>
      <c r="D894">
        <v>25</v>
      </c>
      <c r="E894" t="s">
        <v>21</v>
      </c>
      <c r="F894" t="s">
        <v>33</v>
      </c>
      <c r="G894" t="s">
        <v>19</v>
      </c>
      <c r="H894">
        <v>105.51</v>
      </c>
      <c r="I894">
        <v>2679.01</v>
      </c>
      <c r="J894" t="s">
        <v>15</v>
      </c>
      <c r="K894" t="str">
        <f>IF(D894&lt;=12,"0-12 Months",IF(D894&lt;=24,"13-24 Months",IF(D894&lt;=48,"25-48 Months","49+ Months")))</f>
        <v>25-48 Months</v>
      </c>
      <c r="L894">
        <f>IF(Table1346[[#This Row],[Churn]]="Yes",1,0)</f>
        <v>0</v>
      </c>
    </row>
    <row r="895" spans="1:12" x14ac:dyDescent="0.35">
      <c r="A895" t="s">
        <v>917</v>
      </c>
      <c r="B895" t="s">
        <v>11</v>
      </c>
      <c r="C895">
        <v>54</v>
      </c>
      <c r="D895">
        <v>8</v>
      </c>
      <c r="E895" t="s">
        <v>18</v>
      </c>
      <c r="F895" t="s">
        <v>29</v>
      </c>
      <c r="G895" t="s">
        <v>23</v>
      </c>
      <c r="H895">
        <v>93.37</v>
      </c>
      <c r="I895">
        <v>761.55</v>
      </c>
      <c r="J895" t="s">
        <v>27</v>
      </c>
      <c r="K895" t="str">
        <f>IF(D895&lt;=12,"0-12 Months",IF(D895&lt;=24,"13-24 Months",IF(D895&lt;=48,"25-48 Months","49+ Months")))</f>
        <v>0-12 Months</v>
      </c>
      <c r="L895">
        <f>IF(Table1346[[#This Row],[Churn]]="Yes",1,0)</f>
        <v>1</v>
      </c>
    </row>
    <row r="896" spans="1:12" x14ac:dyDescent="0.35">
      <c r="A896" t="s">
        <v>918</v>
      </c>
      <c r="B896" t="s">
        <v>17</v>
      </c>
      <c r="C896">
        <v>60</v>
      </c>
      <c r="D896">
        <v>58</v>
      </c>
      <c r="E896" t="s">
        <v>18</v>
      </c>
      <c r="F896" t="s">
        <v>29</v>
      </c>
      <c r="G896" t="s">
        <v>23</v>
      </c>
      <c r="H896">
        <v>141.28</v>
      </c>
      <c r="I896">
        <v>8585.81</v>
      </c>
      <c r="J896" t="s">
        <v>15</v>
      </c>
      <c r="K896" t="str">
        <f>IF(D896&lt;=12,"0-12 Months",IF(D896&lt;=24,"13-24 Months",IF(D896&lt;=48,"25-48 Months","49+ Months")))</f>
        <v>49+ Months</v>
      </c>
      <c r="L896">
        <f>IF(Table1346[[#This Row],[Churn]]="Yes",1,0)</f>
        <v>0</v>
      </c>
    </row>
    <row r="897" spans="1:12" x14ac:dyDescent="0.35">
      <c r="A897" t="s">
        <v>919</v>
      </c>
      <c r="B897" t="s">
        <v>17</v>
      </c>
      <c r="C897">
        <v>57</v>
      </c>
      <c r="D897">
        <v>16</v>
      </c>
      <c r="E897" t="s">
        <v>12</v>
      </c>
      <c r="F897" t="s">
        <v>13</v>
      </c>
      <c r="G897" t="s">
        <v>23</v>
      </c>
      <c r="H897">
        <v>96.25</v>
      </c>
      <c r="I897">
        <v>1394.98</v>
      </c>
      <c r="J897" t="s">
        <v>27</v>
      </c>
      <c r="K897" t="str">
        <f>IF(D897&lt;=12,"0-12 Months",IF(D897&lt;=24,"13-24 Months",IF(D897&lt;=48,"25-48 Months","49+ Months")))</f>
        <v>13-24 Months</v>
      </c>
      <c r="L897">
        <f>IF(Table1346[[#This Row],[Churn]]="Yes",1,0)</f>
        <v>1</v>
      </c>
    </row>
    <row r="898" spans="1:12" x14ac:dyDescent="0.35">
      <c r="A898" t="s">
        <v>920</v>
      </c>
      <c r="B898" t="s">
        <v>17</v>
      </c>
      <c r="C898">
        <v>43</v>
      </c>
      <c r="D898">
        <v>72</v>
      </c>
      <c r="E898" t="s">
        <v>12</v>
      </c>
      <c r="F898" t="s">
        <v>1024</v>
      </c>
      <c r="G898" t="s">
        <v>14</v>
      </c>
      <c r="H898">
        <v>88.39</v>
      </c>
      <c r="I898">
        <v>6416.57</v>
      </c>
      <c r="J898" t="s">
        <v>15</v>
      </c>
      <c r="K898" t="str">
        <f>IF(D898&lt;=12,"0-12 Months",IF(D898&lt;=24,"13-24 Months",IF(D898&lt;=48,"25-48 Months","49+ Months")))</f>
        <v>49+ Months</v>
      </c>
      <c r="L898">
        <f>IF(Table1346[[#This Row],[Churn]]="Yes",1,0)</f>
        <v>0</v>
      </c>
    </row>
    <row r="899" spans="1:12" x14ac:dyDescent="0.35">
      <c r="A899" t="s">
        <v>921</v>
      </c>
      <c r="B899" t="s">
        <v>17</v>
      </c>
      <c r="C899">
        <v>40</v>
      </c>
      <c r="D899">
        <v>1</v>
      </c>
      <c r="E899" t="s">
        <v>12</v>
      </c>
      <c r="F899" t="s">
        <v>29</v>
      </c>
      <c r="G899" t="s">
        <v>14</v>
      </c>
      <c r="H899">
        <v>118.71</v>
      </c>
      <c r="I899">
        <v>108.1</v>
      </c>
      <c r="J899" t="s">
        <v>15</v>
      </c>
      <c r="K899" t="str">
        <f>IF(D899&lt;=12,"0-12 Months",IF(D899&lt;=24,"13-24 Months",IF(D899&lt;=48,"25-48 Months","49+ Months")))</f>
        <v>0-12 Months</v>
      </c>
      <c r="L899">
        <f>IF(Table1346[[#This Row],[Churn]]="Yes",1,0)</f>
        <v>0</v>
      </c>
    </row>
    <row r="900" spans="1:12" x14ac:dyDescent="0.35">
      <c r="A900" t="s">
        <v>922</v>
      </c>
      <c r="B900" t="s">
        <v>11</v>
      </c>
      <c r="C900">
        <v>61</v>
      </c>
      <c r="D900">
        <v>5</v>
      </c>
      <c r="E900" t="s">
        <v>12</v>
      </c>
      <c r="F900" t="s">
        <v>29</v>
      </c>
      <c r="G900" t="s">
        <v>23</v>
      </c>
      <c r="H900">
        <v>112.65</v>
      </c>
      <c r="I900">
        <v>585.91</v>
      </c>
      <c r="J900" t="s">
        <v>27</v>
      </c>
      <c r="K900" t="str">
        <f>IF(D900&lt;=12,"0-12 Months",IF(D900&lt;=24,"13-24 Months",IF(D900&lt;=48,"25-48 Months","49+ Months")))</f>
        <v>0-12 Months</v>
      </c>
      <c r="L900">
        <f>IF(Table1346[[#This Row],[Churn]]="Yes",1,0)</f>
        <v>1</v>
      </c>
    </row>
    <row r="901" spans="1:12" x14ac:dyDescent="0.35">
      <c r="A901" t="s">
        <v>923</v>
      </c>
      <c r="B901" t="s">
        <v>11</v>
      </c>
      <c r="C901">
        <v>56</v>
      </c>
      <c r="D901">
        <v>3</v>
      </c>
      <c r="E901" t="s">
        <v>21</v>
      </c>
      <c r="F901" t="s">
        <v>33</v>
      </c>
      <c r="G901" t="s">
        <v>23</v>
      </c>
      <c r="H901">
        <v>45.11</v>
      </c>
      <c r="I901">
        <v>123.31</v>
      </c>
      <c r="J901" t="s">
        <v>27</v>
      </c>
      <c r="K901" t="str">
        <f>IF(D901&lt;=12,"0-12 Months",IF(D901&lt;=24,"13-24 Months",IF(D901&lt;=48,"25-48 Months","49+ Months")))</f>
        <v>0-12 Months</v>
      </c>
      <c r="L901">
        <f>IF(Table1346[[#This Row],[Churn]]="Yes",1,0)</f>
        <v>1</v>
      </c>
    </row>
    <row r="902" spans="1:12" x14ac:dyDescent="0.35">
      <c r="A902" t="s">
        <v>924</v>
      </c>
      <c r="B902" t="s">
        <v>11</v>
      </c>
      <c r="C902">
        <v>32</v>
      </c>
      <c r="D902">
        <v>65</v>
      </c>
      <c r="E902" t="s">
        <v>12</v>
      </c>
      <c r="F902" t="s">
        <v>29</v>
      </c>
      <c r="G902" t="s">
        <v>14</v>
      </c>
      <c r="H902">
        <v>81.27</v>
      </c>
      <c r="I902">
        <v>5717.54</v>
      </c>
      <c r="J902" t="s">
        <v>27</v>
      </c>
      <c r="K902" t="str">
        <f>IF(D902&lt;=12,"0-12 Months",IF(D902&lt;=24,"13-24 Months",IF(D902&lt;=48,"25-48 Months","49+ Months")))</f>
        <v>49+ Months</v>
      </c>
      <c r="L902">
        <f>IF(Table1346[[#This Row],[Churn]]="Yes",1,0)</f>
        <v>1</v>
      </c>
    </row>
    <row r="903" spans="1:12" x14ac:dyDescent="0.35">
      <c r="A903" t="s">
        <v>925</v>
      </c>
      <c r="B903" t="s">
        <v>17</v>
      </c>
      <c r="C903">
        <v>66</v>
      </c>
      <c r="D903">
        <v>4</v>
      </c>
      <c r="E903" t="s">
        <v>21</v>
      </c>
      <c r="F903" t="s">
        <v>29</v>
      </c>
      <c r="G903" t="s">
        <v>23</v>
      </c>
      <c r="H903">
        <v>81.430000000000007</v>
      </c>
      <c r="I903">
        <v>338.88</v>
      </c>
      <c r="J903" t="s">
        <v>15</v>
      </c>
      <c r="K903" t="str">
        <f>IF(D903&lt;=12,"0-12 Months",IF(D903&lt;=24,"13-24 Months",IF(D903&lt;=48,"25-48 Months","49+ Months")))</f>
        <v>0-12 Months</v>
      </c>
      <c r="L903">
        <f>IF(Table1346[[#This Row],[Churn]]="Yes",1,0)</f>
        <v>0</v>
      </c>
    </row>
    <row r="904" spans="1:12" x14ac:dyDescent="0.35">
      <c r="A904" t="s">
        <v>926</v>
      </c>
      <c r="B904" t="s">
        <v>17</v>
      </c>
      <c r="C904">
        <v>21</v>
      </c>
      <c r="D904">
        <v>64</v>
      </c>
      <c r="E904" t="s">
        <v>12</v>
      </c>
      <c r="F904" t="s">
        <v>33</v>
      </c>
      <c r="G904" t="s">
        <v>19</v>
      </c>
      <c r="H904">
        <v>69.17</v>
      </c>
      <c r="I904">
        <v>4433.42</v>
      </c>
      <c r="J904" t="s">
        <v>15</v>
      </c>
      <c r="K904" t="str">
        <f>IF(D904&lt;=12,"0-12 Months",IF(D904&lt;=24,"13-24 Months",IF(D904&lt;=48,"25-48 Months","49+ Months")))</f>
        <v>49+ Months</v>
      </c>
      <c r="L904">
        <f>IF(Table1346[[#This Row],[Churn]]="Yes",1,0)</f>
        <v>0</v>
      </c>
    </row>
    <row r="905" spans="1:12" x14ac:dyDescent="0.35">
      <c r="A905" t="s">
        <v>927</v>
      </c>
      <c r="B905" t="s">
        <v>11</v>
      </c>
      <c r="C905">
        <v>46</v>
      </c>
      <c r="D905">
        <v>10</v>
      </c>
      <c r="E905" t="s">
        <v>12</v>
      </c>
      <c r="F905" t="s">
        <v>29</v>
      </c>
      <c r="G905" t="s">
        <v>14</v>
      </c>
      <c r="H905">
        <v>87.25</v>
      </c>
      <c r="I905">
        <v>862.29</v>
      </c>
      <c r="J905" t="s">
        <v>27</v>
      </c>
      <c r="K905" t="str">
        <f>IF(D905&lt;=12,"0-12 Months",IF(D905&lt;=24,"13-24 Months",IF(D905&lt;=48,"25-48 Months","49+ Months")))</f>
        <v>0-12 Months</v>
      </c>
      <c r="L905">
        <f>IF(Table1346[[#This Row],[Churn]]="Yes",1,0)</f>
        <v>1</v>
      </c>
    </row>
    <row r="906" spans="1:12" x14ac:dyDescent="0.35">
      <c r="A906" t="s">
        <v>928</v>
      </c>
      <c r="B906" t="s">
        <v>11</v>
      </c>
      <c r="C906">
        <v>39</v>
      </c>
      <c r="D906">
        <v>21</v>
      </c>
      <c r="E906" t="s">
        <v>18</v>
      </c>
      <c r="F906" t="s">
        <v>13</v>
      </c>
      <c r="G906" t="s">
        <v>14</v>
      </c>
      <c r="H906">
        <v>73.7</v>
      </c>
      <c r="I906">
        <v>1433.38</v>
      </c>
      <c r="J906" t="s">
        <v>15</v>
      </c>
      <c r="K906" t="str">
        <f>IF(D906&lt;=12,"0-12 Months",IF(D906&lt;=24,"13-24 Months",IF(D906&lt;=48,"25-48 Months","49+ Months")))</f>
        <v>13-24 Months</v>
      </c>
      <c r="L906">
        <f>IF(Table1346[[#This Row],[Churn]]="Yes",1,0)</f>
        <v>0</v>
      </c>
    </row>
    <row r="907" spans="1:12" x14ac:dyDescent="0.35">
      <c r="A907" t="s">
        <v>929</v>
      </c>
      <c r="B907" t="s">
        <v>17</v>
      </c>
      <c r="C907">
        <v>42</v>
      </c>
      <c r="D907">
        <v>46</v>
      </c>
      <c r="E907" t="s">
        <v>12</v>
      </c>
      <c r="F907" t="s">
        <v>13</v>
      </c>
      <c r="G907" t="s">
        <v>14</v>
      </c>
      <c r="H907">
        <v>45.91</v>
      </c>
      <c r="I907">
        <v>2023.58</v>
      </c>
      <c r="J907" t="s">
        <v>27</v>
      </c>
      <c r="K907" t="str">
        <f>IF(D907&lt;=12,"0-12 Months",IF(D907&lt;=24,"13-24 Months",IF(D907&lt;=48,"25-48 Months","49+ Months")))</f>
        <v>25-48 Months</v>
      </c>
      <c r="L907">
        <f>IF(Table1346[[#This Row],[Churn]]="Yes",1,0)</f>
        <v>1</v>
      </c>
    </row>
    <row r="908" spans="1:12" x14ac:dyDescent="0.35">
      <c r="A908" t="s">
        <v>930</v>
      </c>
      <c r="B908" t="s">
        <v>17</v>
      </c>
      <c r="C908">
        <v>30</v>
      </c>
      <c r="D908">
        <v>27</v>
      </c>
      <c r="E908" t="s">
        <v>12</v>
      </c>
      <c r="F908" t="s">
        <v>29</v>
      </c>
      <c r="G908" t="s">
        <v>14</v>
      </c>
      <c r="H908">
        <v>73.61</v>
      </c>
      <c r="I908">
        <v>2134.13</v>
      </c>
      <c r="J908" t="s">
        <v>15</v>
      </c>
      <c r="K908" t="str">
        <f>IF(D908&lt;=12,"0-12 Months",IF(D908&lt;=24,"13-24 Months",IF(D908&lt;=48,"25-48 Months","49+ Months")))</f>
        <v>25-48 Months</v>
      </c>
      <c r="L908">
        <f>IF(Table1346[[#This Row],[Churn]]="Yes",1,0)</f>
        <v>0</v>
      </c>
    </row>
    <row r="909" spans="1:12" x14ac:dyDescent="0.35">
      <c r="A909" t="s">
        <v>931</v>
      </c>
      <c r="B909" t="s">
        <v>11</v>
      </c>
      <c r="C909">
        <v>35</v>
      </c>
      <c r="D909">
        <v>66</v>
      </c>
      <c r="E909" t="s">
        <v>18</v>
      </c>
      <c r="F909" t="s">
        <v>29</v>
      </c>
      <c r="G909" t="s">
        <v>14</v>
      </c>
      <c r="H909">
        <v>29.4</v>
      </c>
      <c r="I909">
        <v>2097.36</v>
      </c>
      <c r="J909" t="s">
        <v>15</v>
      </c>
      <c r="K909" t="str">
        <f>IF(D909&lt;=12,"0-12 Months",IF(D909&lt;=24,"13-24 Months",IF(D909&lt;=48,"25-48 Months","49+ Months")))</f>
        <v>49+ Months</v>
      </c>
      <c r="L909">
        <f>IF(Table1346[[#This Row],[Churn]]="Yes",1,0)</f>
        <v>0</v>
      </c>
    </row>
    <row r="910" spans="1:12" x14ac:dyDescent="0.35">
      <c r="A910" t="s">
        <v>932</v>
      </c>
      <c r="B910" t="s">
        <v>11</v>
      </c>
      <c r="C910">
        <v>50</v>
      </c>
      <c r="D910">
        <v>41</v>
      </c>
      <c r="E910" t="s">
        <v>12</v>
      </c>
      <c r="F910" t="s">
        <v>29</v>
      </c>
      <c r="G910" t="s">
        <v>23</v>
      </c>
      <c r="H910">
        <v>94.85</v>
      </c>
      <c r="I910">
        <v>3500.55</v>
      </c>
      <c r="J910" t="s">
        <v>15</v>
      </c>
      <c r="K910" t="str">
        <f>IF(D910&lt;=12,"0-12 Months",IF(D910&lt;=24,"13-24 Months",IF(D910&lt;=48,"25-48 Months","49+ Months")))</f>
        <v>25-48 Months</v>
      </c>
      <c r="L910">
        <f>IF(Table1346[[#This Row],[Churn]]="Yes",1,0)</f>
        <v>0</v>
      </c>
    </row>
    <row r="911" spans="1:12" x14ac:dyDescent="0.35">
      <c r="A911" t="s">
        <v>933</v>
      </c>
      <c r="B911" t="s">
        <v>17</v>
      </c>
      <c r="C911">
        <v>33</v>
      </c>
      <c r="D911">
        <v>13</v>
      </c>
      <c r="E911" t="s">
        <v>21</v>
      </c>
      <c r="F911" t="s">
        <v>29</v>
      </c>
      <c r="G911" t="s">
        <v>14</v>
      </c>
      <c r="H911">
        <v>130.97999999999999</v>
      </c>
      <c r="I911">
        <v>1734.8</v>
      </c>
      <c r="J911" t="s">
        <v>15</v>
      </c>
      <c r="K911" t="str">
        <f>IF(D911&lt;=12,"0-12 Months",IF(D911&lt;=24,"13-24 Months",IF(D911&lt;=48,"25-48 Months","49+ Months")))</f>
        <v>13-24 Months</v>
      </c>
      <c r="L911">
        <f>IF(Table1346[[#This Row],[Churn]]="Yes",1,0)</f>
        <v>0</v>
      </c>
    </row>
    <row r="912" spans="1:12" x14ac:dyDescent="0.35">
      <c r="A912" t="s">
        <v>934</v>
      </c>
      <c r="B912" t="s">
        <v>11</v>
      </c>
      <c r="C912">
        <v>62</v>
      </c>
      <c r="D912">
        <v>9</v>
      </c>
      <c r="E912" t="s">
        <v>21</v>
      </c>
      <c r="F912" t="s">
        <v>29</v>
      </c>
      <c r="G912" t="s">
        <v>23</v>
      </c>
      <c r="H912">
        <v>114.29</v>
      </c>
      <c r="I912">
        <v>1073.72</v>
      </c>
      <c r="J912" t="s">
        <v>15</v>
      </c>
      <c r="K912" t="str">
        <f>IF(D912&lt;=12,"0-12 Months",IF(D912&lt;=24,"13-24 Months",IF(D912&lt;=48,"25-48 Months","49+ Months")))</f>
        <v>0-12 Months</v>
      </c>
      <c r="L912">
        <f>IF(Table1346[[#This Row],[Churn]]="Yes",1,0)</f>
        <v>0</v>
      </c>
    </row>
    <row r="913" spans="1:12" x14ac:dyDescent="0.35">
      <c r="A913" t="s">
        <v>935</v>
      </c>
      <c r="B913" t="s">
        <v>11</v>
      </c>
      <c r="C913">
        <v>59</v>
      </c>
      <c r="D913">
        <v>36</v>
      </c>
      <c r="E913" t="s">
        <v>12</v>
      </c>
      <c r="F913" t="s">
        <v>22</v>
      </c>
      <c r="G913" t="s">
        <v>23</v>
      </c>
      <c r="H913">
        <v>66.849999999999994</v>
      </c>
      <c r="I913">
        <v>2463.7600000000002</v>
      </c>
      <c r="J913" t="s">
        <v>15</v>
      </c>
      <c r="K913" t="str">
        <f>IF(D913&lt;=12,"0-12 Months",IF(D913&lt;=24,"13-24 Months",IF(D913&lt;=48,"25-48 Months","49+ Months")))</f>
        <v>25-48 Months</v>
      </c>
      <c r="L913">
        <f>IF(Table1346[[#This Row],[Churn]]="Yes",1,0)</f>
        <v>0</v>
      </c>
    </row>
    <row r="914" spans="1:12" x14ac:dyDescent="0.35">
      <c r="A914" t="s">
        <v>936</v>
      </c>
      <c r="B914" t="s">
        <v>11</v>
      </c>
      <c r="C914">
        <v>61</v>
      </c>
      <c r="D914">
        <v>58</v>
      </c>
      <c r="E914" t="s">
        <v>18</v>
      </c>
      <c r="F914" t="s">
        <v>13</v>
      </c>
      <c r="G914" t="s">
        <v>23</v>
      </c>
      <c r="H914">
        <v>31.32</v>
      </c>
      <c r="I914">
        <v>1664.58</v>
      </c>
      <c r="J914" t="s">
        <v>15</v>
      </c>
      <c r="K914" t="str">
        <f>IF(D914&lt;=12,"0-12 Months",IF(D914&lt;=24,"13-24 Months",IF(D914&lt;=48,"25-48 Months","49+ Months")))</f>
        <v>49+ Months</v>
      </c>
      <c r="L914">
        <f>IF(Table1346[[#This Row],[Churn]]="Yes",1,0)</f>
        <v>0</v>
      </c>
    </row>
    <row r="915" spans="1:12" x14ac:dyDescent="0.35">
      <c r="A915" t="s">
        <v>937</v>
      </c>
      <c r="B915" t="s">
        <v>17</v>
      </c>
      <c r="C915">
        <v>19</v>
      </c>
      <c r="D915">
        <v>54</v>
      </c>
      <c r="E915" t="s">
        <v>12</v>
      </c>
      <c r="F915" t="s">
        <v>13</v>
      </c>
      <c r="G915" t="s">
        <v>19</v>
      </c>
      <c r="H915">
        <v>46.28</v>
      </c>
      <c r="I915">
        <v>2358.0300000000002</v>
      </c>
      <c r="J915" t="s">
        <v>15</v>
      </c>
      <c r="K915" t="str">
        <f>IF(D915&lt;=12,"0-12 Months",IF(D915&lt;=24,"13-24 Months",IF(D915&lt;=48,"25-48 Months","49+ Months")))</f>
        <v>49+ Months</v>
      </c>
      <c r="L915">
        <f>IF(Table1346[[#This Row],[Churn]]="Yes",1,0)</f>
        <v>0</v>
      </c>
    </row>
    <row r="916" spans="1:12" x14ac:dyDescent="0.35">
      <c r="A916" t="s">
        <v>938</v>
      </c>
      <c r="B916" t="s">
        <v>17</v>
      </c>
      <c r="C916">
        <v>52</v>
      </c>
      <c r="D916">
        <v>12</v>
      </c>
      <c r="E916" t="s">
        <v>12</v>
      </c>
      <c r="F916" t="s">
        <v>33</v>
      </c>
      <c r="G916" t="s">
        <v>23</v>
      </c>
      <c r="H916">
        <v>90.91</v>
      </c>
      <c r="I916">
        <v>1036.45</v>
      </c>
      <c r="J916" t="s">
        <v>27</v>
      </c>
      <c r="K916" t="str">
        <f>IF(D916&lt;=12,"0-12 Months",IF(D916&lt;=24,"13-24 Months",IF(D916&lt;=48,"25-48 Months","49+ Months")))</f>
        <v>0-12 Months</v>
      </c>
      <c r="L916">
        <f>IF(Table1346[[#This Row],[Churn]]="Yes",1,0)</f>
        <v>1</v>
      </c>
    </row>
    <row r="917" spans="1:12" x14ac:dyDescent="0.35">
      <c r="A917" t="s">
        <v>939</v>
      </c>
      <c r="B917" t="s">
        <v>17</v>
      </c>
      <c r="C917">
        <v>59</v>
      </c>
      <c r="D917">
        <v>14</v>
      </c>
      <c r="E917" t="s">
        <v>12</v>
      </c>
      <c r="F917" t="s">
        <v>22</v>
      </c>
      <c r="G917" t="s">
        <v>23</v>
      </c>
      <c r="H917">
        <v>46.92</v>
      </c>
      <c r="I917">
        <v>700.46</v>
      </c>
      <c r="J917" t="s">
        <v>27</v>
      </c>
      <c r="K917" t="str">
        <f>IF(D917&lt;=12,"0-12 Months",IF(D917&lt;=24,"13-24 Months",IF(D917&lt;=48,"25-48 Months","49+ Months")))</f>
        <v>13-24 Months</v>
      </c>
      <c r="L917">
        <f>IF(Table1346[[#This Row],[Churn]]="Yes",1,0)</f>
        <v>1</v>
      </c>
    </row>
    <row r="918" spans="1:12" x14ac:dyDescent="0.35">
      <c r="A918" t="s">
        <v>940</v>
      </c>
      <c r="B918" t="s">
        <v>17</v>
      </c>
      <c r="C918">
        <v>51</v>
      </c>
      <c r="D918">
        <v>34</v>
      </c>
      <c r="E918" t="s">
        <v>12</v>
      </c>
      <c r="F918" t="s">
        <v>29</v>
      </c>
      <c r="G918" t="s">
        <v>23</v>
      </c>
      <c r="H918">
        <v>90.72</v>
      </c>
      <c r="I918">
        <v>3061.78</v>
      </c>
      <c r="J918" t="s">
        <v>15</v>
      </c>
      <c r="K918" t="str">
        <f>IF(D918&lt;=12,"0-12 Months",IF(D918&lt;=24,"13-24 Months",IF(D918&lt;=48,"25-48 Months","49+ Months")))</f>
        <v>25-48 Months</v>
      </c>
      <c r="L918">
        <f>IF(Table1346[[#This Row],[Churn]]="Yes",1,0)</f>
        <v>0</v>
      </c>
    </row>
    <row r="919" spans="1:12" x14ac:dyDescent="0.35">
      <c r="A919" t="s">
        <v>941</v>
      </c>
      <c r="B919" t="s">
        <v>17</v>
      </c>
      <c r="C919">
        <v>47</v>
      </c>
      <c r="D919">
        <v>53</v>
      </c>
      <c r="E919" t="s">
        <v>18</v>
      </c>
      <c r="F919" t="s">
        <v>33</v>
      </c>
      <c r="G919" t="s">
        <v>14</v>
      </c>
      <c r="H919">
        <v>50.11</v>
      </c>
      <c r="I919">
        <v>2648.83</v>
      </c>
      <c r="J919" t="s">
        <v>15</v>
      </c>
      <c r="K919" t="str">
        <f>IF(D919&lt;=12,"0-12 Months",IF(D919&lt;=24,"13-24 Months",IF(D919&lt;=48,"25-48 Months","49+ Months")))</f>
        <v>49+ Months</v>
      </c>
      <c r="L919">
        <f>IF(Table1346[[#This Row],[Churn]]="Yes",1,0)</f>
        <v>0</v>
      </c>
    </row>
    <row r="920" spans="1:12" x14ac:dyDescent="0.35">
      <c r="A920" t="s">
        <v>942</v>
      </c>
      <c r="B920" t="s">
        <v>17</v>
      </c>
      <c r="C920">
        <v>30</v>
      </c>
      <c r="D920">
        <v>20</v>
      </c>
      <c r="E920" t="s">
        <v>12</v>
      </c>
      <c r="F920" t="s">
        <v>29</v>
      </c>
      <c r="G920" t="s">
        <v>14</v>
      </c>
      <c r="H920">
        <v>130.36000000000001</v>
      </c>
      <c r="I920">
        <v>2833.97</v>
      </c>
      <c r="J920" t="s">
        <v>15</v>
      </c>
      <c r="K920" t="str">
        <f>IF(D920&lt;=12,"0-12 Months",IF(D920&lt;=24,"13-24 Months",IF(D920&lt;=48,"25-48 Months","49+ Months")))</f>
        <v>13-24 Months</v>
      </c>
      <c r="L920">
        <f>IF(Table1346[[#This Row],[Churn]]="Yes",1,0)</f>
        <v>0</v>
      </c>
    </row>
    <row r="921" spans="1:12" x14ac:dyDescent="0.35">
      <c r="A921" t="s">
        <v>943</v>
      </c>
      <c r="B921" t="s">
        <v>17</v>
      </c>
      <c r="C921">
        <v>30</v>
      </c>
      <c r="D921">
        <v>16</v>
      </c>
      <c r="E921" t="s">
        <v>12</v>
      </c>
      <c r="F921" t="s">
        <v>29</v>
      </c>
      <c r="G921" t="s">
        <v>14</v>
      </c>
      <c r="H921">
        <v>71.650000000000006</v>
      </c>
      <c r="I921">
        <v>1177.83</v>
      </c>
      <c r="J921" t="s">
        <v>15</v>
      </c>
      <c r="K921" t="str">
        <f>IF(D921&lt;=12,"0-12 Months",IF(D921&lt;=24,"13-24 Months",IF(D921&lt;=48,"25-48 Months","49+ Months")))</f>
        <v>13-24 Months</v>
      </c>
      <c r="L921">
        <f>IF(Table1346[[#This Row],[Churn]]="Yes",1,0)</f>
        <v>0</v>
      </c>
    </row>
    <row r="922" spans="1:12" x14ac:dyDescent="0.35">
      <c r="A922" t="s">
        <v>944</v>
      </c>
      <c r="B922" t="s">
        <v>11</v>
      </c>
      <c r="C922">
        <v>35</v>
      </c>
      <c r="D922">
        <v>70</v>
      </c>
      <c r="E922" t="s">
        <v>12</v>
      </c>
      <c r="F922" t="s">
        <v>22</v>
      </c>
      <c r="G922" t="s">
        <v>14</v>
      </c>
      <c r="H922">
        <v>51.92</v>
      </c>
      <c r="I922">
        <v>3924.18</v>
      </c>
      <c r="J922" t="s">
        <v>15</v>
      </c>
      <c r="K922" t="str">
        <f>IF(D922&lt;=12,"0-12 Months",IF(D922&lt;=24,"13-24 Months",IF(D922&lt;=48,"25-48 Months","49+ Months")))</f>
        <v>49+ Months</v>
      </c>
      <c r="L922">
        <f>IF(Table1346[[#This Row],[Churn]]="Yes",1,0)</f>
        <v>0</v>
      </c>
    </row>
    <row r="923" spans="1:12" x14ac:dyDescent="0.35">
      <c r="A923" t="s">
        <v>945</v>
      </c>
      <c r="B923" t="s">
        <v>11</v>
      </c>
      <c r="C923">
        <v>49</v>
      </c>
      <c r="D923">
        <v>56</v>
      </c>
      <c r="E923" t="s">
        <v>21</v>
      </c>
      <c r="F923" t="s">
        <v>13</v>
      </c>
      <c r="G923" t="s">
        <v>14</v>
      </c>
      <c r="H923">
        <v>125.6</v>
      </c>
      <c r="I923">
        <v>6972.42</v>
      </c>
      <c r="J923" t="s">
        <v>15</v>
      </c>
      <c r="K923" t="str">
        <f>IF(D923&lt;=12,"0-12 Months",IF(D923&lt;=24,"13-24 Months",IF(D923&lt;=48,"25-48 Months","49+ Months")))</f>
        <v>49+ Months</v>
      </c>
      <c r="L923">
        <f>IF(Table1346[[#This Row],[Churn]]="Yes",1,0)</f>
        <v>0</v>
      </c>
    </row>
    <row r="924" spans="1:12" x14ac:dyDescent="0.35">
      <c r="A924" t="s">
        <v>946</v>
      </c>
      <c r="B924" t="s">
        <v>11</v>
      </c>
      <c r="C924">
        <v>49</v>
      </c>
      <c r="D924">
        <v>58</v>
      </c>
      <c r="E924" t="s">
        <v>12</v>
      </c>
      <c r="F924" t="s">
        <v>13</v>
      </c>
      <c r="G924" t="s">
        <v>14</v>
      </c>
      <c r="H924">
        <v>64.569999999999993</v>
      </c>
      <c r="I924">
        <v>3482.48</v>
      </c>
      <c r="J924" t="s">
        <v>15</v>
      </c>
      <c r="K924" t="str">
        <f>IF(D924&lt;=12,"0-12 Months",IF(D924&lt;=24,"13-24 Months",IF(D924&lt;=48,"25-48 Months","49+ Months")))</f>
        <v>49+ Months</v>
      </c>
      <c r="L924">
        <f>IF(Table1346[[#This Row],[Churn]]="Yes",1,0)</f>
        <v>0</v>
      </c>
    </row>
    <row r="925" spans="1:12" x14ac:dyDescent="0.35">
      <c r="A925" t="s">
        <v>947</v>
      </c>
      <c r="B925" t="s">
        <v>11</v>
      </c>
      <c r="C925">
        <v>52</v>
      </c>
      <c r="D925">
        <v>4</v>
      </c>
      <c r="E925" t="s">
        <v>12</v>
      </c>
      <c r="F925" t="s">
        <v>29</v>
      </c>
      <c r="G925" t="s">
        <v>23</v>
      </c>
      <c r="H925">
        <v>34.49</v>
      </c>
      <c r="I925">
        <v>149.82</v>
      </c>
      <c r="J925" t="s">
        <v>15</v>
      </c>
      <c r="K925" t="str">
        <f>IF(D925&lt;=12,"0-12 Months",IF(D925&lt;=24,"13-24 Months",IF(D925&lt;=48,"25-48 Months","49+ Months")))</f>
        <v>0-12 Months</v>
      </c>
      <c r="L925">
        <f>IF(Table1346[[#This Row],[Churn]]="Yes",1,0)</f>
        <v>0</v>
      </c>
    </row>
    <row r="926" spans="1:12" x14ac:dyDescent="0.35">
      <c r="A926" t="s">
        <v>948</v>
      </c>
      <c r="B926" t="s">
        <v>11</v>
      </c>
      <c r="C926">
        <v>56</v>
      </c>
      <c r="D926">
        <v>4</v>
      </c>
      <c r="E926" t="s">
        <v>21</v>
      </c>
      <c r="F926" t="s">
        <v>13</v>
      </c>
      <c r="G926" t="s">
        <v>23</v>
      </c>
      <c r="H926">
        <v>94.15</v>
      </c>
      <c r="I926">
        <v>373.49</v>
      </c>
      <c r="J926" t="s">
        <v>15</v>
      </c>
      <c r="K926" t="str">
        <f>IF(D926&lt;=12,"0-12 Months",IF(D926&lt;=24,"13-24 Months",IF(D926&lt;=48,"25-48 Months","49+ Months")))</f>
        <v>0-12 Months</v>
      </c>
      <c r="L926">
        <f>IF(Table1346[[#This Row],[Churn]]="Yes",1,0)</f>
        <v>0</v>
      </c>
    </row>
    <row r="927" spans="1:12" x14ac:dyDescent="0.35">
      <c r="A927" t="s">
        <v>949</v>
      </c>
      <c r="B927" t="s">
        <v>11</v>
      </c>
      <c r="C927">
        <v>63</v>
      </c>
      <c r="D927">
        <v>20</v>
      </c>
      <c r="E927" t="s">
        <v>12</v>
      </c>
      <c r="F927" t="s">
        <v>29</v>
      </c>
      <c r="G927" t="s">
        <v>23</v>
      </c>
      <c r="H927">
        <v>95.6</v>
      </c>
      <c r="I927">
        <v>1790.26</v>
      </c>
      <c r="J927" t="s">
        <v>27</v>
      </c>
      <c r="K927" t="str">
        <f>IF(D927&lt;=12,"0-12 Months",IF(D927&lt;=24,"13-24 Months",IF(D927&lt;=48,"25-48 Months","49+ Months")))</f>
        <v>13-24 Months</v>
      </c>
      <c r="L927">
        <f>IF(Table1346[[#This Row],[Churn]]="Yes",1,0)</f>
        <v>1</v>
      </c>
    </row>
    <row r="928" spans="1:12" x14ac:dyDescent="0.35">
      <c r="A928" t="s">
        <v>950</v>
      </c>
      <c r="B928" t="s">
        <v>11</v>
      </c>
      <c r="C928">
        <v>69</v>
      </c>
      <c r="D928">
        <v>10</v>
      </c>
      <c r="E928" t="s">
        <v>12</v>
      </c>
      <c r="F928" t="s">
        <v>33</v>
      </c>
      <c r="G928" t="s">
        <v>23</v>
      </c>
      <c r="H928">
        <v>112.91</v>
      </c>
      <c r="I928">
        <v>1084.48</v>
      </c>
      <c r="J928" t="s">
        <v>15</v>
      </c>
      <c r="K928" t="str">
        <f>IF(D928&lt;=12,"0-12 Months",IF(D928&lt;=24,"13-24 Months",IF(D928&lt;=48,"25-48 Months","49+ Months")))</f>
        <v>0-12 Months</v>
      </c>
      <c r="L928">
        <f>IF(Table1346[[#This Row],[Churn]]="Yes",1,0)</f>
        <v>0</v>
      </c>
    </row>
    <row r="929" spans="1:12" x14ac:dyDescent="0.35">
      <c r="A929" t="s">
        <v>951</v>
      </c>
      <c r="B929" t="s">
        <v>17</v>
      </c>
      <c r="C929">
        <v>46</v>
      </c>
      <c r="D929">
        <v>24</v>
      </c>
      <c r="E929" t="s">
        <v>12</v>
      </c>
      <c r="F929" t="s">
        <v>29</v>
      </c>
      <c r="G929" t="s">
        <v>14</v>
      </c>
      <c r="H929">
        <v>51.23</v>
      </c>
      <c r="I929">
        <v>1119.06</v>
      </c>
      <c r="J929" t="s">
        <v>15</v>
      </c>
      <c r="K929" t="str">
        <f>IF(D929&lt;=12,"0-12 Months",IF(D929&lt;=24,"13-24 Months",IF(D929&lt;=48,"25-48 Months","49+ Months")))</f>
        <v>13-24 Months</v>
      </c>
      <c r="L929">
        <f>IF(Table1346[[#This Row],[Churn]]="Yes",1,0)</f>
        <v>0</v>
      </c>
    </row>
    <row r="930" spans="1:12" x14ac:dyDescent="0.35">
      <c r="A930" t="s">
        <v>952</v>
      </c>
      <c r="B930" t="s">
        <v>17</v>
      </c>
      <c r="C930">
        <v>66</v>
      </c>
      <c r="D930">
        <v>26</v>
      </c>
      <c r="E930" t="s">
        <v>12</v>
      </c>
      <c r="F930" t="s">
        <v>33</v>
      </c>
      <c r="G930" t="s">
        <v>23</v>
      </c>
      <c r="H930">
        <v>77.69</v>
      </c>
      <c r="I930">
        <v>2007.13</v>
      </c>
      <c r="J930" t="s">
        <v>15</v>
      </c>
      <c r="K930" t="str">
        <f>IF(D930&lt;=12,"0-12 Months",IF(D930&lt;=24,"13-24 Months",IF(D930&lt;=48,"25-48 Months","49+ Months")))</f>
        <v>25-48 Months</v>
      </c>
      <c r="L930">
        <f>IF(Table1346[[#This Row],[Churn]]="Yes",1,0)</f>
        <v>0</v>
      </c>
    </row>
    <row r="931" spans="1:12" x14ac:dyDescent="0.35">
      <c r="A931" t="s">
        <v>953</v>
      </c>
      <c r="B931" t="s">
        <v>11</v>
      </c>
      <c r="C931">
        <v>46</v>
      </c>
      <c r="D931">
        <v>37</v>
      </c>
      <c r="E931" t="s">
        <v>18</v>
      </c>
      <c r="F931" t="s">
        <v>13</v>
      </c>
      <c r="G931" t="s">
        <v>14</v>
      </c>
      <c r="H931">
        <v>56.71</v>
      </c>
      <c r="I931">
        <v>2246.46</v>
      </c>
      <c r="J931" t="s">
        <v>27</v>
      </c>
      <c r="K931" t="str">
        <f>IF(D931&lt;=12,"0-12 Months",IF(D931&lt;=24,"13-24 Months",IF(D931&lt;=48,"25-48 Months","49+ Months")))</f>
        <v>25-48 Months</v>
      </c>
      <c r="L931">
        <f>IF(Table1346[[#This Row],[Churn]]="Yes",1,0)</f>
        <v>1</v>
      </c>
    </row>
    <row r="932" spans="1:12" x14ac:dyDescent="0.35">
      <c r="A932" t="s">
        <v>954</v>
      </c>
      <c r="B932" t="s">
        <v>11</v>
      </c>
      <c r="C932">
        <v>70</v>
      </c>
      <c r="D932">
        <v>54</v>
      </c>
      <c r="E932" t="s">
        <v>12</v>
      </c>
      <c r="F932" t="s">
        <v>33</v>
      </c>
      <c r="G932" t="s">
        <v>23</v>
      </c>
      <c r="H932">
        <v>30.52</v>
      </c>
      <c r="I932">
        <v>1791</v>
      </c>
      <c r="J932" t="s">
        <v>27</v>
      </c>
      <c r="K932" t="str">
        <f>IF(D932&lt;=12,"0-12 Months",IF(D932&lt;=24,"13-24 Months",IF(D932&lt;=48,"25-48 Months","49+ Months")))</f>
        <v>49+ Months</v>
      </c>
      <c r="L932">
        <f>IF(Table1346[[#This Row],[Churn]]="Yes",1,0)</f>
        <v>1</v>
      </c>
    </row>
    <row r="933" spans="1:12" x14ac:dyDescent="0.35">
      <c r="A933" t="s">
        <v>955</v>
      </c>
      <c r="B933" t="s">
        <v>17</v>
      </c>
      <c r="C933">
        <v>61</v>
      </c>
      <c r="D933">
        <v>21</v>
      </c>
      <c r="E933" t="s">
        <v>12</v>
      </c>
      <c r="F933" t="s">
        <v>22</v>
      </c>
      <c r="G933" t="s">
        <v>23</v>
      </c>
      <c r="H933">
        <v>133.96</v>
      </c>
      <c r="I933">
        <v>3056.56</v>
      </c>
      <c r="J933" t="s">
        <v>15</v>
      </c>
      <c r="K933" t="str">
        <f>IF(D933&lt;=12,"0-12 Months",IF(D933&lt;=24,"13-24 Months",IF(D933&lt;=48,"25-48 Months","49+ Months")))</f>
        <v>13-24 Months</v>
      </c>
      <c r="L933">
        <f>IF(Table1346[[#This Row],[Churn]]="Yes",1,0)</f>
        <v>0</v>
      </c>
    </row>
    <row r="934" spans="1:12" x14ac:dyDescent="0.35">
      <c r="A934" t="s">
        <v>956</v>
      </c>
      <c r="B934" t="s">
        <v>11</v>
      </c>
      <c r="C934">
        <v>33</v>
      </c>
      <c r="D934">
        <v>38</v>
      </c>
      <c r="E934" t="s">
        <v>12</v>
      </c>
      <c r="F934" t="s">
        <v>22</v>
      </c>
      <c r="G934" t="s">
        <v>14</v>
      </c>
      <c r="H934">
        <v>114.75</v>
      </c>
      <c r="I934">
        <v>4033.66</v>
      </c>
      <c r="J934" t="s">
        <v>15</v>
      </c>
      <c r="K934" t="str">
        <f>IF(D934&lt;=12,"0-12 Months",IF(D934&lt;=24,"13-24 Months",IF(D934&lt;=48,"25-48 Months","49+ Months")))</f>
        <v>25-48 Months</v>
      </c>
      <c r="L934">
        <f>IF(Table1346[[#This Row],[Churn]]="Yes",1,0)</f>
        <v>0</v>
      </c>
    </row>
    <row r="935" spans="1:12" x14ac:dyDescent="0.35">
      <c r="A935" t="s">
        <v>957</v>
      </c>
      <c r="B935" t="s">
        <v>11</v>
      </c>
      <c r="C935">
        <v>61</v>
      </c>
      <c r="D935">
        <v>46</v>
      </c>
      <c r="E935" t="s">
        <v>21</v>
      </c>
      <c r="F935" t="s">
        <v>29</v>
      </c>
      <c r="G935" t="s">
        <v>23</v>
      </c>
      <c r="H935">
        <v>59.19</v>
      </c>
      <c r="I935">
        <v>2658.51</v>
      </c>
      <c r="J935" t="s">
        <v>15</v>
      </c>
      <c r="K935" t="str">
        <f>IF(D935&lt;=12,"0-12 Months",IF(D935&lt;=24,"13-24 Months",IF(D935&lt;=48,"25-48 Months","49+ Months")))</f>
        <v>25-48 Months</v>
      </c>
      <c r="L935">
        <f>IF(Table1346[[#This Row],[Churn]]="Yes",1,0)</f>
        <v>0</v>
      </c>
    </row>
    <row r="936" spans="1:12" x14ac:dyDescent="0.35">
      <c r="A936" t="s">
        <v>958</v>
      </c>
      <c r="B936" t="s">
        <v>17</v>
      </c>
      <c r="C936">
        <v>64</v>
      </c>
      <c r="D936">
        <v>4</v>
      </c>
      <c r="E936" t="s">
        <v>21</v>
      </c>
      <c r="F936" t="s">
        <v>29</v>
      </c>
      <c r="G936" t="s">
        <v>23</v>
      </c>
      <c r="H936">
        <v>97.92</v>
      </c>
      <c r="I936">
        <v>354.72</v>
      </c>
      <c r="J936" t="s">
        <v>15</v>
      </c>
      <c r="K936" t="str">
        <f>IF(D936&lt;=12,"0-12 Months",IF(D936&lt;=24,"13-24 Months",IF(D936&lt;=48,"25-48 Months","49+ Months")))</f>
        <v>0-12 Months</v>
      </c>
      <c r="L936">
        <f>IF(Table1346[[#This Row],[Churn]]="Yes",1,0)</f>
        <v>0</v>
      </c>
    </row>
    <row r="937" spans="1:12" x14ac:dyDescent="0.35">
      <c r="A937" t="s">
        <v>959</v>
      </c>
      <c r="B937" t="s">
        <v>11</v>
      </c>
      <c r="C937">
        <v>27</v>
      </c>
      <c r="D937">
        <v>60</v>
      </c>
      <c r="E937" t="s">
        <v>12</v>
      </c>
      <c r="F937" t="s">
        <v>29</v>
      </c>
      <c r="G937" t="s">
        <v>19</v>
      </c>
      <c r="H937">
        <v>46.16</v>
      </c>
      <c r="I937">
        <v>2966.33</v>
      </c>
      <c r="J937" t="s">
        <v>15</v>
      </c>
      <c r="K937" t="str">
        <f>IF(D937&lt;=12,"0-12 Months",IF(D937&lt;=24,"13-24 Months",IF(D937&lt;=48,"25-48 Months","49+ Months")))</f>
        <v>49+ Months</v>
      </c>
      <c r="L937">
        <f>IF(Table1346[[#This Row],[Churn]]="Yes",1,0)</f>
        <v>0</v>
      </c>
    </row>
    <row r="938" spans="1:12" x14ac:dyDescent="0.35">
      <c r="A938" t="s">
        <v>960</v>
      </c>
      <c r="B938" t="s">
        <v>17</v>
      </c>
      <c r="C938">
        <v>47</v>
      </c>
      <c r="D938">
        <v>57</v>
      </c>
      <c r="E938" t="s">
        <v>21</v>
      </c>
      <c r="F938" t="s">
        <v>33</v>
      </c>
      <c r="G938" t="s">
        <v>14</v>
      </c>
      <c r="H938">
        <v>135.72999999999999</v>
      </c>
      <c r="I938">
        <v>7518.06</v>
      </c>
      <c r="J938" t="s">
        <v>15</v>
      </c>
      <c r="K938" t="str">
        <f>IF(D938&lt;=12,"0-12 Months",IF(D938&lt;=24,"13-24 Months",IF(D938&lt;=48,"25-48 Months","49+ Months")))</f>
        <v>49+ Months</v>
      </c>
      <c r="L938">
        <f>IF(Table1346[[#This Row],[Churn]]="Yes",1,0)</f>
        <v>0</v>
      </c>
    </row>
    <row r="939" spans="1:12" x14ac:dyDescent="0.35">
      <c r="A939" t="s">
        <v>961</v>
      </c>
      <c r="B939" t="s">
        <v>11</v>
      </c>
      <c r="C939">
        <v>42</v>
      </c>
      <c r="D939">
        <v>45</v>
      </c>
      <c r="E939" t="s">
        <v>21</v>
      </c>
      <c r="F939" t="s">
        <v>33</v>
      </c>
      <c r="G939" t="s">
        <v>14</v>
      </c>
      <c r="H939">
        <v>34.94</v>
      </c>
      <c r="I939">
        <v>1613.53</v>
      </c>
      <c r="J939" t="s">
        <v>27</v>
      </c>
      <c r="K939" t="str">
        <f>IF(D939&lt;=12,"0-12 Months",IF(D939&lt;=24,"13-24 Months",IF(D939&lt;=48,"25-48 Months","49+ Months")))</f>
        <v>25-48 Months</v>
      </c>
      <c r="L939">
        <f>IF(Table1346[[#This Row],[Churn]]="Yes",1,0)</f>
        <v>1</v>
      </c>
    </row>
    <row r="940" spans="1:12" x14ac:dyDescent="0.35">
      <c r="A940" t="s">
        <v>962</v>
      </c>
      <c r="B940" t="s">
        <v>17</v>
      </c>
      <c r="C940">
        <v>56</v>
      </c>
      <c r="D940">
        <v>20</v>
      </c>
      <c r="E940" t="s">
        <v>18</v>
      </c>
      <c r="F940" t="s">
        <v>13</v>
      </c>
      <c r="G940" t="s">
        <v>23</v>
      </c>
      <c r="H940">
        <v>20.5</v>
      </c>
      <c r="I940">
        <v>427.62</v>
      </c>
      <c r="J940" t="s">
        <v>15</v>
      </c>
      <c r="K940" t="str">
        <f>IF(D940&lt;=12,"0-12 Months",IF(D940&lt;=24,"13-24 Months",IF(D940&lt;=48,"25-48 Months","49+ Months")))</f>
        <v>13-24 Months</v>
      </c>
      <c r="L940">
        <f>IF(Table1346[[#This Row],[Churn]]="Yes",1,0)</f>
        <v>0</v>
      </c>
    </row>
    <row r="941" spans="1:12" x14ac:dyDescent="0.35">
      <c r="A941" t="s">
        <v>963</v>
      </c>
      <c r="B941" t="s">
        <v>17</v>
      </c>
      <c r="C941">
        <v>37</v>
      </c>
      <c r="D941">
        <v>17</v>
      </c>
      <c r="E941" t="s">
        <v>18</v>
      </c>
      <c r="F941" t="s">
        <v>29</v>
      </c>
      <c r="G941" t="s">
        <v>14</v>
      </c>
      <c r="H941">
        <v>85.26</v>
      </c>
      <c r="I941">
        <v>1429.08</v>
      </c>
      <c r="J941" t="s">
        <v>15</v>
      </c>
      <c r="K941" t="str">
        <f>IF(D941&lt;=12,"0-12 Months",IF(D941&lt;=24,"13-24 Months",IF(D941&lt;=48,"25-48 Months","49+ Months")))</f>
        <v>13-24 Months</v>
      </c>
      <c r="L941">
        <f>IF(Table1346[[#This Row],[Churn]]="Yes",1,0)</f>
        <v>0</v>
      </c>
    </row>
    <row r="942" spans="1:12" x14ac:dyDescent="0.35">
      <c r="A942" t="s">
        <v>964</v>
      </c>
      <c r="B942" t="s">
        <v>17</v>
      </c>
      <c r="C942">
        <v>22</v>
      </c>
      <c r="D942">
        <v>71</v>
      </c>
      <c r="E942" t="s">
        <v>12</v>
      </c>
      <c r="F942" t="s">
        <v>13</v>
      </c>
      <c r="G942" t="s">
        <v>19</v>
      </c>
      <c r="H942">
        <v>95.81</v>
      </c>
      <c r="I942">
        <v>6539.17</v>
      </c>
      <c r="J942" t="s">
        <v>27</v>
      </c>
      <c r="K942" t="str">
        <f>IF(D942&lt;=12,"0-12 Months",IF(D942&lt;=24,"13-24 Months",IF(D942&lt;=48,"25-48 Months","49+ Months")))</f>
        <v>49+ Months</v>
      </c>
      <c r="L942">
        <f>IF(Table1346[[#This Row],[Churn]]="Yes",1,0)</f>
        <v>1</v>
      </c>
    </row>
    <row r="943" spans="1:12" x14ac:dyDescent="0.35">
      <c r="A943" t="s">
        <v>965</v>
      </c>
      <c r="B943" t="s">
        <v>11</v>
      </c>
      <c r="C943">
        <v>18</v>
      </c>
      <c r="D943">
        <v>4</v>
      </c>
      <c r="E943" t="s">
        <v>12</v>
      </c>
      <c r="F943" t="s">
        <v>22</v>
      </c>
      <c r="G943" t="s">
        <v>19</v>
      </c>
      <c r="H943">
        <v>95.27</v>
      </c>
      <c r="I943">
        <v>416.31</v>
      </c>
      <c r="J943" t="s">
        <v>15</v>
      </c>
      <c r="K943" t="str">
        <f>IF(D943&lt;=12,"0-12 Months",IF(D943&lt;=24,"13-24 Months",IF(D943&lt;=48,"25-48 Months","49+ Months")))</f>
        <v>0-12 Months</v>
      </c>
      <c r="L943">
        <f>IF(Table1346[[#This Row],[Churn]]="Yes",1,0)</f>
        <v>0</v>
      </c>
    </row>
    <row r="944" spans="1:12" x14ac:dyDescent="0.35">
      <c r="A944" t="s">
        <v>966</v>
      </c>
      <c r="B944" t="s">
        <v>17</v>
      </c>
      <c r="C944">
        <v>47</v>
      </c>
      <c r="D944">
        <v>14</v>
      </c>
      <c r="E944" t="s">
        <v>12</v>
      </c>
      <c r="F944" t="s">
        <v>13</v>
      </c>
      <c r="G944" t="s">
        <v>14</v>
      </c>
      <c r="H944">
        <v>27.09</v>
      </c>
      <c r="I944">
        <v>414.49</v>
      </c>
      <c r="J944" t="s">
        <v>15</v>
      </c>
      <c r="K944" t="str">
        <f>IF(D944&lt;=12,"0-12 Months",IF(D944&lt;=24,"13-24 Months",IF(D944&lt;=48,"25-48 Months","49+ Months")))</f>
        <v>13-24 Months</v>
      </c>
      <c r="L944">
        <f>IF(Table1346[[#This Row],[Churn]]="Yes",1,0)</f>
        <v>0</v>
      </c>
    </row>
    <row r="945" spans="1:12" x14ac:dyDescent="0.35">
      <c r="A945" t="s">
        <v>967</v>
      </c>
      <c r="B945" t="s">
        <v>11</v>
      </c>
      <c r="C945">
        <v>66</v>
      </c>
      <c r="D945">
        <v>3</v>
      </c>
      <c r="E945" t="s">
        <v>12</v>
      </c>
      <c r="F945" t="s">
        <v>22</v>
      </c>
      <c r="G945" t="s">
        <v>23</v>
      </c>
      <c r="H945">
        <v>60.83</v>
      </c>
      <c r="I945">
        <v>174.8</v>
      </c>
      <c r="J945" t="s">
        <v>15</v>
      </c>
      <c r="K945" t="str">
        <f>IF(D945&lt;=12,"0-12 Months",IF(D945&lt;=24,"13-24 Months",IF(D945&lt;=48,"25-48 Months","49+ Months")))</f>
        <v>0-12 Months</v>
      </c>
      <c r="L945">
        <f>IF(Table1346[[#This Row],[Churn]]="Yes",1,0)</f>
        <v>0</v>
      </c>
    </row>
    <row r="946" spans="1:12" x14ac:dyDescent="0.35">
      <c r="A946" t="s">
        <v>968</v>
      </c>
      <c r="B946" t="s">
        <v>11</v>
      </c>
      <c r="C946">
        <v>20</v>
      </c>
      <c r="D946">
        <v>58</v>
      </c>
      <c r="E946" t="s">
        <v>18</v>
      </c>
      <c r="F946" t="s">
        <v>33</v>
      </c>
      <c r="G946" t="s">
        <v>19</v>
      </c>
      <c r="H946">
        <v>84.9</v>
      </c>
      <c r="I946">
        <v>4904.13</v>
      </c>
      <c r="J946" t="s">
        <v>15</v>
      </c>
      <c r="K946" t="str">
        <f>IF(D946&lt;=12,"0-12 Months",IF(D946&lt;=24,"13-24 Months",IF(D946&lt;=48,"25-48 Months","49+ Months")))</f>
        <v>49+ Months</v>
      </c>
      <c r="L946">
        <f>IF(Table1346[[#This Row],[Churn]]="Yes",1,0)</f>
        <v>0</v>
      </c>
    </row>
    <row r="947" spans="1:12" x14ac:dyDescent="0.35">
      <c r="A947" t="s">
        <v>969</v>
      </c>
      <c r="B947" t="s">
        <v>11</v>
      </c>
      <c r="C947">
        <v>62</v>
      </c>
      <c r="D947">
        <v>55</v>
      </c>
      <c r="E947" t="s">
        <v>12</v>
      </c>
      <c r="F947" t="s">
        <v>29</v>
      </c>
      <c r="G947" t="s">
        <v>23</v>
      </c>
      <c r="H947">
        <v>48.16</v>
      </c>
      <c r="I947">
        <v>2899.29</v>
      </c>
      <c r="J947" t="s">
        <v>15</v>
      </c>
      <c r="K947" t="str">
        <f>IF(D947&lt;=12,"0-12 Months",IF(D947&lt;=24,"13-24 Months",IF(D947&lt;=48,"25-48 Months","49+ Months")))</f>
        <v>49+ Months</v>
      </c>
      <c r="L947">
        <f>IF(Table1346[[#This Row],[Churn]]="Yes",1,0)</f>
        <v>0</v>
      </c>
    </row>
    <row r="948" spans="1:12" x14ac:dyDescent="0.35">
      <c r="A948" t="s">
        <v>970</v>
      </c>
      <c r="B948" t="s">
        <v>11</v>
      </c>
      <c r="C948">
        <v>31</v>
      </c>
      <c r="D948">
        <v>4</v>
      </c>
      <c r="E948" t="s">
        <v>12</v>
      </c>
      <c r="F948" t="s">
        <v>13</v>
      </c>
      <c r="G948" t="s">
        <v>14</v>
      </c>
      <c r="H948">
        <v>133.44</v>
      </c>
      <c r="I948">
        <v>480.9</v>
      </c>
      <c r="J948" t="s">
        <v>27</v>
      </c>
      <c r="K948" t="str">
        <f>IF(D948&lt;=12,"0-12 Months",IF(D948&lt;=24,"13-24 Months",IF(D948&lt;=48,"25-48 Months","49+ Months")))</f>
        <v>0-12 Months</v>
      </c>
      <c r="L948">
        <f>IF(Table1346[[#This Row],[Churn]]="Yes",1,0)</f>
        <v>1</v>
      </c>
    </row>
    <row r="949" spans="1:12" x14ac:dyDescent="0.35">
      <c r="A949" t="s">
        <v>971</v>
      </c>
      <c r="B949" t="s">
        <v>17</v>
      </c>
      <c r="C949">
        <v>47</v>
      </c>
      <c r="D949">
        <v>24</v>
      </c>
      <c r="E949" t="s">
        <v>21</v>
      </c>
      <c r="F949" t="s">
        <v>13</v>
      </c>
      <c r="G949" t="s">
        <v>14</v>
      </c>
      <c r="H949">
        <v>31.32</v>
      </c>
      <c r="I949">
        <v>738.55</v>
      </c>
      <c r="J949" t="s">
        <v>15</v>
      </c>
      <c r="K949" t="str">
        <f>IF(D949&lt;=12,"0-12 Months",IF(D949&lt;=24,"13-24 Months",IF(D949&lt;=48,"25-48 Months","49+ Months")))</f>
        <v>13-24 Months</v>
      </c>
      <c r="L949">
        <f>IF(Table1346[[#This Row],[Churn]]="Yes",1,0)</f>
        <v>0</v>
      </c>
    </row>
    <row r="950" spans="1:12" x14ac:dyDescent="0.35">
      <c r="A950" t="s">
        <v>972</v>
      </c>
      <c r="B950" t="s">
        <v>17</v>
      </c>
      <c r="C950">
        <v>67</v>
      </c>
      <c r="D950">
        <v>34</v>
      </c>
      <c r="E950" t="s">
        <v>12</v>
      </c>
      <c r="F950" t="s">
        <v>29</v>
      </c>
      <c r="G950" t="s">
        <v>23</v>
      </c>
      <c r="H950">
        <v>83.36</v>
      </c>
      <c r="I950">
        <v>2607.7600000000002</v>
      </c>
      <c r="J950" t="s">
        <v>15</v>
      </c>
      <c r="K950" t="str">
        <f>IF(D950&lt;=12,"0-12 Months",IF(D950&lt;=24,"13-24 Months",IF(D950&lt;=48,"25-48 Months","49+ Months")))</f>
        <v>25-48 Months</v>
      </c>
      <c r="L950">
        <f>IF(Table1346[[#This Row],[Churn]]="Yes",1,0)</f>
        <v>0</v>
      </c>
    </row>
    <row r="951" spans="1:12" x14ac:dyDescent="0.35">
      <c r="A951" t="s">
        <v>973</v>
      </c>
      <c r="B951" t="s">
        <v>11</v>
      </c>
      <c r="C951">
        <v>21</v>
      </c>
      <c r="D951">
        <v>30</v>
      </c>
      <c r="E951" t="s">
        <v>12</v>
      </c>
      <c r="F951" t="s">
        <v>29</v>
      </c>
      <c r="G951" t="s">
        <v>19</v>
      </c>
      <c r="H951">
        <v>109.88</v>
      </c>
      <c r="I951">
        <v>3302.44</v>
      </c>
      <c r="J951" t="s">
        <v>15</v>
      </c>
      <c r="K951" t="str">
        <f>IF(D951&lt;=12,"0-12 Months",IF(D951&lt;=24,"13-24 Months",IF(D951&lt;=48,"25-48 Months","49+ Months")))</f>
        <v>25-48 Months</v>
      </c>
      <c r="L951">
        <f>IF(Table1346[[#This Row],[Churn]]="Yes",1,0)</f>
        <v>0</v>
      </c>
    </row>
    <row r="952" spans="1:12" x14ac:dyDescent="0.35">
      <c r="A952" t="s">
        <v>974</v>
      </c>
      <c r="B952" t="s">
        <v>11</v>
      </c>
      <c r="C952">
        <v>35</v>
      </c>
      <c r="D952">
        <v>19</v>
      </c>
      <c r="E952" t="s">
        <v>12</v>
      </c>
      <c r="F952" t="s">
        <v>29</v>
      </c>
      <c r="G952" t="s">
        <v>14</v>
      </c>
      <c r="H952">
        <v>54.03</v>
      </c>
      <c r="I952">
        <v>928.98</v>
      </c>
      <c r="J952" t="s">
        <v>15</v>
      </c>
      <c r="K952" t="str">
        <f>IF(D952&lt;=12,"0-12 Months",IF(D952&lt;=24,"13-24 Months",IF(D952&lt;=48,"25-48 Months","49+ Months")))</f>
        <v>13-24 Months</v>
      </c>
      <c r="L952">
        <f>IF(Table1346[[#This Row],[Churn]]="Yes",1,0)</f>
        <v>0</v>
      </c>
    </row>
    <row r="953" spans="1:12" x14ac:dyDescent="0.35">
      <c r="A953" t="s">
        <v>975</v>
      </c>
      <c r="B953" t="s">
        <v>17</v>
      </c>
      <c r="C953">
        <v>54</v>
      </c>
      <c r="D953">
        <v>31</v>
      </c>
      <c r="E953" t="s">
        <v>12</v>
      </c>
      <c r="F953" t="s">
        <v>33</v>
      </c>
      <c r="G953" t="s">
        <v>23</v>
      </c>
      <c r="H953">
        <v>101.15</v>
      </c>
      <c r="I953">
        <v>3077.26</v>
      </c>
      <c r="J953" t="s">
        <v>27</v>
      </c>
      <c r="K953" t="str">
        <f>IF(D953&lt;=12,"0-12 Months",IF(D953&lt;=24,"13-24 Months",IF(D953&lt;=48,"25-48 Months","49+ Months")))</f>
        <v>25-48 Months</v>
      </c>
      <c r="L953">
        <f>IF(Table1346[[#This Row],[Churn]]="Yes",1,0)</f>
        <v>1</v>
      </c>
    </row>
    <row r="954" spans="1:12" x14ac:dyDescent="0.35">
      <c r="A954" t="s">
        <v>976</v>
      </c>
      <c r="B954" t="s">
        <v>11</v>
      </c>
      <c r="C954">
        <v>42</v>
      </c>
      <c r="D954">
        <v>60</v>
      </c>
      <c r="E954" t="s">
        <v>21</v>
      </c>
      <c r="F954" t="s">
        <v>13</v>
      </c>
      <c r="G954" t="s">
        <v>14</v>
      </c>
      <c r="H954">
        <v>127.82</v>
      </c>
      <c r="I954">
        <v>7240.8</v>
      </c>
      <c r="J954" t="s">
        <v>27</v>
      </c>
      <c r="K954" t="str">
        <f>IF(D954&lt;=12,"0-12 Months",IF(D954&lt;=24,"13-24 Months",IF(D954&lt;=48,"25-48 Months","49+ Months")))</f>
        <v>49+ Months</v>
      </c>
      <c r="L954">
        <f>IF(Table1346[[#This Row],[Churn]]="Yes",1,0)</f>
        <v>1</v>
      </c>
    </row>
    <row r="955" spans="1:12" x14ac:dyDescent="0.35">
      <c r="A955" t="s">
        <v>977</v>
      </c>
      <c r="B955" t="s">
        <v>17</v>
      </c>
      <c r="C955">
        <v>65</v>
      </c>
      <c r="D955">
        <v>60</v>
      </c>
      <c r="E955" t="s">
        <v>12</v>
      </c>
      <c r="F955" t="s">
        <v>13</v>
      </c>
      <c r="G955" t="s">
        <v>23</v>
      </c>
      <c r="H955">
        <v>44.74</v>
      </c>
      <c r="I955">
        <v>2702.28</v>
      </c>
      <c r="J955" t="s">
        <v>15</v>
      </c>
      <c r="K955" t="str">
        <f>IF(D955&lt;=12,"0-12 Months",IF(D955&lt;=24,"13-24 Months",IF(D955&lt;=48,"25-48 Months","49+ Months")))</f>
        <v>49+ Months</v>
      </c>
      <c r="L955">
        <f>IF(Table1346[[#This Row],[Churn]]="Yes",1,0)</f>
        <v>0</v>
      </c>
    </row>
    <row r="956" spans="1:12" x14ac:dyDescent="0.35">
      <c r="A956" t="s">
        <v>978</v>
      </c>
      <c r="B956" t="s">
        <v>11</v>
      </c>
      <c r="C956">
        <v>18</v>
      </c>
      <c r="D956">
        <v>19</v>
      </c>
      <c r="E956" t="s">
        <v>12</v>
      </c>
      <c r="F956" t="s">
        <v>33</v>
      </c>
      <c r="G956" t="s">
        <v>19</v>
      </c>
      <c r="H956">
        <v>139.24</v>
      </c>
      <c r="I956">
        <v>2908</v>
      </c>
      <c r="J956" t="s">
        <v>27</v>
      </c>
      <c r="K956" t="str">
        <f>IF(D956&lt;=12,"0-12 Months",IF(D956&lt;=24,"13-24 Months",IF(D956&lt;=48,"25-48 Months","49+ Months")))</f>
        <v>13-24 Months</v>
      </c>
      <c r="L956">
        <f>IF(Table1346[[#This Row],[Churn]]="Yes",1,0)</f>
        <v>1</v>
      </c>
    </row>
    <row r="957" spans="1:12" x14ac:dyDescent="0.35">
      <c r="A957" t="s">
        <v>979</v>
      </c>
      <c r="B957" t="s">
        <v>11</v>
      </c>
      <c r="C957">
        <v>70</v>
      </c>
      <c r="D957">
        <v>49</v>
      </c>
      <c r="E957" t="s">
        <v>12</v>
      </c>
      <c r="F957" t="s">
        <v>22</v>
      </c>
      <c r="G957" t="s">
        <v>23</v>
      </c>
      <c r="H957">
        <v>91.96</v>
      </c>
      <c r="I957">
        <v>4776.8900000000003</v>
      </c>
      <c r="J957" t="s">
        <v>15</v>
      </c>
      <c r="K957" t="str">
        <f>IF(D957&lt;=12,"0-12 Months",IF(D957&lt;=24,"13-24 Months",IF(D957&lt;=48,"25-48 Months","49+ Months")))</f>
        <v>49+ Months</v>
      </c>
      <c r="L957">
        <f>IF(Table1346[[#This Row],[Churn]]="Yes",1,0)</f>
        <v>0</v>
      </c>
    </row>
    <row r="958" spans="1:12" x14ac:dyDescent="0.35">
      <c r="A958" t="s">
        <v>980</v>
      </c>
      <c r="B958" t="s">
        <v>17</v>
      </c>
      <c r="C958">
        <v>63</v>
      </c>
      <c r="D958">
        <v>63</v>
      </c>
      <c r="E958" t="s">
        <v>12</v>
      </c>
      <c r="F958" t="s">
        <v>29</v>
      </c>
      <c r="G958" t="s">
        <v>23</v>
      </c>
      <c r="H958">
        <v>58.9</v>
      </c>
      <c r="I958">
        <v>3967.21</v>
      </c>
      <c r="J958" t="s">
        <v>15</v>
      </c>
      <c r="K958" t="str">
        <f>IF(D958&lt;=12,"0-12 Months",IF(D958&lt;=24,"13-24 Months",IF(D958&lt;=48,"25-48 Months","49+ Months")))</f>
        <v>49+ Months</v>
      </c>
      <c r="L958">
        <f>IF(Table1346[[#This Row],[Churn]]="Yes",1,0)</f>
        <v>0</v>
      </c>
    </row>
    <row r="959" spans="1:12" x14ac:dyDescent="0.35">
      <c r="A959" t="s">
        <v>981</v>
      </c>
      <c r="B959" t="s">
        <v>11</v>
      </c>
      <c r="C959">
        <v>32</v>
      </c>
      <c r="D959">
        <v>22</v>
      </c>
      <c r="E959" t="s">
        <v>21</v>
      </c>
      <c r="F959" t="s">
        <v>13</v>
      </c>
      <c r="G959" t="s">
        <v>14</v>
      </c>
      <c r="H959">
        <v>76.010000000000005</v>
      </c>
      <c r="I959">
        <v>1717.46</v>
      </c>
      <c r="J959" t="s">
        <v>15</v>
      </c>
      <c r="K959" t="str">
        <f>IF(D959&lt;=12,"0-12 Months",IF(D959&lt;=24,"13-24 Months",IF(D959&lt;=48,"25-48 Months","49+ Months")))</f>
        <v>13-24 Months</v>
      </c>
      <c r="L959">
        <f>IF(Table1346[[#This Row],[Churn]]="Yes",1,0)</f>
        <v>0</v>
      </c>
    </row>
    <row r="960" spans="1:12" x14ac:dyDescent="0.35">
      <c r="A960" t="s">
        <v>982</v>
      </c>
      <c r="B960" t="s">
        <v>17</v>
      </c>
      <c r="C960">
        <v>26</v>
      </c>
      <c r="D960">
        <v>24</v>
      </c>
      <c r="E960" t="s">
        <v>12</v>
      </c>
      <c r="F960" t="s">
        <v>13</v>
      </c>
      <c r="G960" t="s">
        <v>19</v>
      </c>
      <c r="H960">
        <v>60.58</v>
      </c>
      <c r="I960">
        <v>1320.61</v>
      </c>
      <c r="J960" t="s">
        <v>15</v>
      </c>
      <c r="K960" t="str">
        <f>IF(D960&lt;=12,"0-12 Months",IF(D960&lt;=24,"13-24 Months",IF(D960&lt;=48,"25-48 Months","49+ Months")))</f>
        <v>13-24 Months</v>
      </c>
      <c r="L960">
        <f>IF(Table1346[[#This Row],[Churn]]="Yes",1,0)</f>
        <v>0</v>
      </c>
    </row>
    <row r="961" spans="1:12" x14ac:dyDescent="0.35">
      <c r="A961" t="s">
        <v>983</v>
      </c>
      <c r="B961" t="s">
        <v>11</v>
      </c>
      <c r="C961">
        <v>32</v>
      </c>
      <c r="D961">
        <v>30</v>
      </c>
      <c r="E961" t="s">
        <v>12</v>
      </c>
      <c r="F961" t="s">
        <v>22</v>
      </c>
      <c r="G961" t="s">
        <v>14</v>
      </c>
      <c r="H961">
        <v>114.26</v>
      </c>
      <c r="I961">
        <v>3226.79</v>
      </c>
      <c r="J961" t="s">
        <v>15</v>
      </c>
      <c r="K961" t="str">
        <f>IF(D961&lt;=12,"0-12 Months",IF(D961&lt;=24,"13-24 Months",IF(D961&lt;=48,"25-48 Months","49+ Months")))</f>
        <v>25-48 Months</v>
      </c>
      <c r="L961">
        <f>IF(Table1346[[#This Row],[Churn]]="Yes",1,0)</f>
        <v>0</v>
      </c>
    </row>
    <row r="962" spans="1:12" x14ac:dyDescent="0.35">
      <c r="A962" t="s">
        <v>984</v>
      </c>
      <c r="B962" t="s">
        <v>11</v>
      </c>
      <c r="C962">
        <v>66</v>
      </c>
      <c r="D962">
        <v>58</v>
      </c>
      <c r="E962" t="s">
        <v>18</v>
      </c>
      <c r="F962" t="s">
        <v>22</v>
      </c>
      <c r="G962" t="s">
        <v>23</v>
      </c>
      <c r="H962">
        <v>123.52</v>
      </c>
      <c r="I962">
        <v>7773.21</v>
      </c>
      <c r="J962" t="s">
        <v>15</v>
      </c>
      <c r="K962" t="str">
        <f>IF(D962&lt;=12,"0-12 Months",IF(D962&lt;=24,"13-24 Months",IF(D962&lt;=48,"25-48 Months","49+ Months")))</f>
        <v>49+ Months</v>
      </c>
      <c r="L962">
        <f>IF(Table1346[[#This Row],[Churn]]="Yes",1,0)</f>
        <v>0</v>
      </c>
    </row>
    <row r="963" spans="1:12" x14ac:dyDescent="0.35">
      <c r="A963" t="s">
        <v>985</v>
      </c>
      <c r="B963" t="s">
        <v>11</v>
      </c>
      <c r="C963">
        <v>41</v>
      </c>
      <c r="D963">
        <v>31</v>
      </c>
      <c r="E963" t="s">
        <v>21</v>
      </c>
      <c r="F963" t="s">
        <v>22</v>
      </c>
      <c r="G963" t="s">
        <v>14</v>
      </c>
      <c r="H963">
        <v>128.28</v>
      </c>
      <c r="I963">
        <v>3870.19</v>
      </c>
      <c r="J963" t="s">
        <v>27</v>
      </c>
      <c r="K963" t="str">
        <f>IF(D963&lt;=12,"0-12 Months",IF(D963&lt;=24,"13-24 Months",IF(D963&lt;=48,"25-48 Months","49+ Months")))</f>
        <v>25-48 Months</v>
      </c>
      <c r="L963">
        <f>IF(Table1346[[#This Row],[Churn]]="Yes",1,0)</f>
        <v>1</v>
      </c>
    </row>
    <row r="964" spans="1:12" x14ac:dyDescent="0.35">
      <c r="A964" t="s">
        <v>986</v>
      </c>
      <c r="B964" t="s">
        <v>17</v>
      </c>
      <c r="C964">
        <v>21</v>
      </c>
      <c r="D964">
        <v>64</v>
      </c>
      <c r="E964" t="s">
        <v>12</v>
      </c>
      <c r="F964" t="s">
        <v>29</v>
      </c>
      <c r="G964" t="s">
        <v>19</v>
      </c>
      <c r="H964">
        <v>148.15</v>
      </c>
      <c r="I964">
        <v>8729.9699999999993</v>
      </c>
      <c r="J964" t="s">
        <v>27</v>
      </c>
      <c r="K964" t="str">
        <f>IF(D964&lt;=12,"0-12 Months",IF(D964&lt;=24,"13-24 Months",IF(D964&lt;=48,"25-48 Months","49+ Months")))</f>
        <v>49+ Months</v>
      </c>
      <c r="L964">
        <f>IF(Table1346[[#This Row],[Churn]]="Yes",1,0)</f>
        <v>1</v>
      </c>
    </row>
    <row r="965" spans="1:12" x14ac:dyDescent="0.35">
      <c r="A965" t="s">
        <v>987</v>
      </c>
      <c r="B965" t="s">
        <v>11</v>
      </c>
      <c r="C965">
        <v>29</v>
      </c>
      <c r="D965">
        <v>19</v>
      </c>
      <c r="E965" t="s">
        <v>21</v>
      </c>
      <c r="F965" t="s">
        <v>33</v>
      </c>
      <c r="G965" t="s">
        <v>19</v>
      </c>
      <c r="H965">
        <v>122.87</v>
      </c>
      <c r="I965">
        <v>2429.0300000000002</v>
      </c>
      <c r="J965" t="s">
        <v>15</v>
      </c>
      <c r="K965" t="str">
        <f>IF(D965&lt;=12,"0-12 Months",IF(D965&lt;=24,"13-24 Months",IF(D965&lt;=48,"25-48 Months","49+ Months")))</f>
        <v>13-24 Months</v>
      </c>
      <c r="L965">
        <f>IF(Table1346[[#This Row],[Churn]]="Yes",1,0)</f>
        <v>0</v>
      </c>
    </row>
    <row r="966" spans="1:12" x14ac:dyDescent="0.35">
      <c r="A966" t="s">
        <v>988</v>
      </c>
      <c r="B966" t="s">
        <v>11</v>
      </c>
      <c r="C966">
        <v>54</v>
      </c>
      <c r="D966">
        <v>48</v>
      </c>
      <c r="E966" t="s">
        <v>21</v>
      </c>
      <c r="F966" t="s">
        <v>29</v>
      </c>
      <c r="G966" t="s">
        <v>23</v>
      </c>
      <c r="H966">
        <v>98.18</v>
      </c>
      <c r="I966">
        <v>4523.62</v>
      </c>
      <c r="J966" t="s">
        <v>15</v>
      </c>
      <c r="K966" t="str">
        <f>IF(D966&lt;=12,"0-12 Months",IF(D966&lt;=24,"13-24 Months",IF(D966&lt;=48,"25-48 Months","49+ Months")))</f>
        <v>25-48 Months</v>
      </c>
      <c r="L966">
        <f>IF(Table1346[[#This Row],[Churn]]="Yes",1,0)</f>
        <v>0</v>
      </c>
    </row>
    <row r="967" spans="1:12" x14ac:dyDescent="0.35">
      <c r="A967" t="s">
        <v>989</v>
      </c>
      <c r="B967" t="s">
        <v>11</v>
      </c>
      <c r="C967">
        <v>54</v>
      </c>
      <c r="D967">
        <v>45</v>
      </c>
      <c r="E967" t="s">
        <v>21</v>
      </c>
      <c r="F967" t="s">
        <v>29</v>
      </c>
      <c r="G967" t="s">
        <v>23</v>
      </c>
      <c r="H967">
        <v>64.099999999999994</v>
      </c>
      <c r="I967">
        <v>2751.15</v>
      </c>
      <c r="J967" t="s">
        <v>27</v>
      </c>
      <c r="K967" t="str">
        <f>IF(D967&lt;=12,"0-12 Months",IF(D967&lt;=24,"13-24 Months",IF(D967&lt;=48,"25-48 Months","49+ Months")))</f>
        <v>25-48 Months</v>
      </c>
      <c r="L967">
        <f>IF(Table1346[[#This Row],[Churn]]="Yes",1,0)</f>
        <v>1</v>
      </c>
    </row>
    <row r="968" spans="1:12" x14ac:dyDescent="0.35">
      <c r="A968" t="s">
        <v>990</v>
      </c>
      <c r="B968" t="s">
        <v>11</v>
      </c>
      <c r="C968">
        <v>60</v>
      </c>
      <c r="D968">
        <v>55</v>
      </c>
      <c r="E968" t="s">
        <v>12</v>
      </c>
      <c r="F968" t="s">
        <v>29</v>
      </c>
      <c r="G968" t="s">
        <v>23</v>
      </c>
      <c r="H968">
        <v>90.8</v>
      </c>
      <c r="I968">
        <v>5491.38</v>
      </c>
      <c r="J968" t="s">
        <v>15</v>
      </c>
      <c r="K968" t="str">
        <f>IF(D968&lt;=12,"0-12 Months",IF(D968&lt;=24,"13-24 Months",IF(D968&lt;=48,"25-48 Months","49+ Months")))</f>
        <v>49+ Months</v>
      </c>
      <c r="L968">
        <f>IF(Table1346[[#This Row],[Churn]]="Yes",1,0)</f>
        <v>0</v>
      </c>
    </row>
    <row r="969" spans="1:12" x14ac:dyDescent="0.35">
      <c r="A969" t="s">
        <v>991</v>
      </c>
      <c r="B969" t="s">
        <v>17</v>
      </c>
      <c r="C969">
        <v>23</v>
      </c>
      <c r="D969">
        <v>55</v>
      </c>
      <c r="E969" t="s">
        <v>18</v>
      </c>
      <c r="F969" t="s">
        <v>29</v>
      </c>
      <c r="G969" t="s">
        <v>19</v>
      </c>
      <c r="H969">
        <v>25.34</v>
      </c>
      <c r="I969">
        <v>1493.53</v>
      </c>
      <c r="J969" t="s">
        <v>15</v>
      </c>
      <c r="K969" t="str">
        <f>IF(D969&lt;=12,"0-12 Months",IF(D969&lt;=24,"13-24 Months",IF(D969&lt;=48,"25-48 Months","49+ Months")))</f>
        <v>49+ Months</v>
      </c>
      <c r="L969">
        <f>IF(Table1346[[#This Row],[Churn]]="Yes",1,0)</f>
        <v>0</v>
      </c>
    </row>
    <row r="970" spans="1:12" x14ac:dyDescent="0.35">
      <c r="A970" t="s">
        <v>992</v>
      </c>
      <c r="B970" t="s">
        <v>17</v>
      </c>
      <c r="C970">
        <v>56</v>
      </c>
      <c r="D970">
        <v>18</v>
      </c>
      <c r="E970" t="s">
        <v>12</v>
      </c>
      <c r="F970" t="s">
        <v>29</v>
      </c>
      <c r="G970" t="s">
        <v>23</v>
      </c>
      <c r="H970">
        <v>116.83</v>
      </c>
      <c r="I970">
        <v>2064.2199999999998</v>
      </c>
      <c r="J970" t="s">
        <v>15</v>
      </c>
      <c r="K970" t="str">
        <f>IF(D970&lt;=12,"0-12 Months",IF(D970&lt;=24,"13-24 Months",IF(D970&lt;=48,"25-48 Months","49+ Months")))</f>
        <v>13-24 Months</v>
      </c>
      <c r="L970">
        <f>IF(Table1346[[#This Row],[Churn]]="Yes",1,0)</f>
        <v>0</v>
      </c>
    </row>
    <row r="971" spans="1:12" x14ac:dyDescent="0.35">
      <c r="A971" t="s">
        <v>993</v>
      </c>
      <c r="B971" t="s">
        <v>11</v>
      </c>
      <c r="C971">
        <v>63</v>
      </c>
      <c r="D971">
        <v>63</v>
      </c>
      <c r="E971" t="s">
        <v>12</v>
      </c>
      <c r="F971" t="s">
        <v>33</v>
      </c>
      <c r="G971" t="s">
        <v>23</v>
      </c>
      <c r="H971">
        <v>77.97</v>
      </c>
      <c r="I971">
        <v>5383.93</v>
      </c>
      <c r="J971" t="s">
        <v>27</v>
      </c>
      <c r="K971" t="str">
        <f>IF(D971&lt;=12,"0-12 Months",IF(D971&lt;=24,"13-24 Months",IF(D971&lt;=48,"25-48 Months","49+ Months")))</f>
        <v>49+ Months</v>
      </c>
      <c r="L971">
        <f>IF(Table1346[[#This Row],[Churn]]="Yes",1,0)</f>
        <v>1</v>
      </c>
    </row>
    <row r="972" spans="1:12" x14ac:dyDescent="0.35">
      <c r="A972" t="s">
        <v>994</v>
      </c>
      <c r="B972" t="s">
        <v>17</v>
      </c>
      <c r="C972">
        <v>41</v>
      </c>
      <c r="D972">
        <v>47</v>
      </c>
      <c r="E972" t="s">
        <v>12</v>
      </c>
      <c r="F972" t="s">
        <v>33</v>
      </c>
      <c r="G972" t="s">
        <v>14</v>
      </c>
      <c r="H972">
        <v>22.6</v>
      </c>
      <c r="I972">
        <v>1094.0899999999999</v>
      </c>
      <c r="J972" t="s">
        <v>15</v>
      </c>
      <c r="K972" t="str">
        <f>IF(D972&lt;=12,"0-12 Months",IF(D972&lt;=24,"13-24 Months",IF(D972&lt;=48,"25-48 Months","49+ Months")))</f>
        <v>25-48 Months</v>
      </c>
      <c r="L972">
        <f>IF(Table1346[[#This Row],[Churn]]="Yes",1,0)</f>
        <v>0</v>
      </c>
    </row>
    <row r="973" spans="1:12" x14ac:dyDescent="0.35">
      <c r="A973" t="s">
        <v>995</v>
      </c>
      <c r="B973" t="s">
        <v>11</v>
      </c>
      <c r="C973">
        <v>28</v>
      </c>
      <c r="D973">
        <v>57</v>
      </c>
      <c r="E973" t="s">
        <v>12</v>
      </c>
      <c r="F973" t="s">
        <v>29</v>
      </c>
      <c r="G973" t="s">
        <v>19</v>
      </c>
      <c r="H973">
        <v>28.13</v>
      </c>
      <c r="I973">
        <v>1681.02</v>
      </c>
      <c r="J973" t="s">
        <v>27</v>
      </c>
      <c r="K973" t="str">
        <f>IF(D973&lt;=12,"0-12 Months",IF(D973&lt;=24,"13-24 Months",IF(D973&lt;=48,"25-48 Months","49+ Months")))</f>
        <v>49+ Months</v>
      </c>
      <c r="L973">
        <f>IF(Table1346[[#This Row],[Churn]]="Yes",1,0)</f>
        <v>1</v>
      </c>
    </row>
    <row r="974" spans="1:12" x14ac:dyDescent="0.35">
      <c r="A974" t="s">
        <v>996</v>
      </c>
      <c r="B974" t="s">
        <v>11</v>
      </c>
      <c r="C974">
        <v>30</v>
      </c>
      <c r="D974">
        <v>45</v>
      </c>
      <c r="E974" t="s">
        <v>18</v>
      </c>
      <c r="F974" t="s">
        <v>29</v>
      </c>
      <c r="G974" t="s">
        <v>14</v>
      </c>
      <c r="H974">
        <v>70.37</v>
      </c>
      <c r="I974">
        <v>2869.94</v>
      </c>
      <c r="J974" t="s">
        <v>15</v>
      </c>
      <c r="K974" t="str">
        <f>IF(D974&lt;=12,"0-12 Months",IF(D974&lt;=24,"13-24 Months",IF(D974&lt;=48,"25-48 Months","49+ Months")))</f>
        <v>25-48 Months</v>
      </c>
      <c r="L974">
        <f>IF(Table1346[[#This Row],[Churn]]="Yes",1,0)</f>
        <v>0</v>
      </c>
    </row>
    <row r="975" spans="1:12" x14ac:dyDescent="0.35">
      <c r="A975" t="s">
        <v>997</v>
      </c>
      <c r="B975" t="s">
        <v>11</v>
      </c>
      <c r="C975">
        <v>51</v>
      </c>
      <c r="D975">
        <v>33</v>
      </c>
      <c r="E975" t="s">
        <v>12</v>
      </c>
      <c r="F975" t="s">
        <v>29</v>
      </c>
      <c r="G975" t="s">
        <v>23</v>
      </c>
      <c r="H975">
        <v>95.84</v>
      </c>
      <c r="I975">
        <v>2923.37</v>
      </c>
      <c r="J975" t="s">
        <v>15</v>
      </c>
      <c r="K975" t="str">
        <f>IF(D975&lt;=12,"0-12 Months",IF(D975&lt;=24,"13-24 Months",IF(D975&lt;=48,"25-48 Months","49+ Months")))</f>
        <v>25-48 Months</v>
      </c>
      <c r="L975">
        <f>IF(Table1346[[#This Row],[Churn]]="Yes",1,0)</f>
        <v>0</v>
      </c>
    </row>
    <row r="976" spans="1:12" x14ac:dyDescent="0.35">
      <c r="A976" t="s">
        <v>998</v>
      </c>
      <c r="B976" t="s">
        <v>17</v>
      </c>
      <c r="C976">
        <v>42</v>
      </c>
      <c r="D976">
        <v>17</v>
      </c>
      <c r="E976" t="s">
        <v>12</v>
      </c>
      <c r="F976" t="s">
        <v>29</v>
      </c>
      <c r="G976" t="s">
        <v>14</v>
      </c>
      <c r="H976">
        <v>80.349999999999994</v>
      </c>
      <c r="I976">
        <v>1402.31</v>
      </c>
      <c r="J976" t="s">
        <v>15</v>
      </c>
      <c r="K976" t="str">
        <f>IF(D976&lt;=12,"0-12 Months",IF(D976&lt;=24,"13-24 Months",IF(D976&lt;=48,"25-48 Months","49+ Months")))</f>
        <v>13-24 Months</v>
      </c>
      <c r="L976">
        <f>IF(Table1346[[#This Row],[Churn]]="Yes",1,0)</f>
        <v>0</v>
      </c>
    </row>
    <row r="977" spans="1:12" x14ac:dyDescent="0.35">
      <c r="A977" t="s">
        <v>999</v>
      </c>
      <c r="B977" t="s">
        <v>17</v>
      </c>
      <c r="C977">
        <v>24</v>
      </c>
      <c r="D977">
        <v>70</v>
      </c>
      <c r="E977" t="s">
        <v>18</v>
      </c>
      <c r="F977" t="s">
        <v>29</v>
      </c>
      <c r="G977" t="s">
        <v>19</v>
      </c>
      <c r="H977">
        <v>100.5</v>
      </c>
      <c r="I977">
        <v>7596.43</v>
      </c>
      <c r="J977" t="s">
        <v>15</v>
      </c>
      <c r="K977" t="str">
        <f>IF(D977&lt;=12,"0-12 Months",IF(D977&lt;=24,"13-24 Months",IF(D977&lt;=48,"25-48 Months","49+ Months")))</f>
        <v>49+ Months</v>
      </c>
      <c r="L977">
        <f>IF(Table1346[[#This Row],[Churn]]="Yes",1,0)</f>
        <v>0</v>
      </c>
    </row>
    <row r="978" spans="1:12" x14ac:dyDescent="0.35">
      <c r="A978" t="s">
        <v>1000</v>
      </c>
      <c r="B978" t="s">
        <v>17</v>
      </c>
      <c r="C978">
        <v>69</v>
      </c>
      <c r="D978">
        <v>4</v>
      </c>
      <c r="E978" t="s">
        <v>12</v>
      </c>
      <c r="F978" t="s">
        <v>33</v>
      </c>
      <c r="G978" t="s">
        <v>23</v>
      </c>
      <c r="H978">
        <v>82.44</v>
      </c>
      <c r="I978">
        <v>337.92</v>
      </c>
      <c r="J978" t="s">
        <v>27</v>
      </c>
      <c r="K978" t="str">
        <f>IF(D978&lt;=12,"0-12 Months",IF(D978&lt;=24,"13-24 Months",IF(D978&lt;=48,"25-48 Months","49+ Months")))</f>
        <v>0-12 Months</v>
      </c>
      <c r="L978">
        <f>IF(Table1346[[#This Row],[Churn]]="Yes",1,0)</f>
        <v>1</v>
      </c>
    </row>
    <row r="979" spans="1:12" x14ac:dyDescent="0.35">
      <c r="A979" t="s">
        <v>1001</v>
      </c>
      <c r="B979" t="s">
        <v>17</v>
      </c>
      <c r="C979">
        <v>21</v>
      </c>
      <c r="D979">
        <v>20</v>
      </c>
      <c r="E979" t="s">
        <v>12</v>
      </c>
      <c r="F979" t="s">
        <v>29</v>
      </c>
      <c r="G979" t="s">
        <v>19</v>
      </c>
      <c r="H979">
        <v>106.02</v>
      </c>
      <c r="I979">
        <v>1965.2</v>
      </c>
      <c r="J979" t="s">
        <v>27</v>
      </c>
      <c r="K979" t="str">
        <f>IF(D979&lt;=12,"0-12 Months",IF(D979&lt;=24,"13-24 Months",IF(D979&lt;=48,"25-48 Months","49+ Months")))</f>
        <v>13-24 Months</v>
      </c>
      <c r="L979">
        <f>IF(Table1346[[#This Row],[Churn]]="Yes",1,0)</f>
        <v>1</v>
      </c>
    </row>
    <row r="980" spans="1:12" x14ac:dyDescent="0.35">
      <c r="A980" t="s">
        <v>1002</v>
      </c>
      <c r="B980" t="s">
        <v>17</v>
      </c>
      <c r="C980">
        <v>25</v>
      </c>
      <c r="D980">
        <v>47</v>
      </c>
      <c r="E980" t="s">
        <v>12</v>
      </c>
      <c r="F980" t="s">
        <v>13</v>
      </c>
      <c r="G980" t="s">
        <v>19</v>
      </c>
      <c r="H980">
        <v>48.49</v>
      </c>
      <c r="I980">
        <v>2103.89</v>
      </c>
      <c r="J980" t="s">
        <v>15</v>
      </c>
      <c r="K980" t="str">
        <f>IF(D980&lt;=12,"0-12 Months",IF(D980&lt;=24,"13-24 Months",IF(D980&lt;=48,"25-48 Months","49+ Months")))</f>
        <v>25-48 Months</v>
      </c>
      <c r="L980">
        <f>IF(Table1346[[#This Row],[Churn]]="Yes",1,0)</f>
        <v>0</v>
      </c>
    </row>
    <row r="981" spans="1:12" x14ac:dyDescent="0.35">
      <c r="A981" t="s">
        <v>1003</v>
      </c>
      <c r="B981" t="s">
        <v>17</v>
      </c>
      <c r="C981">
        <v>37</v>
      </c>
      <c r="D981">
        <v>15</v>
      </c>
      <c r="E981" t="s">
        <v>12</v>
      </c>
      <c r="F981" t="s">
        <v>29</v>
      </c>
      <c r="G981" t="s">
        <v>14</v>
      </c>
      <c r="H981">
        <v>34.67</v>
      </c>
      <c r="I981">
        <v>555.85</v>
      </c>
      <c r="J981" t="s">
        <v>27</v>
      </c>
      <c r="K981" t="str">
        <f>IF(D981&lt;=12,"0-12 Months",IF(D981&lt;=24,"13-24 Months",IF(D981&lt;=48,"25-48 Months","49+ Months")))</f>
        <v>13-24 Months</v>
      </c>
      <c r="L981">
        <f>IF(Table1346[[#This Row],[Churn]]="Yes",1,0)</f>
        <v>1</v>
      </c>
    </row>
    <row r="982" spans="1:12" x14ac:dyDescent="0.35">
      <c r="A982" t="s">
        <v>1004</v>
      </c>
      <c r="B982" t="s">
        <v>17</v>
      </c>
      <c r="C982">
        <v>46</v>
      </c>
      <c r="D982">
        <v>70</v>
      </c>
      <c r="E982" t="s">
        <v>12</v>
      </c>
      <c r="F982" t="s">
        <v>33</v>
      </c>
      <c r="G982" t="s">
        <v>14</v>
      </c>
      <c r="H982">
        <v>97.54</v>
      </c>
      <c r="I982">
        <v>6335.25</v>
      </c>
      <c r="J982" t="s">
        <v>15</v>
      </c>
      <c r="K982" t="str">
        <f>IF(D982&lt;=12,"0-12 Months",IF(D982&lt;=24,"13-24 Months",IF(D982&lt;=48,"25-48 Months","49+ Months")))</f>
        <v>49+ Months</v>
      </c>
      <c r="L982">
        <f>IF(Table1346[[#This Row],[Churn]]="Yes",1,0)</f>
        <v>0</v>
      </c>
    </row>
    <row r="983" spans="1:12" x14ac:dyDescent="0.35">
      <c r="A983" t="s">
        <v>1005</v>
      </c>
      <c r="B983" t="s">
        <v>17</v>
      </c>
      <c r="C983">
        <v>70</v>
      </c>
      <c r="D983">
        <v>47</v>
      </c>
      <c r="E983" t="s">
        <v>21</v>
      </c>
      <c r="F983" t="s">
        <v>22</v>
      </c>
      <c r="G983" t="s">
        <v>23</v>
      </c>
      <c r="H983">
        <v>83.01</v>
      </c>
      <c r="I983">
        <v>3917.26</v>
      </c>
      <c r="J983" t="s">
        <v>15</v>
      </c>
      <c r="K983" t="str">
        <f>IF(D983&lt;=12,"0-12 Months",IF(D983&lt;=24,"13-24 Months",IF(D983&lt;=48,"25-48 Months","49+ Months")))</f>
        <v>25-48 Months</v>
      </c>
      <c r="L983">
        <f>IF(Table1346[[#This Row],[Churn]]="Yes",1,0)</f>
        <v>0</v>
      </c>
    </row>
    <row r="984" spans="1:12" x14ac:dyDescent="0.35">
      <c r="A984" t="s">
        <v>1006</v>
      </c>
      <c r="B984" t="s">
        <v>17</v>
      </c>
      <c r="C984">
        <v>68</v>
      </c>
      <c r="D984">
        <v>9</v>
      </c>
      <c r="E984" t="s">
        <v>12</v>
      </c>
      <c r="F984" t="s">
        <v>33</v>
      </c>
      <c r="G984" t="s">
        <v>23</v>
      </c>
      <c r="H984">
        <v>23.49</v>
      </c>
      <c r="I984">
        <v>191.84</v>
      </c>
      <c r="J984" t="s">
        <v>15</v>
      </c>
      <c r="K984" t="str">
        <f>IF(D984&lt;=12,"0-12 Months",IF(D984&lt;=24,"13-24 Months",IF(D984&lt;=48,"25-48 Months","49+ Months")))</f>
        <v>0-12 Months</v>
      </c>
      <c r="L984">
        <f>IF(Table1346[[#This Row],[Churn]]="Yes",1,0)</f>
        <v>0</v>
      </c>
    </row>
    <row r="985" spans="1:12" x14ac:dyDescent="0.35">
      <c r="A985" t="s">
        <v>1007</v>
      </c>
      <c r="B985" t="s">
        <v>11</v>
      </c>
      <c r="C985">
        <v>62</v>
      </c>
      <c r="D985">
        <v>16</v>
      </c>
      <c r="E985" t="s">
        <v>12</v>
      </c>
      <c r="F985" t="s">
        <v>22</v>
      </c>
      <c r="G985" t="s">
        <v>23</v>
      </c>
      <c r="H985">
        <v>69.459999999999994</v>
      </c>
      <c r="I985">
        <v>1018.15</v>
      </c>
      <c r="J985" t="s">
        <v>15</v>
      </c>
      <c r="K985" t="str">
        <f>IF(D985&lt;=12,"0-12 Months",IF(D985&lt;=24,"13-24 Months",IF(D985&lt;=48,"25-48 Months","49+ Months")))</f>
        <v>13-24 Months</v>
      </c>
      <c r="L985">
        <f>IF(Table1346[[#This Row],[Churn]]="Yes",1,0)</f>
        <v>0</v>
      </c>
    </row>
    <row r="986" spans="1:12" x14ac:dyDescent="0.35">
      <c r="A986" t="s">
        <v>1008</v>
      </c>
      <c r="B986" t="s">
        <v>17</v>
      </c>
      <c r="C986">
        <v>63</v>
      </c>
      <c r="D986">
        <v>69</v>
      </c>
      <c r="E986" t="s">
        <v>21</v>
      </c>
      <c r="F986" t="s">
        <v>29</v>
      </c>
      <c r="G986" t="s">
        <v>23</v>
      </c>
      <c r="H986">
        <v>33.799999999999997</v>
      </c>
      <c r="I986">
        <v>2412.59</v>
      </c>
      <c r="J986" t="s">
        <v>15</v>
      </c>
      <c r="K986" t="str">
        <f>IF(D986&lt;=12,"0-12 Months",IF(D986&lt;=24,"13-24 Months",IF(D986&lt;=48,"25-48 Months","49+ Months")))</f>
        <v>49+ Months</v>
      </c>
      <c r="L986">
        <f>IF(Table1346[[#This Row],[Churn]]="Yes",1,0)</f>
        <v>0</v>
      </c>
    </row>
    <row r="987" spans="1:12" x14ac:dyDescent="0.35">
      <c r="A987" t="s">
        <v>1009</v>
      </c>
      <c r="B987" t="s">
        <v>17</v>
      </c>
      <c r="C987">
        <v>27</v>
      </c>
      <c r="D987">
        <v>61</v>
      </c>
      <c r="E987" t="s">
        <v>21</v>
      </c>
      <c r="F987" t="s">
        <v>29</v>
      </c>
      <c r="G987" t="s">
        <v>19</v>
      </c>
      <c r="H987">
        <v>89.08</v>
      </c>
      <c r="I987">
        <v>5639.48</v>
      </c>
      <c r="J987" t="s">
        <v>15</v>
      </c>
      <c r="K987" t="str">
        <f>IF(D987&lt;=12,"0-12 Months",IF(D987&lt;=24,"13-24 Months",IF(D987&lt;=48,"25-48 Months","49+ Months")))</f>
        <v>49+ Months</v>
      </c>
      <c r="L987">
        <f>IF(Table1346[[#This Row],[Churn]]="Yes",1,0)</f>
        <v>0</v>
      </c>
    </row>
    <row r="988" spans="1:12" x14ac:dyDescent="0.35">
      <c r="A988" t="s">
        <v>1010</v>
      </c>
      <c r="B988" t="s">
        <v>17</v>
      </c>
      <c r="C988">
        <v>60</v>
      </c>
      <c r="D988">
        <v>10</v>
      </c>
      <c r="E988" t="s">
        <v>12</v>
      </c>
      <c r="F988" t="s">
        <v>22</v>
      </c>
      <c r="G988" t="s">
        <v>23</v>
      </c>
      <c r="H988">
        <v>71.45</v>
      </c>
      <c r="I988">
        <v>691.85</v>
      </c>
      <c r="J988" t="s">
        <v>15</v>
      </c>
      <c r="K988" t="str">
        <f>IF(D988&lt;=12,"0-12 Months",IF(D988&lt;=24,"13-24 Months",IF(D988&lt;=48,"25-48 Months","49+ Months")))</f>
        <v>0-12 Months</v>
      </c>
      <c r="L988">
        <f>IF(Table1346[[#This Row],[Churn]]="Yes",1,0)</f>
        <v>0</v>
      </c>
    </row>
    <row r="989" spans="1:12" x14ac:dyDescent="0.35">
      <c r="A989" t="s">
        <v>1011</v>
      </c>
      <c r="B989" t="s">
        <v>17</v>
      </c>
      <c r="C989">
        <v>51</v>
      </c>
      <c r="D989">
        <v>50</v>
      </c>
      <c r="E989" t="s">
        <v>12</v>
      </c>
      <c r="F989" t="s">
        <v>13</v>
      </c>
      <c r="G989" t="s">
        <v>23</v>
      </c>
      <c r="H989">
        <v>99.71</v>
      </c>
      <c r="I989">
        <v>4701.93</v>
      </c>
      <c r="J989" t="s">
        <v>15</v>
      </c>
      <c r="K989" t="str">
        <f>IF(D989&lt;=12,"0-12 Months",IF(D989&lt;=24,"13-24 Months",IF(D989&lt;=48,"25-48 Months","49+ Months")))</f>
        <v>49+ Months</v>
      </c>
      <c r="L989">
        <f>IF(Table1346[[#This Row],[Churn]]="Yes",1,0)</f>
        <v>0</v>
      </c>
    </row>
    <row r="990" spans="1:12" x14ac:dyDescent="0.35">
      <c r="A990" t="s">
        <v>1012</v>
      </c>
      <c r="B990" t="s">
        <v>17</v>
      </c>
      <c r="C990">
        <v>43</v>
      </c>
      <c r="D990">
        <v>3</v>
      </c>
      <c r="E990" t="s">
        <v>12</v>
      </c>
      <c r="F990" t="s">
        <v>13</v>
      </c>
      <c r="G990" t="s">
        <v>14</v>
      </c>
      <c r="H990">
        <v>124.73</v>
      </c>
      <c r="I990">
        <v>397.67</v>
      </c>
      <c r="J990" t="s">
        <v>27</v>
      </c>
      <c r="K990" t="str">
        <f>IF(D990&lt;=12,"0-12 Months",IF(D990&lt;=24,"13-24 Months",IF(D990&lt;=48,"25-48 Months","49+ Months")))</f>
        <v>0-12 Months</v>
      </c>
      <c r="L990">
        <f>IF(Table1346[[#This Row],[Churn]]="Yes",1,0)</f>
        <v>1</v>
      </c>
    </row>
    <row r="991" spans="1:12" x14ac:dyDescent="0.35">
      <c r="A991" t="s">
        <v>1013</v>
      </c>
      <c r="B991" t="s">
        <v>17</v>
      </c>
      <c r="C991">
        <v>58</v>
      </c>
      <c r="D991">
        <v>70</v>
      </c>
      <c r="E991" t="s">
        <v>12</v>
      </c>
      <c r="F991" t="s">
        <v>29</v>
      </c>
      <c r="G991" t="s">
        <v>23</v>
      </c>
      <c r="H991">
        <v>58.96</v>
      </c>
      <c r="I991">
        <v>3893.69</v>
      </c>
      <c r="J991" t="s">
        <v>27</v>
      </c>
      <c r="K991" t="str">
        <f>IF(D991&lt;=12,"0-12 Months",IF(D991&lt;=24,"13-24 Months",IF(D991&lt;=48,"25-48 Months","49+ Months")))</f>
        <v>49+ Months</v>
      </c>
      <c r="L991">
        <f>IF(Table1346[[#This Row],[Churn]]="Yes",1,0)</f>
        <v>1</v>
      </c>
    </row>
    <row r="992" spans="1:12" x14ac:dyDescent="0.35">
      <c r="A992" t="s">
        <v>1014</v>
      </c>
      <c r="B992" t="s">
        <v>17</v>
      </c>
      <c r="C992">
        <v>66</v>
      </c>
      <c r="D992">
        <v>51</v>
      </c>
      <c r="E992" t="s">
        <v>12</v>
      </c>
      <c r="F992" t="s">
        <v>29</v>
      </c>
      <c r="G992" t="s">
        <v>23</v>
      </c>
      <c r="H992">
        <v>145.07</v>
      </c>
      <c r="I992">
        <v>7460.76</v>
      </c>
      <c r="J992" t="s">
        <v>15</v>
      </c>
      <c r="K992" t="str">
        <f>IF(D992&lt;=12,"0-12 Months",IF(D992&lt;=24,"13-24 Months",IF(D992&lt;=48,"25-48 Months","49+ Months")))</f>
        <v>49+ Months</v>
      </c>
      <c r="L992">
        <f>IF(Table1346[[#This Row],[Churn]]="Yes",1,0)</f>
        <v>0</v>
      </c>
    </row>
    <row r="993" spans="1:12" x14ac:dyDescent="0.35">
      <c r="A993" t="s">
        <v>1015</v>
      </c>
      <c r="B993" t="s">
        <v>17</v>
      </c>
      <c r="C993">
        <v>20</v>
      </c>
      <c r="D993">
        <v>19</v>
      </c>
      <c r="E993" t="s">
        <v>12</v>
      </c>
      <c r="F993" t="s">
        <v>13</v>
      </c>
      <c r="G993" t="s">
        <v>19</v>
      </c>
      <c r="H993">
        <v>89.63</v>
      </c>
      <c r="I993">
        <v>1862.44</v>
      </c>
      <c r="J993" t="s">
        <v>15</v>
      </c>
      <c r="K993" t="str">
        <f>IF(D993&lt;=12,"0-12 Months",IF(D993&lt;=24,"13-24 Months",IF(D993&lt;=48,"25-48 Months","49+ Months")))</f>
        <v>13-24 Months</v>
      </c>
      <c r="L993">
        <f>IF(Table1346[[#This Row],[Churn]]="Yes",1,0)</f>
        <v>0</v>
      </c>
    </row>
    <row r="994" spans="1:12" x14ac:dyDescent="0.35">
      <c r="A994" t="s">
        <v>1016</v>
      </c>
      <c r="B994" t="s">
        <v>17</v>
      </c>
      <c r="C994">
        <v>23</v>
      </c>
      <c r="D994">
        <v>42</v>
      </c>
      <c r="E994" t="s">
        <v>18</v>
      </c>
      <c r="F994" t="s">
        <v>13</v>
      </c>
      <c r="G994" t="s">
        <v>19</v>
      </c>
      <c r="H994">
        <v>100.38</v>
      </c>
      <c r="I994">
        <v>3919.03</v>
      </c>
      <c r="J994" t="s">
        <v>15</v>
      </c>
      <c r="K994" t="str">
        <f>IF(D994&lt;=12,"0-12 Months",IF(D994&lt;=24,"13-24 Months",IF(D994&lt;=48,"25-48 Months","49+ Months")))</f>
        <v>25-48 Months</v>
      </c>
      <c r="L994">
        <f>IF(Table1346[[#This Row],[Churn]]="Yes",1,0)</f>
        <v>0</v>
      </c>
    </row>
    <row r="995" spans="1:12" x14ac:dyDescent="0.35">
      <c r="A995" t="s">
        <v>1017</v>
      </c>
      <c r="B995" t="s">
        <v>17</v>
      </c>
      <c r="C995">
        <v>22</v>
      </c>
      <c r="D995">
        <v>35</v>
      </c>
      <c r="E995" t="s">
        <v>12</v>
      </c>
      <c r="F995" t="s">
        <v>22</v>
      </c>
      <c r="G995" t="s">
        <v>19</v>
      </c>
      <c r="H995">
        <v>108.49</v>
      </c>
      <c r="I995">
        <v>4131.96</v>
      </c>
      <c r="J995" t="s">
        <v>27</v>
      </c>
      <c r="K995" t="str">
        <f>IF(D995&lt;=12,"0-12 Months",IF(D995&lt;=24,"13-24 Months",IF(D995&lt;=48,"25-48 Months","49+ Months")))</f>
        <v>25-48 Months</v>
      </c>
      <c r="L995">
        <f>IF(Table1346[[#This Row],[Churn]]="Yes",1,0)</f>
        <v>1</v>
      </c>
    </row>
    <row r="996" spans="1:12" x14ac:dyDescent="0.35">
      <c r="A996" t="s">
        <v>1018</v>
      </c>
      <c r="B996" t="s">
        <v>17</v>
      </c>
      <c r="C996">
        <v>22</v>
      </c>
      <c r="D996">
        <v>46</v>
      </c>
      <c r="E996" t="s">
        <v>21</v>
      </c>
      <c r="F996" t="s">
        <v>29</v>
      </c>
      <c r="G996" t="s">
        <v>19</v>
      </c>
      <c r="H996">
        <v>106.68</v>
      </c>
      <c r="I996">
        <v>4596.05</v>
      </c>
      <c r="J996" t="s">
        <v>27</v>
      </c>
      <c r="K996" t="str">
        <f>IF(D996&lt;=12,"0-12 Months",IF(D996&lt;=24,"13-24 Months",IF(D996&lt;=48,"25-48 Months","49+ Months")))</f>
        <v>25-48 Months</v>
      </c>
      <c r="L996">
        <f>IF(Table1346[[#This Row],[Churn]]="Yes",1,0)</f>
        <v>1</v>
      </c>
    </row>
    <row r="997" spans="1:12" x14ac:dyDescent="0.35">
      <c r="A997" t="s">
        <v>1019</v>
      </c>
      <c r="B997" t="s">
        <v>11</v>
      </c>
      <c r="C997">
        <v>64</v>
      </c>
      <c r="D997">
        <v>26</v>
      </c>
      <c r="E997" t="s">
        <v>12</v>
      </c>
      <c r="F997" t="s">
        <v>13</v>
      </c>
      <c r="G997" t="s">
        <v>23</v>
      </c>
      <c r="H997">
        <v>86.43</v>
      </c>
      <c r="I997">
        <v>2277.4899999999998</v>
      </c>
      <c r="J997" t="s">
        <v>15</v>
      </c>
      <c r="K997" t="str">
        <f>IF(D997&lt;=12,"0-12 Months",IF(D997&lt;=24,"13-24 Months",IF(D997&lt;=48,"25-48 Months","49+ Months")))</f>
        <v>25-48 Months</v>
      </c>
      <c r="L997">
        <f>IF(Table1346[[#This Row],[Churn]]="Yes",1,0)</f>
        <v>0</v>
      </c>
    </row>
    <row r="998" spans="1:12" x14ac:dyDescent="0.35">
      <c r="A998" t="s">
        <v>1020</v>
      </c>
      <c r="B998" t="s">
        <v>11</v>
      </c>
      <c r="C998">
        <v>40</v>
      </c>
      <c r="D998">
        <v>69</v>
      </c>
      <c r="E998" t="s">
        <v>21</v>
      </c>
      <c r="F998" t="s">
        <v>29</v>
      </c>
      <c r="G998" t="s">
        <v>14</v>
      </c>
      <c r="H998">
        <v>75.739999999999995</v>
      </c>
      <c r="I998">
        <v>5097.51</v>
      </c>
      <c r="J998" t="s">
        <v>15</v>
      </c>
      <c r="K998" t="str">
        <f>IF(D998&lt;=12,"0-12 Months",IF(D998&lt;=24,"13-24 Months",IF(D998&lt;=48,"25-48 Months","49+ Months")))</f>
        <v>49+ Months</v>
      </c>
      <c r="L998">
        <f>IF(Table1346[[#This Row],[Churn]]="Yes",1,0)</f>
        <v>0</v>
      </c>
    </row>
    <row r="999" spans="1:12" x14ac:dyDescent="0.35">
      <c r="A999" t="s">
        <v>1021</v>
      </c>
      <c r="B999" t="s">
        <v>17</v>
      </c>
      <c r="C999">
        <v>66</v>
      </c>
      <c r="D999">
        <v>64</v>
      </c>
      <c r="E999" t="s">
        <v>21</v>
      </c>
      <c r="F999" t="s">
        <v>29</v>
      </c>
      <c r="G999" t="s">
        <v>23</v>
      </c>
      <c r="H999">
        <v>26.99</v>
      </c>
      <c r="I999">
        <v>1887.98</v>
      </c>
      <c r="J999" t="s">
        <v>27</v>
      </c>
      <c r="K999" t="str">
        <f>IF(D999&lt;=12,"0-12 Months",IF(D999&lt;=24,"13-24 Months",IF(D999&lt;=48,"25-48 Months","49+ Months")))</f>
        <v>49+ Months</v>
      </c>
      <c r="L999">
        <f>IF(Table1346[[#This Row],[Churn]]="Yes",1,0)</f>
        <v>1</v>
      </c>
    </row>
    <row r="1000" spans="1:12" x14ac:dyDescent="0.35">
      <c r="A1000" t="s">
        <v>1022</v>
      </c>
      <c r="B1000" t="s">
        <v>17</v>
      </c>
      <c r="C1000">
        <v>26</v>
      </c>
      <c r="D1000">
        <v>37</v>
      </c>
      <c r="E1000" t="s">
        <v>18</v>
      </c>
      <c r="F1000" t="s">
        <v>13</v>
      </c>
      <c r="G1000" t="s">
        <v>19</v>
      </c>
      <c r="H1000">
        <v>22.87</v>
      </c>
      <c r="I1000">
        <v>807.86</v>
      </c>
      <c r="J1000" t="s">
        <v>15</v>
      </c>
      <c r="K1000" t="str">
        <f>IF(D1000&lt;=12,"0-12 Months",IF(D1000&lt;=24,"13-24 Months",IF(D1000&lt;=48,"25-48 Months","49+ Months")))</f>
        <v>25-48 Months</v>
      </c>
      <c r="L1000">
        <f>IF(Table1346[[#This Row],[Churn]]="Yes",1,0)</f>
        <v>0</v>
      </c>
    </row>
    <row r="1001" spans="1:12" x14ac:dyDescent="0.35">
      <c r="A1001" t="s">
        <v>1023</v>
      </c>
      <c r="B1001" t="s">
        <v>11</v>
      </c>
      <c r="C1001">
        <v>52</v>
      </c>
      <c r="D1001">
        <v>49</v>
      </c>
      <c r="E1001" t="s">
        <v>12</v>
      </c>
      <c r="F1001" t="s">
        <v>29</v>
      </c>
      <c r="G1001" t="s">
        <v>23</v>
      </c>
      <c r="H1001">
        <v>66.53</v>
      </c>
      <c r="I1001">
        <v>3194.55</v>
      </c>
      <c r="J1001" t="s">
        <v>15</v>
      </c>
      <c r="K1001" t="str">
        <f>IF(D1001&lt;=12,"0-12 Months",IF(D1001&lt;=24,"13-24 Months",IF(D1001&lt;=48,"25-48 Months","49+ Months")))</f>
        <v>49+ Months</v>
      </c>
      <c r="L1001">
        <f>IF(Table1346[[#This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51DA-183D-4828-AF78-CBD77962F310}">
  <dimension ref="A1"/>
  <sheetViews>
    <sheetView tabSelected="1" topLeftCell="A2" zoomScaleNormal="100" workbookViewId="0">
      <selection activeCell="G48" sqref="G4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Customer_Churn_Analysis_Raw</vt:lpstr>
      <vt:lpstr>Customer_Churn_Analysis_cleaned</vt:lpstr>
      <vt:lpstr>Customer Churn</vt:lpstr>
      <vt:lpstr>Analysis</vt:lpstr>
      <vt:lpstr>PivotTable 1 — Churn by Contrac</vt:lpstr>
      <vt:lpstr>PivotTable 2 — Churn by Payment</vt:lpstr>
      <vt:lpstr>PivotTable 3 — Churn by Custome</vt:lpstr>
      <vt:lpstr>PivotTable 4 — Churn by Tenure </vt:lpstr>
      <vt:lpstr>Pivot_Analysis</vt:lpstr>
      <vt:lpstr>Excel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Liththicga R</cp:lastModifiedBy>
  <dcterms:created xsi:type="dcterms:W3CDTF">2026-08-27T17:06:02Z</dcterms:created>
  <dcterms:modified xsi:type="dcterms:W3CDTF">2026-08-27T18:28:46Z</dcterms:modified>
</cp:coreProperties>
</file>